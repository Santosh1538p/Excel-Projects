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3.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4.xml" ContentType="application/vnd.openxmlformats-officedocument.spreadsheetml.pivotTable+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5.xml" ContentType="application/vnd.openxmlformats-officedocument.spreadsheetml.pivotTable+xml"/>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hidePivotFieldList="1" defaultThemeVersion="166925"/>
  <mc:AlternateContent xmlns:mc="http://schemas.openxmlformats.org/markup-compatibility/2006">
    <mc:Choice Requires="x15">
      <x15ac:absPath xmlns:x15ac="http://schemas.microsoft.com/office/spreadsheetml/2010/11/ac" url="E:\DS Notes\"/>
    </mc:Choice>
  </mc:AlternateContent>
  <xr:revisionPtr revIDLastSave="0" documentId="13_ncr:1_{7D196C5B-9AEF-4FE1-A537-E92C39D8895E}" xr6:coauthVersionLast="47" xr6:coauthVersionMax="47" xr10:uidLastSave="{00000000-0000-0000-0000-000000000000}"/>
  <bookViews>
    <workbookView xWindow="-108" yWindow="-108" windowWidth="23256" windowHeight="12456" xr2:uid="{92E55CEF-5D55-4644-B73D-BD3686836F79}"/>
  </bookViews>
  <sheets>
    <sheet name="INDEX" sheetId="16" r:id="rId1"/>
    <sheet name="Dashboard" sheetId="12" r:id="rId2"/>
    <sheet name="YWS" sheetId="5" r:id="rId3"/>
    <sheet name="MWS" sheetId="6" r:id="rId4"/>
    <sheet name="SWS" sheetId="8" r:id="rId5"/>
    <sheet name="PWS" sheetId="9" r:id="rId6"/>
    <sheet name="MWRS" sheetId="10" r:id="rId7"/>
    <sheet name="Sales_Data" sheetId="1" r:id="rId8"/>
    <sheet name="Emp_Data" sheetId="3" r:id="rId9"/>
  </sheets>
  <definedNames>
    <definedName name="Slicer_Product_Type">#N/A</definedName>
    <definedName name="Slicer_Region">#N/A</definedName>
  </definedNames>
  <calcPr calcId="191029"/>
  <pivotCaches>
    <pivotCache cacheId="0" r:id="rId10"/>
    <pivotCache cacheId="1" r:id="rId11"/>
    <pivotCache cacheId="2"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1" l="1"/>
  <c r="L2001" i="1"/>
  <c r="L2000" i="1"/>
  <c r="L1999" i="1"/>
  <c r="L1998" i="1"/>
  <c r="L1997" i="1"/>
  <c r="L1996" i="1"/>
  <c r="L1995" i="1"/>
  <c r="L1994" i="1"/>
  <c r="L1993" i="1"/>
  <c r="L1992" i="1"/>
  <c r="L1991" i="1"/>
  <c r="L1990" i="1"/>
  <c r="L1989" i="1"/>
  <c r="L1988" i="1"/>
  <c r="L1987" i="1"/>
  <c r="L1986" i="1"/>
  <c r="L1985" i="1"/>
  <c r="L1984" i="1"/>
  <c r="L1983" i="1"/>
  <c r="L1982" i="1"/>
  <c r="L1981" i="1"/>
  <c r="L1980" i="1"/>
  <c r="L1979" i="1"/>
  <c r="L1978" i="1"/>
  <c r="L1977" i="1"/>
  <c r="L1976" i="1"/>
  <c r="L1975" i="1"/>
  <c r="L1974" i="1"/>
  <c r="L1973" i="1"/>
  <c r="L1972" i="1"/>
  <c r="L1971" i="1"/>
  <c r="L1970" i="1"/>
  <c r="L1969" i="1"/>
  <c r="L1968" i="1"/>
  <c r="L1967" i="1"/>
  <c r="L1966" i="1"/>
  <c r="L1965" i="1"/>
  <c r="L1964" i="1"/>
  <c r="L1963" i="1"/>
  <c r="L1962" i="1"/>
  <c r="L1961" i="1"/>
  <c r="L1960" i="1"/>
  <c r="L1959" i="1"/>
  <c r="L1958" i="1"/>
  <c r="L1957" i="1"/>
  <c r="L1956" i="1"/>
  <c r="L1955" i="1"/>
  <c r="L1954" i="1"/>
  <c r="L1953" i="1"/>
  <c r="L1952" i="1"/>
  <c r="L1951" i="1"/>
  <c r="L1950" i="1"/>
  <c r="L1949" i="1"/>
  <c r="L1948" i="1"/>
  <c r="L1947" i="1"/>
  <c r="L1946" i="1"/>
  <c r="L1945" i="1"/>
  <c r="L1944" i="1"/>
  <c r="L1943" i="1"/>
  <c r="L1942" i="1"/>
  <c r="L1941" i="1"/>
  <c r="L1940" i="1"/>
  <c r="L1939" i="1"/>
  <c r="L1938" i="1"/>
  <c r="L1937" i="1"/>
  <c r="L1936" i="1"/>
  <c r="L1935" i="1"/>
  <c r="L1934" i="1"/>
  <c r="L1933" i="1"/>
  <c r="L1932" i="1"/>
  <c r="L1931" i="1"/>
  <c r="L1930" i="1"/>
  <c r="L1929" i="1"/>
  <c r="L1928" i="1"/>
  <c r="L1927" i="1"/>
  <c r="L1926" i="1"/>
  <c r="L1925" i="1"/>
  <c r="L1924" i="1"/>
  <c r="L1923" i="1"/>
  <c r="L1922" i="1"/>
  <c r="L1921" i="1"/>
  <c r="L1920" i="1"/>
  <c r="L1919" i="1"/>
  <c r="L1918" i="1"/>
  <c r="L1917" i="1"/>
  <c r="L1916" i="1"/>
  <c r="L1915" i="1"/>
  <c r="L1914" i="1"/>
  <c r="L1913" i="1"/>
  <c r="L1912" i="1"/>
  <c r="L1911" i="1"/>
  <c r="L1910" i="1"/>
  <c r="L1909" i="1"/>
  <c r="L1908" i="1"/>
  <c r="L1907" i="1"/>
  <c r="L1906" i="1"/>
  <c r="L1905" i="1"/>
  <c r="L1904" i="1"/>
  <c r="L1903" i="1"/>
  <c r="L1902" i="1"/>
  <c r="L1901" i="1"/>
  <c r="L1900" i="1"/>
  <c r="L1899" i="1"/>
  <c r="L1898" i="1"/>
  <c r="L1897" i="1"/>
  <c r="L1896" i="1"/>
  <c r="L1895" i="1"/>
  <c r="L1894" i="1"/>
  <c r="L1893" i="1"/>
  <c r="L1892" i="1"/>
  <c r="L1891" i="1"/>
  <c r="L1890" i="1"/>
  <c r="L1889" i="1"/>
  <c r="L1888" i="1"/>
  <c r="L1887" i="1"/>
  <c r="L1886" i="1"/>
  <c r="L1885" i="1"/>
  <c r="L1884" i="1"/>
  <c r="L1883" i="1"/>
  <c r="L1882" i="1"/>
  <c r="L1881" i="1"/>
  <c r="L1880" i="1"/>
  <c r="L1879" i="1"/>
  <c r="L1878" i="1"/>
  <c r="L1877" i="1"/>
  <c r="L1876" i="1"/>
  <c r="L1875" i="1"/>
  <c r="L1874" i="1"/>
  <c r="L1873" i="1"/>
  <c r="L1872" i="1"/>
  <c r="L1871" i="1"/>
  <c r="L1870" i="1"/>
  <c r="L1869" i="1"/>
  <c r="L1868" i="1"/>
  <c r="L1867" i="1"/>
  <c r="L1866" i="1"/>
  <c r="L1865" i="1"/>
  <c r="L1864" i="1"/>
  <c r="L1863" i="1"/>
  <c r="L1862" i="1"/>
  <c r="L1861" i="1"/>
  <c r="L1860" i="1"/>
  <c r="L1859" i="1"/>
  <c r="L1858" i="1"/>
  <c r="L1857" i="1"/>
  <c r="L1856" i="1"/>
  <c r="L1855" i="1"/>
  <c r="L1854" i="1"/>
  <c r="L1853" i="1"/>
  <c r="L1852" i="1"/>
  <c r="L1851" i="1"/>
  <c r="L1850" i="1"/>
  <c r="L1849" i="1"/>
  <c r="L1848" i="1"/>
  <c r="L1847" i="1"/>
  <c r="L1846" i="1"/>
  <c r="L1845" i="1"/>
  <c r="L1844" i="1"/>
  <c r="L1843" i="1"/>
  <c r="L1842" i="1"/>
  <c r="L1841" i="1"/>
  <c r="L1840" i="1"/>
  <c r="L1839" i="1"/>
  <c r="L1838" i="1"/>
  <c r="L1837" i="1"/>
  <c r="L1836" i="1"/>
  <c r="L1835" i="1"/>
  <c r="L1834" i="1"/>
  <c r="L1833" i="1"/>
  <c r="L1832" i="1"/>
  <c r="L1831" i="1"/>
  <c r="L1830" i="1"/>
  <c r="L1829" i="1"/>
  <c r="L1828" i="1"/>
  <c r="L1827" i="1"/>
  <c r="L1826" i="1"/>
  <c r="L1825" i="1"/>
  <c r="L1824" i="1"/>
  <c r="L1823" i="1"/>
  <c r="L1822" i="1"/>
  <c r="L1821" i="1"/>
  <c r="L1820" i="1"/>
  <c r="L1819" i="1"/>
  <c r="L1818" i="1"/>
  <c r="L1817" i="1"/>
  <c r="L1816" i="1"/>
  <c r="L1815" i="1"/>
  <c r="L1814" i="1"/>
  <c r="L1813" i="1"/>
  <c r="L1812" i="1"/>
  <c r="L1811" i="1"/>
  <c r="L1810" i="1"/>
  <c r="L1809" i="1"/>
  <c r="L1808" i="1"/>
  <c r="L1807" i="1"/>
  <c r="L1806" i="1"/>
  <c r="L1805" i="1"/>
  <c r="L1804" i="1"/>
  <c r="L1803" i="1"/>
  <c r="L1802" i="1"/>
  <c r="L1801" i="1"/>
  <c r="L1800" i="1"/>
  <c r="L1799" i="1"/>
  <c r="L1798" i="1"/>
  <c r="L1797" i="1"/>
  <c r="L1796" i="1"/>
  <c r="L1795" i="1"/>
  <c r="L1794" i="1"/>
  <c r="L1793" i="1"/>
  <c r="L1792" i="1"/>
  <c r="L1791" i="1"/>
  <c r="L1790" i="1"/>
  <c r="L1789" i="1"/>
  <c r="L1788" i="1"/>
  <c r="L1787" i="1"/>
  <c r="L1786" i="1"/>
  <c r="L1785" i="1"/>
  <c r="L1784" i="1"/>
  <c r="L1783" i="1"/>
  <c r="L1782" i="1"/>
  <c r="L1781" i="1"/>
  <c r="L1780" i="1"/>
  <c r="L1779" i="1"/>
  <c r="L1778" i="1"/>
  <c r="L1777" i="1"/>
  <c r="L1776" i="1"/>
  <c r="L1775" i="1"/>
  <c r="L1774" i="1"/>
  <c r="L1773" i="1"/>
  <c r="L1772" i="1"/>
  <c r="L1771" i="1"/>
  <c r="L1770" i="1"/>
  <c r="L1769" i="1"/>
  <c r="L1768" i="1"/>
  <c r="L1767" i="1"/>
  <c r="L1766" i="1"/>
  <c r="L1765" i="1"/>
  <c r="L1764" i="1"/>
  <c r="L1763" i="1"/>
  <c r="L1762" i="1"/>
  <c r="L1761" i="1"/>
  <c r="L1760" i="1"/>
  <c r="L1759" i="1"/>
  <c r="L1758" i="1"/>
  <c r="L1757" i="1"/>
  <c r="L1756" i="1"/>
  <c r="L1755" i="1"/>
  <c r="L1754" i="1"/>
  <c r="L1753" i="1"/>
  <c r="L1752" i="1"/>
  <c r="L1751" i="1"/>
  <c r="L1750" i="1"/>
  <c r="L1749" i="1"/>
  <c r="L1748" i="1"/>
  <c r="L1747" i="1"/>
  <c r="L1746" i="1"/>
  <c r="L1745" i="1"/>
  <c r="L1744" i="1"/>
  <c r="L1743" i="1"/>
  <c r="L1742" i="1"/>
  <c r="L1741" i="1"/>
  <c r="L1740" i="1"/>
  <c r="L1739" i="1"/>
  <c r="L1738" i="1"/>
  <c r="L1737" i="1"/>
  <c r="L1736" i="1"/>
  <c r="L1735" i="1"/>
  <c r="L1734" i="1"/>
  <c r="L1733" i="1"/>
  <c r="L1732" i="1"/>
  <c r="L1731" i="1"/>
  <c r="L1730" i="1"/>
  <c r="L1729" i="1"/>
  <c r="L1728" i="1"/>
  <c r="L1727" i="1"/>
  <c r="L1726" i="1"/>
  <c r="L1725" i="1"/>
  <c r="L1724" i="1"/>
  <c r="L1723" i="1"/>
  <c r="L1722" i="1"/>
  <c r="L1721" i="1"/>
  <c r="L1720" i="1"/>
  <c r="L1719" i="1"/>
  <c r="L1718" i="1"/>
  <c r="L1717" i="1"/>
  <c r="L1716" i="1"/>
  <c r="L1715" i="1"/>
  <c r="L1714" i="1"/>
  <c r="L1713" i="1"/>
  <c r="L1712" i="1"/>
  <c r="L1711" i="1"/>
  <c r="L1710" i="1"/>
  <c r="L1709" i="1"/>
  <c r="L1708" i="1"/>
  <c r="L1707" i="1"/>
  <c r="L1706" i="1"/>
  <c r="L1705" i="1"/>
  <c r="L1704" i="1"/>
  <c r="L1703" i="1"/>
  <c r="L1702" i="1"/>
  <c r="L1701" i="1"/>
  <c r="L1700" i="1"/>
  <c r="L1699" i="1"/>
  <c r="L1698" i="1"/>
  <c r="L1697" i="1"/>
  <c r="L1696" i="1"/>
  <c r="L1695" i="1"/>
  <c r="L1694" i="1"/>
  <c r="L1693" i="1"/>
  <c r="L1692" i="1"/>
  <c r="L1691" i="1"/>
  <c r="L1690" i="1"/>
  <c r="L1689" i="1"/>
  <c r="L1688" i="1"/>
  <c r="L1687" i="1"/>
  <c r="L1686" i="1"/>
  <c r="L1685" i="1"/>
  <c r="L1684" i="1"/>
  <c r="L1683" i="1"/>
  <c r="L1682" i="1"/>
  <c r="L1681" i="1"/>
  <c r="L1680" i="1"/>
  <c r="L1679" i="1"/>
  <c r="L1678" i="1"/>
  <c r="L1677" i="1"/>
  <c r="L1676" i="1"/>
  <c r="L1675" i="1"/>
  <c r="L1674" i="1"/>
  <c r="L1673" i="1"/>
  <c r="L1672" i="1"/>
  <c r="L1671" i="1"/>
  <c r="L1670" i="1"/>
  <c r="L1669" i="1"/>
  <c r="L1668" i="1"/>
  <c r="L1667" i="1"/>
  <c r="L1666" i="1"/>
  <c r="L1665" i="1"/>
  <c r="L1664" i="1"/>
  <c r="L1663" i="1"/>
  <c r="L1662" i="1"/>
  <c r="L1661" i="1"/>
  <c r="L1660" i="1"/>
  <c r="L1659" i="1"/>
  <c r="L1658" i="1"/>
  <c r="L1657" i="1"/>
  <c r="L1656" i="1"/>
  <c r="L1655" i="1"/>
  <c r="L1654" i="1"/>
  <c r="L1653" i="1"/>
  <c r="L1652" i="1"/>
  <c r="L1651" i="1"/>
  <c r="L1650" i="1"/>
  <c r="L1649" i="1"/>
  <c r="L1648" i="1"/>
  <c r="L1647" i="1"/>
  <c r="L1646" i="1"/>
  <c r="L1645" i="1"/>
  <c r="L1644" i="1"/>
  <c r="L1643" i="1"/>
  <c r="L1642" i="1"/>
  <c r="L1641" i="1"/>
  <c r="L1640" i="1"/>
  <c r="L1639" i="1"/>
  <c r="L1638" i="1"/>
  <c r="L1637" i="1"/>
  <c r="L1636" i="1"/>
  <c r="L1635" i="1"/>
  <c r="L1634" i="1"/>
  <c r="L1633" i="1"/>
  <c r="L1632" i="1"/>
  <c r="L1631" i="1"/>
  <c r="L1630" i="1"/>
  <c r="L1629" i="1"/>
  <c r="L1628" i="1"/>
  <c r="L1627" i="1"/>
  <c r="L1626" i="1"/>
  <c r="L1625" i="1"/>
  <c r="L1624" i="1"/>
  <c r="L1623" i="1"/>
  <c r="L1622" i="1"/>
  <c r="L1621" i="1"/>
  <c r="L1620" i="1"/>
  <c r="L1619" i="1"/>
  <c r="L1618" i="1"/>
  <c r="L1617" i="1"/>
  <c r="L1616" i="1"/>
  <c r="L1615" i="1"/>
  <c r="L1614" i="1"/>
  <c r="L1613" i="1"/>
  <c r="L1612" i="1"/>
  <c r="L1611" i="1"/>
  <c r="L1610" i="1"/>
  <c r="L1609" i="1"/>
  <c r="L1608" i="1"/>
  <c r="L1607" i="1"/>
  <c r="L1606" i="1"/>
  <c r="L1605" i="1"/>
  <c r="L1604" i="1"/>
  <c r="L1603" i="1"/>
  <c r="L1602" i="1"/>
  <c r="L1601" i="1"/>
  <c r="L1600" i="1"/>
  <c r="L1599" i="1"/>
  <c r="L1598" i="1"/>
  <c r="L1597" i="1"/>
  <c r="L1596" i="1"/>
  <c r="L1595" i="1"/>
  <c r="L1594" i="1"/>
  <c r="L1593" i="1"/>
  <c r="L1592" i="1"/>
  <c r="L1591" i="1"/>
  <c r="L1590" i="1"/>
  <c r="L1589" i="1"/>
  <c r="L1588" i="1"/>
  <c r="L1587" i="1"/>
  <c r="L1586" i="1"/>
  <c r="L1585" i="1"/>
  <c r="L1584" i="1"/>
  <c r="L1583" i="1"/>
  <c r="L1582" i="1"/>
  <c r="L1581" i="1"/>
  <c r="L1580" i="1"/>
  <c r="L1579" i="1"/>
  <c r="L1578" i="1"/>
  <c r="L1577" i="1"/>
  <c r="L1576" i="1"/>
  <c r="L1575" i="1"/>
  <c r="L1574" i="1"/>
  <c r="L1573" i="1"/>
  <c r="L1572" i="1"/>
  <c r="L1571" i="1"/>
  <c r="L1570" i="1"/>
  <c r="L1569" i="1"/>
  <c r="L1568" i="1"/>
  <c r="L1567" i="1"/>
  <c r="L1566" i="1"/>
  <c r="L1565" i="1"/>
  <c r="L1564" i="1"/>
  <c r="L1563" i="1"/>
  <c r="L1562" i="1"/>
  <c r="L1561" i="1"/>
  <c r="L1560" i="1"/>
  <c r="L1559" i="1"/>
  <c r="L1558" i="1"/>
  <c r="L1557" i="1"/>
  <c r="L1556" i="1"/>
  <c r="L1555" i="1"/>
  <c r="L1554" i="1"/>
  <c r="L1553" i="1"/>
  <c r="L1552" i="1"/>
  <c r="L1551" i="1"/>
  <c r="L1550" i="1"/>
  <c r="L1549" i="1"/>
  <c r="L1548" i="1"/>
  <c r="L1547" i="1"/>
  <c r="L1546" i="1"/>
  <c r="L1545" i="1"/>
  <c r="L1544" i="1"/>
  <c r="L1543" i="1"/>
  <c r="L1542" i="1"/>
  <c r="L1541" i="1"/>
  <c r="L1540" i="1"/>
  <c r="L1539" i="1"/>
  <c r="L1538" i="1"/>
  <c r="L1537" i="1"/>
  <c r="L1536" i="1"/>
  <c r="L1535" i="1"/>
  <c r="L1534" i="1"/>
  <c r="L1533" i="1"/>
  <c r="L1532" i="1"/>
  <c r="L1531" i="1"/>
  <c r="L1530" i="1"/>
  <c r="L1529" i="1"/>
  <c r="L1528" i="1"/>
  <c r="L1527" i="1"/>
  <c r="L1526" i="1"/>
  <c r="L1525" i="1"/>
  <c r="L1524" i="1"/>
  <c r="L1523" i="1"/>
  <c r="L1522" i="1"/>
  <c r="L1521" i="1"/>
  <c r="L1520" i="1"/>
  <c r="L1519" i="1"/>
  <c r="L1518" i="1"/>
  <c r="L1517" i="1"/>
  <c r="L1516" i="1"/>
  <c r="L1515" i="1"/>
  <c r="L1514" i="1"/>
  <c r="L1513" i="1"/>
  <c r="L1512" i="1"/>
  <c r="L1511" i="1"/>
  <c r="L1510" i="1"/>
  <c r="L1509" i="1"/>
  <c r="L1508" i="1"/>
  <c r="L1507" i="1"/>
  <c r="L1506" i="1"/>
  <c r="L1505" i="1"/>
  <c r="L1504" i="1"/>
  <c r="L1503" i="1"/>
  <c r="L1502" i="1"/>
  <c r="L1501" i="1"/>
  <c r="L1500" i="1"/>
  <c r="L1499" i="1"/>
  <c r="L1498" i="1"/>
  <c r="L1497" i="1"/>
  <c r="L1496" i="1"/>
  <c r="L1495" i="1"/>
  <c r="L1494" i="1"/>
  <c r="L1493" i="1"/>
  <c r="L1492" i="1"/>
  <c r="L1491" i="1"/>
  <c r="L1490" i="1"/>
  <c r="L1489" i="1"/>
  <c r="L1488" i="1"/>
  <c r="L1487" i="1"/>
  <c r="L1486" i="1"/>
  <c r="L1485" i="1"/>
  <c r="L1484" i="1"/>
  <c r="L1483" i="1"/>
  <c r="L1482" i="1"/>
  <c r="L1481" i="1"/>
  <c r="L1480" i="1"/>
  <c r="L1479" i="1"/>
  <c r="L1478" i="1"/>
  <c r="L1477" i="1"/>
  <c r="L1476" i="1"/>
  <c r="L1475" i="1"/>
  <c r="L1474" i="1"/>
  <c r="L1473" i="1"/>
  <c r="L1472" i="1"/>
  <c r="L1471" i="1"/>
  <c r="L1470" i="1"/>
  <c r="L1469" i="1"/>
  <c r="L1468" i="1"/>
  <c r="L1467" i="1"/>
  <c r="L1466" i="1"/>
  <c r="L1465" i="1"/>
  <c r="L1464" i="1"/>
  <c r="L1463" i="1"/>
  <c r="L1462" i="1"/>
  <c r="L1461" i="1"/>
  <c r="L1460" i="1"/>
  <c r="L1459" i="1"/>
  <c r="L1458" i="1"/>
  <c r="L1457" i="1"/>
  <c r="L1456" i="1"/>
  <c r="L1455" i="1"/>
  <c r="L1454" i="1"/>
  <c r="L1453" i="1"/>
  <c r="L1452" i="1"/>
  <c r="L1451" i="1"/>
  <c r="L1450" i="1"/>
  <c r="L1449" i="1"/>
  <c r="L1448" i="1"/>
  <c r="L1447" i="1"/>
  <c r="L1446" i="1"/>
  <c r="L1445" i="1"/>
  <c r="L1444" i="1"/>
  <c r="L1443" i="1"/>
  <c r="L1442" i="1"/>
  <c r="L1441" i="1"/>
  <c r="L1440" i="1"/>
  <c r="L1439" i="1"/>
  <c r="L1438" i="1"/>
  <c r="L1437" i="1"/>
  <c r="L1436" i="1"/>
  <c r="L1435" i="1"/>
  <c r="L1434" i="1"/>
  <c r="L1433" i="1"/>
  <c r="L1432" i="1"/>
  <c r="L1431" i="1"/>
  <c r="L1430" i="1"/>
  <c r="L1429" i="1"/>
  <c r="L1428" i="1"/>
  <c r="L1427" i="1"/>
  <c r="L1426" i="1"/>
  <c r="L1425" i="1"/>
  <c r="L1424" i="1"/>
  <c r="L1423" i="1"/>
  <c r="L1422" i="1"/>
  <c r="L1421" i="1"/>
  <c r="L1420" i="1"/>
  <c r="L1419" i="1"/>
  <c r="L1418" i="1"/>
  <c r="L1417" i="1"/>
  <c r="L1416" i="1"/>
  <c r="L1415" i="1"/>
  <c r="L1414" i="1"/>
  <c r="L1413" i="1"/>
  <c r="L1412" i="1"/>
  <c r="L1411" i="1"/>
  <c r="L1410" i="1"/>
  <c r="L1409" i="1"/>
  <c r="L1408" i="1"/>
  <c r="L1407" i="1"/>
  <c r="L1406" i="1"/>
  <c r="L1405" i="1"/>
  <c r="L1404" i="1"/>
  <c r="L1403" i="1"/>
  <c r="L1402" i="1"/>
  <c r="L1401" i="1"/>
  <c r="L1400" i="1"/>
  <c r="L1399" i="1"/>
  <c r="L1398" i="1"/>
  <c r="L1397" i="1"/>
  <c r="L1396" i="1"/>
  <c r="L1395" i="1"/>
  <c r="L1394" i="1"/>
  <c r="L1393" i="1"/>
  <c r="L1392" i="1"/>
  <c r="L1391" i="1"/>
  <c r="L1390" i="1"/>
  <c r="L1389" i="1"/>
  <c r="L1388" i="1"/>
  <c r="L1387" i="1"/>
  <c r="L1386" i="1"/>
  <c r="L1385" i="1"/>
  <c r="L1384" i="1"/>
  <c r="L1383" i="1"/>
  <c r="L1382" i="1"/>
  <c r="L1381" i="1"/>
  <c r="L1380" i="1"/>
  <c r="L1379" i="1"/>
  <c r="L1378" i="1"/>
  <c r="L1377" i="1"/>
  <c r="L1376" i="1"/>
  <c r="L1375" i="1"/>
  <c r="L1374" i="1"/>
  <c r="L1373" i="1"/>
  <c r="L1372" i="1"/>
  <c r="L1371" i="1"/>
  <c r="L1370" i="1"/>
  <c r="L1369" i="1"/>
  <c r="L1368" i="1"/>
  <c r="L1367" i="1"/>
  <c r="L1366" i="1"/>
  <c r="L1365" i="1"/>
  <c r="L1364" i="1"/>
  <c r="L1363" i="1"/>
  <c r="L1362" i="1"/>
  <c r="L1361" i="1"/>
  <c r="L1360" i="1"/>
  <c r="L1359" i="1"/>
  <c r="L1358" i="1"/>
  <c r="L1357" i="1"/>
  <c r="L1356" i="1"/>
  <c r="L1355" i="1"/>
  <c r="L1354" i="1"/>
  <c r="L1353" i="1"/>
  <c r="L1352" i="1"/>
  <c r="L1351" i="1"/>
  <c r="L1350" i="1"/>
  <c r="L1349" i="1"/>
  <c r="L1348" i="1"/>
  <c r="L1347" i="1"/>
  <c r="L1346" i="1"/>
  <c r="L1345" i="1"/>
  <c r="L1344" i="1"/>
  <c r="L1343" i="1"/>
  <c r="L1342" i="1"/>
  <c r="L1341" i="1"/>
  <c r="L1340" i="1"/>
  <c r="L1339" i="1"/>
  <c r="L1338" i="1"/>
  <c r="L1337" i="1"/>
  <c r="L1336" i="1"/>
  <c r="L1335" i="1"/>
  <c r="L1334" i="1"/>
  <c r="L1333" i="1"/>
  <c r="L1332" i="1"/>
  <c r="L1331" i="1"/>
  <c r="L1330" i="1"/>
  <c r="L1329" i="1"/>
  <c r="L1328" i="1"/>
  <c r="L1327" i="1"/>
  <c r="L1326" i="1"/>
  <c r="L1325" i="1"/>
  <c r="L1324" i="1"/>
  <c r="L1323" i="1"/>
  <c r="L1322" i="1"/>
  <c r="L1321" i="1"/>
  <c r="L1320" i="1"/>
  <c r="L1319" i="1"/>
  <c r="L1318" i="1"/>
  <c r="L1317" i="1"/>
  <c r="L1316" i="1"/>
  <c r="L1315" i="1"/>
  <c r="L1314" i="1"/>
  <c r="L1313" i="1"/>
  <c r="L1312" i="1"/>
  <c r="L1311" i="1"/>
  <c r="L1310" i="1"/>
  <c r="L1309" i="1"/>
  <c r="L1308" i="1"/>
  <c r="L1307" i="1"/>
  <c r="L1306" i="1"/>
  <c r="L1305" i="1"/>
  <c r="L1304" i="1"/>
  <c r="L1303" i="1"/>
  <c r="L1302" i="1"/>
  <c r="L1301" i="1"/>
  <c r="L1300" i="1"/>
  <c r="L1299" i="1"/>
  <c r="L1298" i="1"/>
  <c r="L1297" i="1"/>
  <c r="L1296" i="1"/>
  <c r="L1295" i="1"/>
  <c r="L1294" i="1"/>
  <c r="L1293" i="1"/>
  <c r="L1292" i="1"/>
  <c r="L1291" i="1"/>
  <c r="L1290" i="1"/>
  <c r="L1289" i="1"/>
  <c r="L1288" i="1"/>
  <c r="L1287" i="1"/>
  <c r="L1286" i="1"/>
  <c r="L1285" i="1"/>
  <c r="L1284" i="1"/>
  <c r="L1283" i="1"/>
  <c r="L1282" i="1"/>
  <c r="L1281" i="1"/>
  <c r="L1280" i="1"/>
  <c r="L1279" i="1"/>
  <c r="L1278" i="1"/>
  <c r="L1277" i="1"/>
  <c r="L1276" i="1"/>
  <c r="L1275" i="1"/>
  <c r="L1274" i="1"/>
  <c r="L1273" i="1"/>
  <c r="L1272" i="1"/>
  <c r="L1271" i="1"/>
  <c r="L1270" i="1"/>
  <c r="L1269" i="1"/>
  <c r="L1268" i="1"/>
  <c r="L1267" i="1"/>
  <c r="L1266" i="1"/>
  <c r="L1265" i="1"/>
  <c r="L1264" i="1"/>
  <c r="L1263" i="1"/>
  <c r="L1262" i="1"/>
  <c r="L1261" i="1"/>
  <c r="L1260" i="1"/>
  <c r="L1259" i="1"/>
  <c r="L1258" i="1"/>
  <c r="L1257" i="1"/>
  <c r="L1256" i="1"/>
  <c r="L1255" i="1"/>
  <c r="L1254" i="1"/>
  <c r="L1253" i="1"/>
  <c r="L1252" i="1"/>
  <c r="L1251" i="1"/>
  <c r="L1250" i="1"/>
  <c r="L1249" i="1"/>
  <c r="L1248" i="1"/>
  <c r="L1247" i="1"/>
  <c r="L1246" i="1"/>
  <c r="L1245" i="1"/>
  <c r="L1244" i="1"/>
  <c r="L1243" i="1"/>
  <c r="L1242" i="1"/>
  <c r="L1241" i="1"/>
  <c r="L1240" i="1"/>
  <c r="L1239" i="1"/>
  <c r="L1238" i="1"/>
  <c r="L1237" i="1"/>
  <c r="L1236" i="1"/>
  <c r="L1235" i="1"/>
  <c r="L1234" i="1"/>
  <c r="L1233" i="1"/>
  <c r="L1232" i="1"/>
  <c r="L1231" i="1"/>
  <c r="L1230" i="1"/>
  <c r="L1229" i="1"/>
  <c r="L1228" i="1"/>
  <c r="L1227" i="1"/>
  <c r="L1226" i="1"/>
  <c r="L1225" i="1"/>
  <c r="L1224" i="1"/>
  <c r="L1223" i="1"/>
  <c r="L1222" i="1"/>
  <c r="L1221" i="1"/>
  <c r="L1220" i="1"/>
  <c r="L1219" i="1"/>
  <c r="L1218" i="1"/>
  <c r="L1217" i="1"/>
  <c r="L1216" i="1"/>
  <c r="L1215" i="1"/>
  <c r="L1214" i="1"/>
  <c r="L1213" i="1"/>
  <c r="L1212" i="1"/>
  <c r="L1211" i="1"/>
  <c r="L1210" i="1"/>
  <c r="L1209" i="1"/>
  <c r="L1208" i="1"/>
  <c r="L1207" i="1"/>
  <c r="L1206" i="1"/>
  <c r="L1205" i="1"/>
  <c r="L1204" i="1"/>
  <c r="L1203" i="1"/>
  <c r="L1202" i="1"/>
  <c r="L1201" i="1"/>
  <c r="L1200" i="1"/>
  <c r="L1199" i="1"/>
  <c r="L1198" i="1"/>
  <c r="L1197" i="1"/>
  <c r="L1196" i="1"/>
  <c r="L1195" i="1"/>
  <c r="L1194" i="1"/>
  <c r="L1193" i="1"/>
  <c r="L1192" i="1"/>
  <c r="L1191" i="1"/>
  <c r="L1190" i="1"/>
  <c r="L1189" i="1"/>
  <c r="L1188" i="1"/>
  <c r="L1187" i="1"/>
  <c r="L1186" i="1"/>
  <c r="L1185" i="1"/>
  <c r="L1184" i="1"/>
  <c r="L1183" i="1"/>
  <c r="L1182" i="1"/>
  <c r="L1181" i="1"/>
  <c r="L1180" i="1"/>
  <c r="L1179" i="1"/>
  <c r="L1178" i="1"/>
  <c r="L1177" i="1"/>
  <c r="L1176" i="1"/>
  <c r="L1175" i="1"/>
  <c r="L1174" i="1"/>
  <c r="L1173" i="1"/>
  <c r="L1172" i="1"/>
  <c r="L1171" i="1"/>
  <c r="L1170" i="1"/>
  <c r="L1169" i="1"/>
  <c r="L1168" i="1"/>
  <c r="L1167" i="1"/>
  <c r="L1166" i="1"/>
  <c r="L1165" i="1"/>
  <c r="L1164" i="1"/>
  <c r="L1163" i="1"/>
  <c r="L1162" i="1"/>
  <c r="L1161" i="1"/>
  <c r="L1160" i="1"/>
  <c r="L1159" i="1"/>
  <c r="L1158" i="1"/>
  <c r="L1157" i="1"/>
  <c r="L1156" i="1"/>
  <c r="L1155" i="1"/>
  <c r="L1154" i="1"/>
  <c r="L1153" i="1"/>
  <c r="L1152" i="1"/>
  <c r="L1151" i="1"/>
  <c r="L1150" i="1"/>
  <c r="L1149" i="1"/>
  <c r="L1148" i="1"/>
  <c r="L1147" i="1"/>
  <c r="L1146" i="1"/>
  <c r="L1145" i="1"/>
  <c r="L1144" i="1"/>
  <c r="L1143" i="1"/>
  <c r="L1142" i="1"/>
  <c r="L1141" i="1"/>
  <c r="L1140" i="1"/>
  <c r="L1139" i="1"/>
  <c r="L1138" i="1"/>
  <c r="L1137" i="1"/>
  <c r="L1136" i="1"/>
  <c r="L1135" i="1"/>
  <c r="L1134" i="1"/>
  <c r="L1133" i="1"/>
  <c r="L1132" i="1"/>
  <c r="L1131" i="1"/>
  <c r="L1130" i="1"/>
  <c r="L1129" i="1"/>
  <c r="L1128" i="1"/>
  <c r="L1127" i="1"/>
  <c r="L1126" i="1"/>
  <c r="L1125" i="1"/>
  <c r="L1124" i="1"/>
  <c r="L1123" i="1"/>
  <c r="L1122" i="1"/>
  <c r="L1121" i="1"/>
  <c r="L1120" i="1"/>
  <c r="L1119" i="1"/>
  <c r="L1118" i="1"/>
  <c r="L1117" i="1"/>
  <c r="L1116" i="1"/>
  <c r="L1115" i="1"/>
  <c r="L1114" i="1"/>
  <c r="L1113" i="1"/>
  <c r="L1112" i="1"/>
  <c r="L1111" i="1"/>
  <c r="L1110" i="1"/>
  <c r="L1109" i="1"/>
  <c r="L1108" i="1"/>
  <c r="L1107" i="1"/>
  <c r="L1106" i="1"/>
  <c r="L1105" i="1"/>
  <c r="L1104" i="1"/>
  <c r="L1103" i="1"/>
  <c r="L1102" i="1"/>
  <c r="L1101" i="1"/>
  <c r="L1100" i="1"/>
  <c r="L1099" i="1"/>
  <c r="L1098" i="1"/>
  <c r="L1097" i="1"/>
  <c r="L1096" i="1"/>
  <c r="L1095" i="1"/>
  <c r="L1094" i="1"/>
  <c r="L1093" i="1"/>
  <c r="L1092" i="1"/>
  <c r="L1091" i="1"/>
  <c r="L1090" i="1"/>
  <c r="L1089" i="1"/>
  <c r="L1088" i="1"/>
  <c r="L1087" i="1"/>
  <c r="L1086" i="1"/>
  <c r="L1085" i="1"/>
  <c r="L1084" i="1"/>
  <c r="L1083" i="1"/>
  <c r="L1082" i="1"/>
  <c r="L1081" i="1"/>
  <c r="L1080" i="1"/>
  <c r="L1079" i="1"/>
  <c r="L1078" i="1"/>
  <c r="L1077" i="1"/>
  <c r="L1076" i="1"/>
  <c r="L1075" i="1"/>
  <c r="L1074" i="1"/>
  <c r="L1073" i="1"/>
  <c r="L1072" i="1"/>
  <c r="L1071" i="1"/>
  <c r="L1070" i="1"/>
  <c r="L1069" i="1"/>
  <c r="L1068" i="1"/>
  <c r="L1067" i="1"/>
  <c r="L1066" i="1"/>
  <c r="L1065" i="1"/>
  <c r="L1064" i="1"/>
  <c r="L1063" i="1"/>
  <c r="L1062" i="1"/>
  <c r="L1061" i="1"/>
  <c r="L1060" i="1"/>
  <c r="L1059" i="1"/>
  <c r="L1058" i="1"/>
  <c r="L1057" i="1"/>
  <c r="L1056" i="1"/>
  <c r="L1055" i="1"/>
  <c r="L1054" i="1"/>
  <c r="L1053" i="1"/>
  <c r="L1052" i="1"/>
  <c r="L1051" i="1"/>
  <c r="L1050" i="1"/>
  <c r="L1049" i="1"/>
  <c r="L1048" i="1"/>
  <c r="L1047" i="1"/>
  <c r="L1046" i="1"/>
  <c r="L1045" i="1"/>
  <c r="L1044" i="1"/>
  <c r="L1043" i="1"/>
  <c r="L1042" i="1"/>
  <c r="L1041" i="1"/>
  <c r="L1040" i="1"/>
  <c r="L1039" i="1"/>
  <c r="L1038" i="1"/>
  <c r="L1037" i="1"/>
  <c r="L1036" i="1"/>
  <c r="L1035" i="1"/>
  <c r="L1034" i="1"/>
  <c r="L1033" i="1"/>
  <c r="L1032" i="1"/>
  <c r="L1031" i="1"/>
  <c r="L1030" i="1"/>
  <c r="L1029" i="1"/>
  <c r="L1028" i="1"/>
  <c r="L1027" i="1"/>
  <c r="L1026" i="1"/>
  <c r="L1025" i="1"/>
  <c r="L1024" i="1"/>
  <c r="L1023" i="1"/>
  <c r="L1022" i="1"/>
  <c r="L1021" i="1"/>
  <c r="L1020" i="1"/>
  <c r="L1019" i="1"/>
  <c r="L1018" i="1"/>
  <c r="L1017" i="1"/>
  <c r="L1016" i="1"/>
  <c r="L1015" i="1"/>
  <c r="L1014" i="1"/>
  <c r="L1013" i="1"/>
  <c r="L1012" i="1"/>
  <c r="L1011" i="1"/>
  <c r="L1010" i="1"/>
  <c r="L1009" i="1"/>
  <c r="L1008" i="1"/>
  <c r="L1007" i="1"/>
  <c r="L1006" i="1"/>
  <c r="L1005" i="1"/>
  <c r="L1004" i="1"/>
  <c r="L1003" i="1"/>
  <c r="L1002" i="1"/>
  <c r="L1001" i="1"/>
  <c r="L1000" i="1"/>
  <c r="L999" i="1"/>
  <c r="L998" i="1"/>
  <c r="L997" i="1"/>
  <c r="L996" i="1"/>
  <c r="L995" i="1"/>
  <c r="L994" i="1"/>
  <c r="L993" i="1"/>
  <c r="L992" i="1"/>
  <c r="L991" i="1"/>
  <c r="L990" i="1"/>
  <c r="L989" i="1"/>
  <c r="L988" i="1"/>
  <c r="L987" i="1"/>
  <c r="L986" i="1"/>
  <c r="L985" i="1"/>
  <c r="L984" i="1"/>
  <c r="L983" i="1"/>
  <c r="L982" i="1"/>
  <c r="L981" i="1"/>
  <c r="L980" i="1"/>
  <c r="L979" i="1"/>
  <c r="L978" i="1"/>
  <c r="L977" i="1"/>
  <c r="L976" i="1"/>
  <c r="L975" i="1"/>
  <c r="L974" i="1"/>
  <c r="L973" i="1"/>
  <c r="L972" i="1"/>
  <c r="L971" i="1"/>
  <c r="L970" i="1"/>
  <c r="L969" i="1"/>
  <c r="L968" i="1"/>
  <c r="L967" i="1"/>
  <c r="L966" i="1"/>
  <c r="L965" i="1"/>
  <c r="L964" i="1"/>
  <c r="L963" i="1"/>
  <c r="L962" i="1"/>
  <c r="L961" i="1"/>
  <c r="L960" i="1"/>
  <c r="L959" i="1"/>
  <c r="L958" i="1"/>
  <c r="L957" i="1"/>
  <c r="L956" i="1"/>
  <c r="L955" i="1"/>
  <c r="L954" i="1"/>
  <c r="L953" i="1"/>
  <c r="L952" i="1"/>
  <c r="L951" i="1"/>
  <c r="L950" i="1"/>
  <c r="L949" i="1"/>
  <c r="L948" i="1"/>
  <c r="L947" i="1"/>
  <c r="L946" i="1"/>
  <c r="L945" i="1"/>
  <c r="L944" i="1"/>
  <c r="L943" i="1"/>
  <c r="L942" i="1"/>
  <c r="L941" i="1"/>
  <c r="L940" i="1"/>
  <c r="L939" i="1"/>
  <c r="L938" i="1"/>
  <c r="L937" i="1"/>
  <c r="L936" i="1"/>
  <c r="L935" i="1"/>
  <c r="L934" i="1"/>
  <c r="L933" i="1"/>
  <c r="L932" i="1"/>
  <c r="L931" i="1"/>
  <c r="L930" i="1"/>
  <c r="L929" i="1"/>
  <c r="L928" i="1"/>
  <c r="L927" i="1"/>
  <c r="L926" i="1"/>
  <c r="L925" i="1"/>
  <c r="L924" i="1"/>
  <c r="L923" i="1"/>
  <c r="L922" i="1"/>
  <c r="L921" i="1"/>
  <c r="L920" i="1"/>
  <c r="L919" i="1"/>
  <c r="L918" i="1"/>
  <c r="L917" i="1"/>
  <c r="L916" i="1"/>
  <c r="L915" i="1"/>
  <c r="L914" i="1"/>
  <c r="L913" i="1"/>
  <c r="L912" i="1"/>
  <c r="L911" i="1"/>
  <c r="L910" i="1"/>
  <c r="L909" i="1"/>
  <c r="L908" i="1"/>
  <c r="L907" i="1"/>
  <c r="L906" i="1"/>
  <c r="L905" i="1"/>
  <c r="L904" i="1"/>
  <c r="L903" i="1"/>
  <c r="L902" i="1"/>
  <c r="L901" i="1"/>
  <c r="L900" i="1"/>
  <c r="L899" i="1"/>
  <c r="L898" i="1"/>
  <c r="L897" i="1"/>
  <c r="L896" i="1"/>
  <c r="L895" i="1"/>
  <c r="L894" i="1"/>
  <c r="L893" i="1"/>
  <c r="L892" i="1"/>
  <c r="L891" i="1"/>
  <c r="L890" i="1"/>
  <c r="L889" i="1"/>
  <c r="L888" i="1"/>
  <c r="L887" i="1"/>
  <c r="L886" i="1"/>
  <c r="L885" i="1"/>
  <c r="L884" i="1"/>
  <c r="L883" i="1"/>
  <c r="L882" i="1"/>
  <c r="L881" i="1"/>
  <c r="L880" i="1"/>
  <c r="L879" i="1"/>
  <c r="L878" i="1"/>
  <c r="L877" i="1"/>
  <c r="L876" i="1"/>
  <c r="L875" i="1"/>
  <c r="L874" i="1"/>
  <c r="L873" i="1"/>
  <c r="L872" i="1"/>
  <c r="L871" i="1"/>
  <c r="L870" i="1"/>
  <c r="L869" i="1"/>
  <c r="L868" i="1"/>
  <c r="L867" i="1"/>
  <c r="L866" i="1"/>
  <c r="L865" i="1"/>
  <c r="L864" i="1"/>
  <c r="L863" i="1"/>
  <c r="L862" i="1"/>
  <c r="L861" i="1"/>
  <c r="L860" i="1"/>
  <c r="L859" i="1"/>
  <c r="L858" i="1"/>
  <c r="L857" i="1"/>
  <c r="L856" i="1"/>
  <c r="L855" i="1"/>
  <c r="L854" i="1"/>
  <c r="L853" i="1"/>
  <c r="L852" i="1"/>
  <c r="L851" i="1"/>
  <c r="L850" i="1"/>
  <c r="L849" i="1"/>
  <c r="L848" i="1"/>
  <c r="L847" i="1"/>
  <c r="L846" i="1"/>
  <c r="L845" i="1"/>
  <c r="L844" i="1"/>
  <c r="L843" i="1"/>
  <c r="L842" i="1"/>
  <c r="L841" i="1"/>
  <c r="L840" i="1"/>
  <c r="L839" i="1"/>
  <c r="L838" i="1"/>
  <c r="L837" i="1"/>
  <c r="L836" i="1"/>
  <c r="L835" i="1"/>
  <c r="L834" i="1"/>
  <c r="L833" i="1"/>
  <c r="L832" i="1"/>
  <c r="L831" i="1"/>
  <c r="L830" i="1"/>
  <c r="L829" i="1"/>
  <c r="L828" i="1"/>
  <c r="L827" i="1"/>
  <c r="L826" i="1"/>
  <c r="L825" i="1"/>
  <c r="L824" i="1"/>
  <c r="L823" i="1"/>
  <c r="L822" i="1"/>
  <c r="L821" i="1"/>
  <c r="L820" i="1"/>
  <c r="L819" i="1"/>
  <c r="L818" i="1"/>
  <c r="L817" i="1"/>
  <c r="L816" i="1"/>
  <c r="L815" i="1"/>
  <c r="L814" i="1"/>
  <c r="L813" i="1"/>
  <c r="L812" i="1"/>
  <c r="L811" i="1"/>
  <c r="L810" i="1"/>
  <c r="L809" i="1"/>
  <c r="L808" i="1"/>
  <c r="L807" i="1"/>
  <c r="L806" i="1"/>
  <c r="L805" i="1"/>
  <c r="L804" i="1"/>
  <c r="L803" i="1"/>
  <c r="L802" i="1"/>
  <c r="L801" i="1"/>
  <c r="L800" i="1"/>
  <c r="L799" i="1"/>
  <c r="L798" i="1"/>
  <c r="L797" i="1"/>
  <c r="L796" i="1"/>
  <c r="L795" i="1"/>
  <c r="L794" i="1"/>
  <c r="L793" i="1"/>
  <c r="L792" i="1"/>
  <c r="L791" i="1"/>
  <c r="L790" i="1"/>
  <c r="L789" i="1"/>
  <c r="L788" i="1"/>
  <c r="L787" i="1"/>
  <c r="L786" i="1"/>
  <c r="L785" i="1"/>
  <c r="L784" i="1"/>
  <c r="L783" i="1"/>
  <c r="L782" i="1"/>
  <c r="L781" i="1"/>
  <c r="L780" i="1"/>
  <c r="L779" i="1"/>
  <c r="L778" i="1"/>
  <c r="L777" i="1"/>
  <c r="L776" i="1"/>
  <c r="L775" i="1"/>
  <c r="L774" i="1"/>
  <c r="L773" i="1"/>
  <c r="L772" i="1"/>
  <c r="L771" i="1"/>
  <c r="L770" i="1"/>
  <c r="L769" i="1"/>
  <c r="L768" i="1"/>
  <c r="L767" i="1"/>
  <c r="L766" i="1"/>
  <c r="L765" i="1"/>
  <c r="L764" i="1"/>
  <c r="L763" i="1"/>
  <c r="L762" i="1"/>
  <c r="L761" i="1"/>
  <c r="L760" i="1"/>
  <c r="L759" i="1"/>
  <c r="L758" i="1"/>
  <c r="L757" i="1"/>
  <c r="L756" i="1"/>
  <c r="L755" i="1"/>
  <c r="L754" i="1"/>
  <c r="L753" i="1"/>
  <c r="L752" i="1"/>
  <c r="L751" i="1"/>
  <c r="L750" i="1"/>
  <c r="L749" i="1"/>
  <c r="L748" i="1"/>
  <c r="L747" i="1"/>
  <c r="L746" i="1"/>
  <c r="L745" i="1"/>
  <c r="L744" i="1"/>
  <c r="L743" i="1"/>
  <c r="L742" i="1"/>
  <c r="L741" i="1"/>
  <c r="L740" i="1"/>
  <c r="L739" i="1"/>
  <c r="L738" i="1"/>
  <c r="L737" i="1"/>
  <c r="L736" i="1"/>
  <c r="L735" i="1"/>
  <c r="L734" i="1"/>
  <c r="L733" i="1"/>
  <c r="L732" i="1"/>
  <c r="L731" i="1"/>
  <c r="L730" i="1"/>
  <c r="L729" i="1"/>
  <c r="L728" i="1"/>
  <c r="L727" i="1"/>
  <c r="L726" i="1"/>
  <c r="L725" i="1"/>
  <c r="L724" i="1"/>
  <c r="L723" i="1"/>
  <c r="L722" i="1"/>
  <c r="L721" i="1"/>
  <c r="L720" i="1"/>
  <c r="L719" i="1"/>
  <c r="L718" i="1"/>
  <c r="L717" i="1"/>
  <c r="L716" i="1"/>
  <c r="L715" i="1"/>
  <c r="L714" i="1"/>
  <c r="L713" i="1"/>
  <c r="L712" i="1"/>
  <c r="L711" i="1"/>
  <c r="L710" i="1"/>
  <c r="L709" i="1"/>
  <c r="L708" i="1"/>
  <c r="L707" i="1"/>
  <c r="L706" i="1"/>
  <c r="L705" i="1"/>
  <c r="L704" i="1"/>
  <c r="L703" i="1"/>
  <c r="L702" i="1"/>
  <c r="L701" i="1"/>
  <c r="L700" i="1"/>
  <c r="L699" i="1"/>
  <c r="L698" i="1"/>
  <c r="L697" i="1"/>
  <c r="L696" i="1"/>
  <c r="L695" i="1"/>
  <c r="L694" i="1"/>
  <c r="L693" i="1"/>
  <c r="L692" i="1"/>
  <c r="L691" i="1"/>
  <c r="L690" i="1"/>
  <c r="L689" i="1"/>
  <c r="L688" i="1"/>
  <c r="L687" i="1"/>
  <c r="L686" i="1"/>
  <c r="L685" i="1"/>
  <c r="L684" i="1"/>
  <c r="L683" i="1"/>
  <c r="L682" i="1"/>
  <c r="L681" i="1"/>
  <c r="L680" i="1"/>
  <c r="L679" i="1"/>
  <c r="L678" i="1"/>
  <c r="L677" i="1"/>
  <c r="L676" i="1"/>
  <c r="L675" i="1"/>
  <c r="L674" i="1"/>
  <c r="L673" i="1"/>
  <c r="L672" i="1"/>
  <c r="L671" i="1"/>
  <c r="L670" i="1"/>
  <c r="L669" i="1"/>
  <c r="L668" i="1"/>
  <c r="L667" i="1"/>
  <c r="L666" i="1"/>
  <c r="L665" i="1"/>
  <c r="L664" i="1"/>
  <c r="L663" i="1"/>
  <c r="L662" i="1"/>
  <c r="L661" i="1"/>
  <c r="L660" i="1"/>
  <c r="L659" i="1"/>
  <c r="L658" i="1"/>
  <c r="L657" i="1"/>
  <c r="L656" i="1"/>
  <c r="L655" i="1"/>
  <c r="L654" i="1"/>
  <c r="L653" i="1"/>
  <c r="L652" i="1"/>
  <c r="L651" i="1"/>
  <c r="L650" i="1"/>
  <c r="L649" i="1"/>
  <c r="L648" i="1"/>
  <c r="L647" i="1"/>
  <c r="L646" i="1"/>
  <c r="L645" i="1"/>
  <c r="L644" i="1"/>
  <c r="L643" i="1"/>
  <c r="L642" i="1"/>
  <c r="L641" i="1"/>
  <c r="L640" i="1"/>
  <c r="L639" i="1"/>
  <c r="L638" i="1"/>
  <c r="L637" i="1"/>
  <c r="L636" i="1"/>
  <c r="L635" i="1"/>
  <c r="L634" i="1"/>
  <c r="L633" i="1"/>
  <c r="L632" i="1"/>
  <c r="L631" i="1"/>
  <c r="L630" i="1"/>
  <c r="L629" i="1"/>
  <c r="L628" i="1"/>
  <c r="L627" i="1"/>
  <c r="L626" i="1"/>
  <c r="L625" i="1"/>
  <c r="L624" i="1"/>
  <c r="L623" i="1"/>
  <c r="L622" i="1"/>
  <c r="L621" i="1"/>
  <c r="L620" i="1"/>
  <c r="L619" i="1"/>
  <c r="L618" i="1"/>
  <c r="L617" i="1"/>
  <c r="L616" i="1"/>
  <c r="L615" i="1"/>
  <c r="L614" i="1"/>
  <c r="L613" i="1"/>
  <c r="L612" i="1"/>
  <c r="L611" i="1"/>
  <c r="L610" i="1"/>
  <c r="L609" i="1"/>
  <c r="L608" i="1"/>
  <c r="L607" i="1"/>
  <c r="L606" i="1"/>
  <c r="L605" i="1"/>
  <c r="L604" i="1"/>
  <c r="L603" i="1"/>
  <c r="L602" i="1"/>
  <c r="L601" i="1"/>
  <c r="L600" i="1"/>
  <c r="L599" i="1"/>
  <c r="L598" i="1"/>
  <c r="L597" i="1"/>
  <c r="L596" i="1"/>
  <c r="L595" i="1"/>
  <c r="L594" i="1"/>
  <c r="L593" i="1"/>
  <c r="L592" i="1"/>
  <c r="L591" i="1"/>
  <c r="L590" i="1"/>
  <c r="L589" i="1"/>
  <c r="L588" i="1"/>
  <c r="L587" i="1"/>
  <c r="L586" i="1"/>
  <c r="L585" i="1"/>
  <c r="L584" i="1"/>
  <c r="L583" i="1"/>
  <c r="L582" i="1"/>
  <c r="L581" i="1"/>
  <c r="L580" i="1"/>
  <c r="L579" i="1"/>
  <c r="L578" i="1"/>
  <c r="L577" i="1"/>
  <c r="L576" i="1"/>
  <c r="L575" i="1"/>
  <c r="L574" i="1"/>
  <c r="L573" i="1"/>
  <c r="L572" i="1"/>
  <c r="L571" i="1"/>
  <c r="L570" i="1"/>
  <c r="L569" i="1"/>
  <c r="L568" i="1"/>
  <c r="L567" i="1"/>
  <c r="L566" i="1"/>
  <c r="L565" i="1"/>
  <c r="L564" i="1"/>
  <c r="L563" i="1"/>
  <c r="L562" i="1"/>
  <c r="L561" i="1"/>
  <c r="L560" i="1"/>
  <c r="L559" i="1"/>
  <c r="L558" i="1"/>
  <c r="L557" i="1"/>
  <c r="L556" i="1"/>
  <c r="L555" i="1"/>
  <c r="L554" i="1"/>
  <c r="L553" i="1"/>
  <c r="L552" i="1"/>
  <c r="L551" i="1"/>
  <c r="L550" i="1"/>
  <c r="L549" i="1"/>
  <c r="L548" i="1"/>
  <c r="L547" i="1"/>
  <c r="L546" i="1"/>
  <c r="L545" i="1"/>
  <c r="L544" i="1"/>
  <c r="L543" i="1"/>
  <c r="L542" i="1"/>
  <c r="L541" i="1"/>
  <c r="L540" i="1"/>
  <c r="L539" i="1"/>
  <c r="L538" i="1"/>
  <c r="L537" i="1"/>
  <c r="L536" i="1"/>
  <c r="L535" i="1"/>
  <c r="L534" i="1"/>
  <c r="L533" i="1"/>
  <c r="L532" i="1"/>
  <c r="L531" i="1"/>
  <c r="L530" i="1"/>
  <c r="L529" i="1"/>
  <c r="L528" i="1"/>
  <c r="L527" i="1"/>
  <c r="L526" i="1"/>
  <c r="L525" i="1"/>
  <c r="L524" i="1"/>
  <c r="L523" i="1"/>
  <c r="L522" i="1"/>
  <c r="L521" i="1"/>
  <c r="L520" i="1"/>
  <c r="L519" i="1"/>
  <c r="L518" i="1"/>
  <c r="L517" i="1"/>
  <c r="L516" i="1"/>
  <c r="L515" i="1"/>
  <c r="L514" i="1"/>
  <c r="L513" i="1"/>
  <c r="L512" i="1"/>
  <c r="L511" i="1"/>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F2" i="1"/>
  <c r="F3" i="1"/>
  <c r="F4"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F2001"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K1079" i="1"/>
  <c r="K1080" i="1"/>
  <c r="K1081" i="1"/>
  <c r="K1082" i="1"/>
  <c r="K1083" i="1"/>
  <c r="K1084" i="1"/>
  <c r="K1085" i="1"/>
  <c r="K1086" i="1"/>
  <c r="K1087" i="1"/>
  <c r="K1088" i="1"/>
  <c r="K1089" i="1"/>
  <c r="K1090" i="1"/>
  <c r="K1091" i="1"/>
  <c r="K1092" i="1"/>
  <c r="K1093" i="1"/>
  <c r="K1094" i="1"/>
  <c r="K1095" i="1"/>
  <c r="K1096" i="1"/>
  <c r="K1097" i="1"/>
  <c r="K1098" i="1"/>
  <c r="K1099" i="1"/>
  <c r="K1100" i="1"/>
  <c r="K1101" i="1"/>
  <c r="K1102" i="1"/>
  <c r="K1103" i="1"/>
  <c r="K1104" i="1"/>
  <c r="K1105" i="1"/>
  <c r="K1106" i="1"/>
  <c r="K1107" i="1"/>
  <c r="K1108" i="1"/>
  <c r="K1109" i="1"/>
  <c r="K1110" i="1"/>
  <c r="K1111" i="1"/>
  <c r="K1112" i="1"/>
  <c r="K1113" i="1"/>
  <c r="K1114" i="1"/>
  <c r="K1115" i="1"/>
  <c r="K1116" i="1"/>
  <c r="K1117" i="1"/>
  <c r="K1118" i="1"/>
  <c r="K1119" i="1"/>
  <c r="K1120" i="1"/>
  <c r="K1121" i="1"/>
  <c r="K1122" i="1"/>
  <c r="K1123" i="1"/>
  <c r="K1124" i="1"/>
  <c r="K1125" i="1"/>
  <c r="K1126" i="1"/>
  <c r="K1127" i="1"/>
  <c r="K1128" i="1"/>
  <c r="K1129" i="1"/>
  <c r="K1130" i="1"/>
  <c r="K1131" i="1"/>
  <c r="K1132" i="1"/>
  <c r="K1133" i="1"/>
  <c r="K1134" i="1"/>
  <c r="K1135" i="1"/>
  <c r="K1136" i="1"/>
  <c r="K1137" i="1"/>
  <c r="K1138" i="1"/>
  <c r="K1139" i="1"/>
  <c r="K1140" i="1"/>
  <c r="K1141" i="1"/>
  <c r="K1142" i="1"/>
  <c r="K1143" i="1"/>
  <c r="K1144" i="1"/>
  <c r="K1145" i="1"/>
  <c r="K1146" i="1"/>
  <c r="K1147" i="1"/>
  <c r="K1148" i="1"/>
  <c r="K1149" i="1"/>
  <c r="K1150" i="1"/>
  <c r="K1151" i="1"/>
  <c r="K1152" i="1"/>
  <c r="K1153" i="1"/>
  <c r="K1154" i="1"/>
  <c r="K1155" i="1"/>
  <c r="K1156" i="1"/>
  <c r="K1157" i="1"/>
  <c r="K1158" i="1"/>
  <c r="K1159" i="1"/>
  <c r="K1160" i="1"/>
  <c r="K1161" i="1"/>
  <c r="K1162" i="1"/>
  <c r="K1163" i="1"/>
  <c r="K1164" i="1"/>
  <c r="K1165" i="1"/>
  <c r="K1166" i="1"/>
  <c r="K1167" i="1"/>
  <c r="K1168" i="1"/>
  <c r="K1169" i="1"/>
  <c r="K1170" i="1"/>
  <c r="K1171" i="1"/>
  <c r="K1172" i="1"/>
  <c r="K1173" i="1"/>
  <c r="K1174" i="1"/>
  <c r="K1175" i="1"/>
  <c r="K1176" i="1"/>
  <c r="K1177" i="1"/>
  <c r="K1178" i="1"/>
  <c r="K1179" i="1"/>
  <c r="K1180" i="1"/>
  <c r="K1181" i="1"/>
  <c r="K1182" i="1"/>
  <c r="K1183" i="1"/>
  <c r="K1184" i="1"/>
  <c r="K1185" i="1"/>
  <c r="K1186" i="1"/>
  <c r="K1187" i="1"/>
  <c r="K1188" i="1"/>
  <c r="K1189" i="1"/>
  <c r="K1190" i="1"/>
  <c r="K1191" i="1"/>
  <c r="K1192" i="1"/>
  <c r="K1193" i="1"/>
  <c r="K1194" i="1"/>
  <c r="K1195" i="1"/>
  <c r="K1196" i="1"/>
  <c r="K1197" i="1"/>
  <c r="K1198" i="1"/>
  <c r="K1199" i="1"/>
  <c r="K1200" i="1"/>
  <c r="K1201" i="1"/>
  <c r="K1202" i="1"/>
  <c r="K1203" i="1"/>
  <c r="K1204" i="1"/>
  <c r="K1205" i="1"/>
  <c r="K1206" i="1"/>
  <c r="K1207" i="1"/>
  <c r="K1208" i="1"/>
  <c r="K1209" i="1"/>
  <c r="K1210" i="1"/>
  <c r="K1211" i="1"/>
  <c r="K1212" i="1"/>
  <c r="K1213" i="1"/>
  <c r="K1214" i="1"/>
  <c r="K1215" i="1"/>
  <c r="K1216" i="1"/>
  <c r="K1217" i="1"/>
  <c r="K1218" i="1"/>
  <c r="K1219" i="1"/>
  <c r="K1220" i="1"/>
  <c r="K1221" i="1"/>
  <c r="K1222" i="1"/>
  <c r="K1223" i="1"/>
  <c r="K1224" i="1"/>
  <c r="K1225" i="1"/>
  <c r="K1226" i="1"/>
  <c r="K1227" i="1"/>
  <c r="K1228" i="1"/>
  <c r="K1229" i="1"/>
  <c r="K1230" i="1"/>
  <c r="K1231" i="1"/>
  <c r="K1232" i="1"/>
  <c r="K1233" i="1"/>
  <c r="K1234" i="1"/>
  <c r="K1235" i="1"/>
  <c r="K1236" i="1"/>
  <c r="K1237" i="1"/>
  <c r="K1238" i="1"/>
  <c r="K1239" i="1"/>
  <c r="K1240" i="1"/>
  <c r="K1241" i="1"/>
  <c r="K1242" i="1"/>
  <c r="K1243" i="1"/>
  <c r="K1244" i="1"/>
  <c r="K1245" i="1"/>
  <c r="K1246" i="1"/>
  <c r="K1247" i="1"/>
  <c r="K1248" i="1"/>
  <c r="K1249" i="1"/>
  <c r="K1250" i="1"/>
  <c r="K1251" i="1"/>
  <c r="K1252" i="1"/>
  <c r="K1253" i="1"/>
  <c r="K1254" i="1"/>
  <c r="K1255" i="1"/>
  <c r="K1256" i="1"/>
  <c r="K1257" i="1"/>
  <c r="K1258" i="1"/>
  <c r="K1259" i="1"/>
  <c r="K1260" i="1"/>
  <c r="K1261" i="1"/>
  <c r="K1262" i="1"/>
  <c r="K1263" i="1"/>
  <c r="K1264" i="1"/>
  <c r="K1265" i="1"/>
  <c r="K1266" i="1"/>
  <c r="K1267" i="1"/>
  <c r="K1268" i="1"/>
  <c r="K1269" i="1"/>
  <c r="K1270" i="1"/>
  <c r="K1271" i="1"/>
  <c r="K1272" i="1"/>
  <c r="K1273" i="1"/>
  <c r="K1274" i="1"/>
  <c r="K1275" i="1"/>
  <c r="K1276" i="1"/>
  <c r="K1277" i="1"/>
  <c r="K1278" i="1"/>
  <c r="K1279" i="1"/>
  <c r="K1280" i="1"/>
  <c r="K1281" i="1"/>
  <c r="K1282" i="1"/>
  <c r="K1283" i="1"/>
  <c r="K1284" i="1"/>
  <c r="K1285" i="1"/>
  <c r="K1286" i="1"/>
  <c r="K1287" i="1"/>
  <c r="K1288" i="1"/>
  <c r="K1289" i="1"/>
  <c r="K1290" i="1"/>
  <c r="K1291" i="1"/>
  <c r="K1292" i="1"/>
  <c r="K1293" i="1"/>
  <c r="K1294" i="1"/>
  <c r="K1295" i="1"/>
  <c r="K1296" i="1"/>
  <c r="K1297" i="1"/>
  <c r="K1298" i="1"/>
  <c r="K1299" i="1"/>
  <c r="K1300" i="1"/>
  <c r="K1301" i="1"/>
  <c r="K1302" i="1"/>
  <c r="K1303" i="1"/>
  <c r="K1304" i="1"/>
  <c r="K1305" i="1"/>
  <c r="K1306" i="1"/>
  <c r="K1307" i="1"/>
  <c r="K1308" i="1"/>
  <c r="K1309" i="1"/>
  <c r="K1310" i="1"/>
  <c r="K1311" i="1"/>
  <c r="K1312" i="1"/>
  <c r="K1313" i="1"/>
  <c r="K1314" i="1"/>
  <c r="K1315" i="1"/>
  <c r="K1316" i="1"/>
  <c r="K1317" i="1"/>
  <c r="K1318" i="1"/>
  <c r="K1319" i="1"/>
  <c r="K1320" i="1"/>
  <c r="K1321" i="1"/>
  <c r="K1322" i="1"/>
  <c r="K1323" i="1"/>
  <c r="K1324" i="1"/>
  <c r="K1325" i="1"/>
  <c r="K1326" i="1"/>
  <c r="K1327" i="1"/>
  <c r="K1328" i="1"/>
  <c r="K1329" i="1"/>
  <c r="K1330" i="1"/>
  <c r="K1331" i="1"/>
  <c r="K1332" i="1"/>
  <c r="K1333" i="1"/>
  <c r="K1334" i="1"/>
  <c r="K1335" i="1"/>
  <c r="K1336" i="1"/>
  <c r="K1337" i="1"/>
  <c r="K1338" i="1"/>
  <c r="K1339" i="1"/>
  <c r="K1340" i="1"/>
  <c r="K1341" i="1"/>
  <c r="K1342" i="1"/>
  <c r="K1343" i="1"/>
  <c r="K1344" i="1"/>
  <c r="K1345" i="1"/>
  <c r="K1346" i="1"/>
  <c r="K1347" i="1"/>
  <c r="K1348" i="1"/>
  <c r="K1349" i="1"/>
  <c r="K1350" i="1"/>
  <c r="K1351" i="1"/>
  <c r="K1352" i="1"/>
  <c r="K1353" i="1"/>
  <c r="K1354" i="1"/>
  <c r="K1355" i="1"/>
  <c r="K1356" i="1"/>
  <c r="K1357" i="1"/>
  <c r="K1358" i="1"/>
  <c r="K1359" i="1"/>
  <c r="K1360" i="1"/>
  <c r="K1361" i="1"/>
  <c r="K1362" i="1"/>
  <c r="K1363" i="1"/>
  <c r="K1364" i="1"/>
  <c r="K1365" i="1"/>
  <c r="K1366" i="1"/>
  <c r="K1367" i="1"/>
  <c r="K1368" i="1"/>
  <c r="K1369" i="1"/>
  <c r="K1370" i="1"/>
  <c r="K1371" i="1"/>
  <c r="K1372" i="1"/>
  <c r="K1373" i="1"/>
  <c r="K1374" i="1"/>
  <c r="K1375" i="1"/>
  <c r="K1376" i="1"/>
  <c r="K1377" i="1"/>
  <c r="K1378" i="1"/>
  <c r="K1379" i="1"/>
  <c r="K1380" i="1"/>
  <c r="K1381" i="1"/>
  <c r="K1382" i="1"/>
  <c r="K1383" i="1"/>
  <c r="K1384" i="1"/>
  <c r="K1385" i="1"/>
  <c r="K1386" i="1"/>
  <c r="K1387" i="1"/>
  <c r="K1388" i="1"/>
  <c r="K1389" i="1"/>
  <c r="K1390" i="1"/>
  <c r="K1391" i="1"/>
  <c r="K1392" i="1"/>
  <c r="K1393" i="1"/>
  <c r="K1394" i="1"/>
  <c r="K1395" i="1"/>
  <c r="K1396" i="1"/>
  <c r="K1397" i="1"/>
  <c r="K1398" i="1"/>
  <c r="K1399" i="1"/>
  <c r="K1400" i="1"/>
  <c r="K1401" i="1"/>
  <c r="K1402" i="1"/>
  <c r="K1403" i="1"/>
  <c r="K1404" i="1"/>
  <c r="K1405" i="1"/>
  <c r="K1406" i="1"/>
  <c r="K1407" i="1"/>
  <c r="K1408" i="1"/>
  <c r="K1409" i="1"/>
  <c r="K1410" i="1"/>
  <c r="K1411" i="1"/>
  <c r="K1412" i="1"/>
  <c r="K1413" i="1"/>
  <c r="K1414" i="1"/>
  <c r="K1415" i="1"/>
  <c r="K1416" i="1"/>
  <c r="K1417" i="1"/>
  <c r="K1418" i="1"/>
  <c r="K1419" i="1"/>
  <c r="K1420" i="1"/>
  <c r="K1421" i="1"/>
  <c r="K1422" i="1"/>
  <c r="K1423" i="1"/>
  <c r="K1424" i="1"/>
  <c r="K1425" i="1"/>
  <c r="K1426" i="1"/>
  <c r="K1427" i="1"/>
  <c r="K1428" i="1"/>
  <c r="K1429" i="1"/>
  <c r="K1430" i="1"/>
  <c r="K1431" i="1"/>
  <c r="K1432" i="1"/>
  <c r="K1433" i="1"/>
  <c r="K1434" i="1"/>
  <c r="K1435" i="1"/>
  <c r="K1436" i="1"/>
  <c r="K1437" i="1"/>
  <c r="K1438" i="1"/>
  <c r="K1439" i="1"/>
  <c r="K1440" i="1"/>
  <c r="K1441" i="1"/>
  <c r="K1442" i="1"/>
  <c r="K1443" i="1"/>
  <c r="K1444" i="1"/>
  <c r="K1445" i="1"/>
  <c r="K1446" i="1"/>
  <c r="K1447" i="1"/>
  <c r="K1448" i="1"/>
  <c r="K1449" i="1"/>
  <c r="K1450" i="1"/>
  <c r="K1451" i="1"/>
  <c r="K1452" i="1"/>
  <c r="K1453" i="1"/>
  <c r="K1454" i="1"/>
  <c r="K1455" i="1"/>
  <c r="K1456" i="1"/>
  <c r="K1457" i="1"/>
  <c r="K1458" i="1"/>
  <c r="K1459" i="1"/>
  <c r="K1460" i="1"/>
  <c r="K1461" i="1"/>
  <c r="K1462" i="1"/>
  <c r="K1463" i="1"/>
  <c r="K1464" i="1"/>
  <c r="K1465" i="1"/>
  <c r="K1466" i="1"/>
  <c r="K1467" i="1"/>
  <c r="K1468" i="1"/>
  <c r="K1469" i="1"/>
  <c r="K1470" i="1"/>
  <c r="K1471" i="1"/>
  <c r="K1472" i="1"/>
  <c r="K1473" i="1"/>
  <c r="K1474" i="1"/>
  <c r="K1475" i="1"/>
  <c r="K1476" i="1"/>
  <c r="K1477" i="1"/>
  <c r="K1478" i="1"/>
  <c r="K1479" i="1"/>
  <c r="K1480" i="1"/>
  <c r="K1481" i="1"/>
  <c r="K1482" i="1"/>
  <c r="K1483" i="1"/>
  <c r="K1484" i="1"/>
  <c r="K1485" i="1"/>
  <c r="K1486" i="1"/>
  <c r="K1487" i="1"/>
  <c r="K1488" i="1"/>
  <c r="K1489" i="1"/>
  <c r="K1490" i="1"/>
  <c r="K1491" i="1"/>
  <c r="K1492" i="1"/>
  <c r="K1493" i="1"/>
  <c r="K1494" i="1"/>
  <c r="K1495" i="1"/>
  <c r="K1496" i="1"/>
  <c r="K1497" i="1"/>
  <c r="K1498" i="1"/>
  <c r="K1499" i="1"/>
  <c r="K1500" i="1"/>
  <c r="K1501" i="1"/>
  <c r="K1502" i="1"/>
  <c r="K1503" i="1"/>
  <c r="K1504" i="1"/>
  <c r="K1505" i="1"/>
  <c r="K1506" i="1"/>
  <c r="K1507" i="1"/>
  <c r="K1508" i="1"/>
  <c r="K1509" i="1"/>
  <c r="K1510" i="1"/>
  <c r="K1511" i="1"/>
  <c r="K1512" i="1"/>
  <c r="K1513" i="1"/>
  <c r="K1514" i="1"/>
  <c r="K1515" i="1"/>
  <c r="K1516" i="1"/>
  <c r="K1517" i="1"/>
  <c r="K1518" i="1"/>
  <c r="K1519" i="1"/>
  <c r="K1520" i="1"/>
  <c r="K1521" i="1"/>
  <c r="K1522" i="1"/>
  <c r="K1523" i="1"/>
  <c r="K1524" i="1"/>
  <c r="K1525" i="1"/>
  <c r="K1526" i="1"/>
  <c r="K1527" i="1"/>
  <c r="K1528" i="1"/>
  <c r="K1529" i="1"/>
  <c r="K1530" i="1"/>
  <c r="K1531" i="1"/>
  <c r="K1532" i="1"/>
  <c r="K1533" i="1"/>
  <c r="K1534" i="1"/>
  <c r="K1535" i="1"/>
  <c r="K1536" i="1"/>
  <c r="K1537" i="1"/>
  <c r="K1538" i="1"/>
  <c r="K1539" i="1"/>
  <c r="K1540" i="1"/>
  <c r="K1541" i="1"/>
  <c r="K1542" i="1"/>
  <c r="K1543" i="1"/>
  <c r="K1544" i="1"/>
  <c r="K1545" i="1"/>
  <c r="K1546" i="1"/>
  <c r="K1547" i="1"/>
  <c r="K1548" i="1"/>
  <c r="K1549" i="1"/>
  <c r="K1550" i="1"/>
  <c r="K1551" i="1"/>
  <c r="K1552" i="1"/>
  <c r="K1553" i="1"/>
  <c r="K1554" i="1"/>
  <c r="K1555" i="1"/>
  <c r="K1556" i="1"/>
  <c r="K1557" i="1"/>
  <c r="K1558" i="1"/>
  <c r="K1559" i="1"/>
  <c r="K1560" i="1"/>
  <c r="K1561" i="1"/>
  <c r="K1562" i="1"/>
  <c r="K1563" i="1"/>
  <c r="K1564" i="1"/>
  <c r="K1565" i="1"/>
  <c r="K1566" i="1"/>
  <c r="K1567" i="1"/>
  <c r="K1568" i="1"/>
  <c r="K1569" i="1"/>
  <c r="K1570" i="1"/>
  <c r="K1571" i="1"/>
  <c r="K1572" i="1"/>
  <c r="K1573" i="1"/>
  <c r="K1574" i="1"/>
  <c r="K1575" i="1"/>
  <c r="K1576" i="1"/>
  <c r="K1577" i="1"/>
  <c r="K1578" i="1"/>
  <c r="K1579" i="1"/>
  <c r="K1580" i="1"/>
  <c r="K1581" i="1"/>
  <c r="K1582" i="1"/>
  <c r="K1583" i="1"/>
  <c r="K1584" i="1"/>
  <c r="K1585" i="1"/>
  <c r="K1586" i="1"/>
  <c r="K1587" i="1"/>
  <c r="K1588" i="1"/>
  <c r="K1589" i="1"/>
  <c r="K1590" i="1"/>
  <c r="K1591" i="1"/>
  <c r="K1592" i="1"/>
  <c r="K1593" i="1"/>
  <c r="K1594" i="1"/>
  <c r="K1595" i="1"/>
  <c r="K1596" i="1"/>
  <c r="K1597" i="1"/>
  <c r="K1598" i="1"/>
  <c r="K1599" i="1"/>
  <c r="K1600" i="1"/>
  <c r="K1601" i="1"/>
  <c r="K1602" i="1"/>
  <c r="K1603" i="1"/>
  <c r="K1604" i="1"/>
  <c r="K1605" i="1"/>
  <c r="K1606" i="1"/>
  <c r="K1607" i="1"/>
  <c r="K1608" i="1"/>
  <c r="K1609" i="1"/>
  <c r="K1610" i="1"/>
  <c r="K1611" i="1"/>
  <c r="K1612" i="1"/>
  <c r="K1613" i="1"/>
  <c r="K1614" i="1"/>
  <c r="K1615" i="1"/>
  <c r="K1616" i="1"/>
  <c r="K1617" i="1"/>
  <c r="K1618" i="1"/>
  <c r="K1619" i="1"/>
  <c r="K1620" i="1"/>
  <c r="K1621" i="1"/>
  <c r="K1622" i="1"/>
  <c r="K1623" i="1"/>
  <c r="K1624" i="1"/>
  <c r="K1625" i="1"/>
  <c r="K1626" i="1"/>
  <c r="K1627" i="1"/>
  <c r="K1628" i="1"/>
  <c r="K1629" i="1"/>
  <c r="K1630" i="1"/>
  <c r="K1631" i="1"/>
  <c r="K1632" i="1"/>
  <c r="K1633" i="1"/>
  <c r="K1634" i="1"/>
  <c r="K1635" i="1"/>
  <c r="K1636" i="1"/>
  <c r="K1637" i="1"/>
  <c r="K1638" i="1"/>
  <c r="K1639" i="1"/>
  <c r="K1640" i="1"/>
  <c r="K1641" i="1"/>
  <c r="K1642" i="1"/>
  <c r="K1643" i="1"/>
  <c r="K1644" i="1"/>
  <c r="K1645" i="1"/>
  <c r="K1646" i="1"/>
  <c r="K1647" i="1"/>
  <c r="K1648" i="1"/>
  <c r="K1649" i="1"/>
  <c r="K1650" i="1"/>
  <c r="K1651" i="1"/>
  <c r="K1652" i="1"/>
  <c r="K1653" i="1"/>
  <c r="K1654" i="1"/>
  <c r="K1655" i="1"/>
  <c r="K1656" i="1"/>
  <c r="K1657" i="1"/>
  <c r="K1658" i="1"/>
  <c r="K1659" i="1"/>
  <c r="K1660" i="1"/>
  <c r="K1661" i="1"/>
  <c r="K1662" i="1"/>
  <c r="K1663" i="1"/>
  <c r="K1664" i="1"/>
  <c r="K1665" i="1"/>
  <c r="K1666" i="1"/>
  <c r="K1667" i="1"/>
  <c r="K1668" i="1"/>
  <c r="K1669" i="1"/>
  <c r="K1670" i="1"/>
  <c r="K1671" i="1"/>
  <c r="K1672" i="1"/>
  <c r="K1673" i="1"/>
  <c r="K1674" i="1"/>
  <c r="K1675" i="1"/>
  <c r="K1676" i="1"/>
  <c r="K1677" i="1"/>
  <c r="K1678" i="1"/>
  <c r="K1679" i="1"/>
  <c r="K1680" i="1"/>
  <c r="K1681" i="1"/>
  <c r="K1682" i="1"/>
  <c r="K1683" i="1"/>
  <c r="K1684" i="1"/>
  <c r="K1685" i="1"/>
  <c r="K1686" i="1"/>
  <c r="K1687" i="1"/>
  <c r="K1688" i="1"/>
  <c r="K1689" i="1"/>
  <c r="K1690" i="1"/>
  <c r="K1691" i="1"/>
  <c r="K1692" i="1"/>
  <c r="K1693" i="1"/>
  <c r="K1694" i="1"/>
  <c r="K1695" i="1"/>
  <c r="K1696" i="1"/>
  <c r="K1697" i="1"/>
  <c r="K1698" i="1"/>
  <c r="K1699" i="1"/>
  <c r="K1700" i="1"/>
  <c r="K1701" i="1"/>
  <c r="K1702" i="1"/>
  <c r="K1703" i="1"/>
  <c r="K1704" i="1"/>
  <c r="K1705" i="1"/>
  <c r="K1706" i="1"/>
  <c r="K1707" i="1"/>
  <c r="K1708" i="1"/>
  <c r="K1709" i="1"/>
  <c r="K1710" i="1"/>
  <c r="K1711" i="1"/>
  <c r="K1712" i="1"/>
  <c r="K1713" i="1"/>
  <c r="K1714" i="1"/>
  <c r="K1715" i="1"/>
  <c r="K1716" i="1"/>
  <c r="K1717" i="1"/>
  <c r="K1718" i="1"/>
  <c r="K1719" i="1"/>
  <c r="K1720" i="1"/>
  <c r="K1721" i="1"/>
  <c r="K1722" i="1"/>
  <c r="K1723" i="1"/>
  <c r="K1724" i="1"/>
  <c r="K1725" i="1"/>
  <c r="K1726" i="1"/>
  <c r="K1727" i="1"/>
  <c r="K1728" i="1"/>
  <c r="K1729" i="1"/>
  <c r="K1730" i="1"/>
  <c r="K1731" i="1"/>
  <c r="K1732" i="1"/>
  <c r="K1733" i="1"/>
  <c r="K1734" i="1"/>
  <c r="K1735" i="1"/>
  <c r="K1736" i="1"/>
  <c r="K1737" i="1"/>
  <c r="K1738" i="1"/>
  <c r="K1739" i="1"/>
  <c r="K1740" i="1"/>
  <c r="K1741" i="1"/>
  <c r="K1742" i="1"/>
  <c r="K1743" i="1"/>
  <c r="K1744" i="1"/>
  <c r="K1745" i="1"/>
  <c r="K1746" i="1"/>
  <c r="K1747" i="1"/>
  <c r="K1748" i="1"/>
  <c r="K1749" i="1"/>
  <c r="K1750" i="1"/>
  <c r="K1751" i="1"/>
  <c r="K1752" i="1"/>
  <c r="K1753" i="1"/>
  <c r="K1754" i="1"/>
  <c r="K1755" i="1"/>
  <c r="K1756" i="1"/>
  <c r="K1757" i="1"/>
  <c r="K1758" i="1"/>
  <c r="K1759" i="1"/>
  <c r="K1760" i="1"/>
  <c r="K1761" i="1"/>
  <c r="K1762" i="1"/>
  <c r="K1763" i="1"/>
  <c r="K1764" i="1"/>
  <c r="K1765" i="1"/>
  <c r="K1766" i="1"/>
  <c r="K1767" i="1"/>
  <c r="K1768" i="1"/>
  <c r="K1769" i="1"/>
  <c r="K1770" i="1"/>
  <c r="K1771" i="1"/>
  <c r="K1772" i="1"/>
  <c r="K1773" i="1"/>
  <c r="K1774" i="1"/>
  <c r="K1775" i="1"/>
  <c r="K1776" i="1"/>
  <c r="K1777" i="1"/>
  <c r="K1778" i="1"/>
  <c r="K1779" i="1"/>
  <c r="K1780" i="1"/>
  <c r="K1781" i="1"/>
  <c r="K1782" i="1"/>
  <c r="K1783" i="1"/>
  <c r="K1784" i="1"/>
  <c r="K1785" i="1"/>
  <c r="K1786" i="1"/>
  <c r="K1787" i="1"/>
  <c r="K1788" i="1"/>
  <c r="K1789" i="1"/>
  <c r="K1790" i="1"/>
  <c r="K1791" i="1"/>
  <c r="K1792" i="1"/>
  <c r="K1793" i="1"/>
  <c r="K1794" i="1"/>
  <c r="K1795" i="1"/>
  <c r="K1796" i="1"/>
  <c r="K1797" i="1"/>
  <c r="K1798" i="1"/>
  <c r="K1799" i="1"/>
  <c r="K1800" i="1"/>
  <c r="K1801" i="1"/>
  <c r="K1802" i="1"/>
  <c r="K1803" i="1"/>
  <c r="K1804" i="1"/>
  <c r="K1805" i="1"/>
  <c r="K1806" i="1"/>
  <c r="K1807" i="1"/>
  <c r="K1808" i="1"/>
  <c r="K1809" i="1"/>
  <c r="K1810" i="1"/>
  <c r="K1811" i="1"/>
  <c r="K1812" i="1"/>
  <c r="K1813" i="1"/>
  <c r="K1814" i="1"/>
  <c r="K1815" i="1"/>
  <c r="K1816" i="1"/>
  <c r="K1817" i="1"/>
  <c r="K1818" i="1"/>
  <c r="K1819" i="1"/>
  <c r="K1820" i="1"/>
  <c r="K1821" i="1"/>
  <c r="K1822" i="1"/>
  <c r="K1823" i="1"/>
  <c r="K1824" i="1"/>
  <c r="K1825" i="1"/>
  <c r="K1826" i="1"/>
  <c r="K1827" i="1"/>
  <c r="K1828" i="1"/>
  <c r="K1829" i="1"/>
  <c r="K1830" i="1"/>
  <c r="K1831" i="1"/>
  <c r="K1832" i="1"/>
  <c r="K1833" i="1"/>
  <c r="K1834" i="1"/>
  <c r="K1835" i="1"/>
  <c r="K1836" i="1"/>
  <c r="K1837" i="1"/>
  <c r="K1838" i="1"/>
  <c r="K1839" i="1"/>
  <c r="K1840" i="1"/>
  <c r="K1841" i="1"/>
  <c r="K1842" i="1"/>
  <c r="K1843" i="1"/>
  <c r="K1844" i="1"/>
  <c r="K1845" i="1"/>
  <c r="K1846" i="1"/>
  <c r="K1847" i="1"/>
  <c r="K1848" i="1"/>
  <c r="K1849" i="1"/>
  <c r="K1850" i="1"/>
  <c r="K1851" i="1"/>
  <c r="K1852" i="1"/>
  <c r="K1853" i="1"/>
  <c r="K1854" i="1"/>
  <c r="K1855" i="1"/>
  <c r="K1856" i="1"/>
  <c r="K1857" i="1"/>
  <c r="K1858" i="1"/>
  <c r="K1859" i="1"/>
  <c r="K1860" i="1"/>
  <c r="K1861" i="1"/>
  <c r="K1862" i="1"/>
  <c r="K1863" i="1"/>
  <c r="K1864" i="1"/>
  <c r="K1865" i="1"/>
  <c r="K1866" i="1"/>
  <c r="K1867" i="1"/>
  <c r="K1868" i="1"/>
  <c r="K1869" i="1"/>
  <c r="K1870" i="1"/>
  <c r="K1871" i="1"/>
  <c r="K1872" i="1"/>
  <c r="K1873" i="1"/>
  <c r="K1874" i="1"/>
  <c r="K1875" i="1"/>
  <c r="K1876" i="1"/>
  <c r="K1877" i="1"/>
  <c r="K1878" i="1"/>
  <c r="K1879" i="1"/>
  <c r="K1880" i="1"/>
  <c r="K1881" i="1"/>
  <c r="K1882" i="1"/>
  <c r="K1883" i="1"/>
  <c r="K1884" i="1"/>
  <c r="K1885" i="1"/>
  <c r="K1886" i="1"/>
  <c r="K1887" i="1"/>
  <c r="K1888" i="1"/>
  <c r="K1889" i="1"/>
  <c r="K1890" i="1"/>
  <c r="K1891" i="1"/>
  <c r="K1892" i="1"/>
  <c r="K1893" i="1"/>
  <c r="K1894" i="1"/>
  <c r="K1895" i="1"/>
  <c r="K1896" i="1"/>
  <c r="K1897" i="1"/>
  <c r="K1898" i="1"/>
  <c r="K1899" i="1"/>
  <c r="K1900" i="1"/>
  <c r="K1901" i="1"/>
  <c r="K1902" i="1"/>
  <c r="K1903" i="1"/>
  <c r="K1904" i="1"/>
  <c r="K1905" i="1"/>
  <c r="K1906" i="1"/>
  <c r="K1907" i="1"/>
  <c r="K1908" i="1"/>
  <c r="K1909" i="1"/>
  <c r="K1910" i="1"/>
  <c r="K1911" i="1"/>
  <c r="K1912" i="1"/>
  <c r="K1913" i="1"/>
  <c r="K1914" i="1"/>
  <c r="K1915" i="1"/>
  <c r="K1916" i="1"/>
  <c r="K1917" i="1"/>
  <c r="K1918" i="1"/>
  <c r="K1919" i="1"/>
  <c r="K1920" i="1"/>
  <c r="K1921" i="1"/>
  <c r="K1922" i="1"/>
  <c r="K1923" i="1"/>
  <c r="K1924" i="1"/>
  <c r="K1925" i="1"/>
  <c r="K1926" i="1"/>
  <c r="K1927" i="1"/>
  <c r="K1928" i="1"/>
  <c r="K1929" i="1"/>
  <c r="K1930" i="1"/>
  <c r="K1931" i="1"/>
  <c r="K1932" i="1"/>
  <c r="K1933" i="1"/>
  <c r="K1934" i="1"/>
  <c r="K1935" i="1"/>
  <c r="K1936" i="1"/>
  <c r="K1937" i="1"/>
  <c r="K1938" i="1"/>
  <c r="K1939" i="1"/>
  <c r="K1940" i="1"/>
  <c r="K1941" i="1"/>
  <c r="K1942" i="1"/>
  <c r="K1943" i="1"/>
  <c r="K1944" i="1"/>
  <c r="K1945" i="1"/>
  <c r="K1946" i="1"/>
  <c r="K1947" i="1"/>
  <c r="K1948" i="1"/>
  <c r="K1949" i="1"/>
  <c r="K1950" i="1"/>
  <c r="K1951" i="1"/>
  <c r="K1952" i="1"/>
  <c r="K1953" i="1"/>
  <c r="K1954" i="1"/>
  <c r="K1955" i="1"/>
  <c r="K1956" i="1"/>
  <c r="K1957" i="1"/>
  <c r="K1958" i="1"/>
  <c r="K1959" i="1"/>
  <c r="K1960" i="1"/>
  <c r="K1961" i="1"/>
  <c r="K1962" i="1"/>
  <c r="K1963" i="1"/>
  <c r="K1964" i="1"/>
  <c r="K1965" i="1"/>
  <c r="K1966" i="1"/>
  <c r="K1967" i="1"/>
  <c r="K1968" i="1"/>
  <c r="K1969" i="1"/>
  <c r="K1970" i="1"/>
  <c r="K1971" i="1"/>
  <c r="K1972" i="1"/>
  <c r="K1973" i="1"/>
  <c r="K1974" i="1"/>
  <c r="K1975" i="1"/>
  <c r="K1976" i="1"/>
  <c r="K1977" i="1"/>
  <c r="K1978" i="1"/>
  <c r="K1979" i="1"/>
  <c r="K1980" i="1"/>
  <c r="K1981" i="1"/>
  <c r="K1982" i="1"/>
  <c r="K1983" i="1"/>
  <c r="K1984" i="1"/>
  <c r="K1985" i="1"/>
  <c r="K1986" i="1"/>
  <c r="K1987" i="1"/>
  <c r="K1988" i="1"/>
  <c r="K1989" i="1"/>
  <c r="K1990" i="1"/>
  <c r="K1991" i="1"/>
  <c r="K1992" i="1"/>
  <c r="K1993" i="1"/>
  <c r="K1994" i="1"/>
  <c r="K1995" i="1"/>
  <c r="K1996" i="1"/>
  <c r="K1997" i="1"/>
  <c r="K1998" i="1"/>
  <c r="K1999" i="1"/>
  <c r="K2000" i="1"/>
  <c r="K2001" i="1"/>
  <c r="K2" i="1"/>
</calcChain>
</file>

<file path=xl/sharedStrings.xml><?xml version="1.0" encoding="utf-8"?>
<sst xmlns="http://schemas.openxmlformats.org/spreadsheetml/2006/main" count="8106" uniqueCount="79">
  <si>
    <t>Order ID</t>
  </si>
  <si>
    <t>Customer ID</t>
  </si>
  <si>
    <t>Customer Name</t>
  </si>
  <si>
    <t>Sales Person</t>
  </si>
  <si>
    <t>Region</t>
  </si>
  <si>
    <t>Price</t>
  </si>
  <si>
    <t>Quantity</t>
  </si>
  <si>
    <t>Company T</t>
  </si>
  <si>
    <t>Andrew James</t>
  </si>
  <si>
    <t>Arizona</t>
  </si>
  <si>
    <t>Company F</t>
  </si>
  <si>
    <t>Laura Larsen</t>
  </si>
  <si>
    <t>California</t>
  </si>
  <si>
    <t>Company D</t>
  </si>
  <si>
    <t>Anna Weber</t>
  </si>
  <si>
    <t>Texas</t>
  </si>
  <si>
    <t>Company E</t>
  </si>
  <si>
    <t>Company L</t>
  </si>
  <si>
    <t>Michael Fox</t>
  </si>
  <si>
    <t>New Mexico</t>
  </si>
  <si>
    <t>Company C</t>
  </si>
  <si>
    <t>Ben Wallace</t>
  </si>
  <si>
    <t>Company S</t>
  </si>
  <si>
    <t>Company M</t>
  </si>
  <si>
    <t>Anne Lee</t>
  </si>
  <si>
    <t>Oscar Knox</t>
  </si>
  <si>
    <t>Company I</t>
  </si>
  <si>
    <t>Kim Fishman</t>
  </si>
  <si>
    <t>Company G</t>
  </si>
  <si>
    <t>Company O</t>
  </si>
  <si>
    <t>Company R</t>
  </si>
  <si>
    <t>Company A</t>
  </si>
  <si>
    <t>Company Q</t>
  </si>
  <si>
    <t>Company N</t>
  </si>
  <si>
    <t>Company J</t>
  </si>
  <si>
    <t>Company B</t>
  </si>
  <si>
    <t>Company H</t>
  </si>
  <si>
    <t>Company P</t>
  </si>
  <si>
    <t>Company K</t>
  </si>
  <si>
    <t>Product 1</t>
  </si>
  <si>
    <t>Product 5</t>
  </si>
  <si>
    <t>Product 2</t>
  </si>
  <si>
    <t>Product 4</t>
  </si>
  <si>
    <t>Product 3</t>
  </si>
  <si>
    <t>Manager</t>
  </si>
  <si>
    <t>Jeff</t>
  </si>
  <si>
    <t>Steve</t>
  </si>
  <si>
    <t>Sara</t>
  </si>
  <si>
    <t>Philip</t>
  </si>
  <si>
    <t>Tenure (yrs)</t>
  </si>
  <si>
    <t>Order Date</t>
  </si>
  <si>
    <t>Revenue</t>
  </si>
  <si>
    <t>Row Labels</t>
  </si>
  <si>
    <t>Grand Total</t>
  </si>
  <si>
    <t>2021</t>
  </si>
  <si>
    <t>2022</t>
  </si>
  <si>
    <t>Column Labels</t>
  </si>
  <si>
    <t>Sum of Revenue</t>
  </si>
  <si>
    <t>Year wise sale</t>
  </si>
  <si>
    <t>Jan</t>
  </si>
  <si>
    <t>Feb</t>
  </si>
  <si>
    <t>Mar</t>
  </si>
  <si>
    <t>Apr</t>
  </si>
  <si>
    <t>May</t>
  </si>
  <si>
    <t>Jun</t>
  </si>
  <si>
    <t>Jul</t>
  </si>
  <si>
    <t>Aug</t>
  </si>
  <si>
    <t>Sep</t>
  </si>
  <si>
    <t>Oct</t>
  </si>
  <si>
    <t>Nov</t>
  </si>
  <si>
    <t>Dec</t>
  </si>
  <si>
    <t>MONTHLY SALES</t>
  </si>
  <si>
    <t>SALESPERSON WISE SALE</t>
  </si>
  <si>
    <t>Tenure_X</t>
  </si>
  <si>
    <t xml:space="preserve">Product Wise sale </t>
  </si>
  <si>
    <t>revenue measure</t>
  </si>
  <si>
    <t>DASHboard</t>
  </si>
  <si>
    <t>INDEX</t>
  </si>
  <si>
    <t>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</si>
</sst>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
  </numFmts>
  <fonts count="24">
    <font>
      <sz val="11"/>
      <color theme="1"/>
      <name val="Calibri"/>
      <family val="2"/>
      <scheme val="minor"/>
    </font>
    <font>
      <b/>
      <sz val="11"/>
      <color theme="1"/>
      <name val="Calibri"/>
      <family val="2"/>
      <scheme val="minor"/>
    </font>
    <font>
      <sz val="14"/>
      <color theme="1"/>
      <name val="Calibri"/>
      <family val="2"/>
      <scheme val="minor"/>
    </font>
    <font>
      <sz val="11"/>
      <color theme="1"/>
      <name val="Algerian"/>
      <family val="5"/>
    </font>
    <font>
      <sz val="11"/>
      <color theme="0"/>
      <name val="Algerian"/>
      <family val="5"/>
    </font>
    <font>
      <sz val="12"/>
      <color theme="1"/>
      <name val="Algerian"/>
      <family val="5"/>
    </font>
    <font>
      <sz val="11"/>
      <color theme="1"/>
      <name val="Arial Black"/>
      <family val="2"/>
    </font>
    <font>
      <sz val="12"/>
      <color theme="1"/>
      <name val="Arial Black"/>
      <family val="2"/>
    </font>
    <font>
      <sz val="14"/>
      <color theme="1"/>
      <name val="Algerian"/>
      <family val="5"/>
    </font>
    <font>
      <b/>
      <sz val="32"/>
      <color theme="1"/>
      <name val="Algerian"/>
      <family val="5"/>
    </font>
    <font>
      <b/>
      <sz val="14"/>
      <color theme="0"/>
      <name val="Algerian"/>
      <family val="5"/>
    </font>
    <font>
      <sz val="14"/>
      <color theme="0"/>
      <name val="Arial Black"/>
      <family val="2"/>
    </font>
    <font>
      <b/>
      <sz val="36"/>
      <color theme="1"/>
      <name val="Algerian"/>
      <family val="5"/>
    </font>
    <font>
      <b/>
      <sz val="48"/>
      <color theme="1"/>
      <name val="Algerian"/>
      <family val="5"/>
    </font>
    <font>
      <b/>
      <sz val="11"/>
      <color theme="1"/>
      <name val="Aptos Display"/>
      <family val="2"/>
    </font>
    <font>
      <b/>
      <sz val="14"/>
      <color theme="1"/>
      <name val="Algerian"/>
      <family val="5"/>
    </font>
    <font>
      <sz val="11"/>
      <color theme="1"/>
      <name val="Arial Rounded MT Bold"/>
      <family val="2"/>
    </font>
    <font>
      <sz val="14"/>
      <color theme="1"/>
      <name val="Arial Black"/>
      <family val="2"/>
    </font>
    <font>
      <sz val="36"/>
      <color theme="1"/>
      <name val="Algerian"/>
      <family val="5"/>
    </font>
    <font>
      <b/>
      <sz val="11"/>
      <color theme="1"/>
      <name val="Algerian"/>
      <family val="5"/>
    </font>
    <font>
      <sz val="11"/>
      <color theme="1"/>
      <name val="Arial Black"/>
    </font>
    <font>
      <sz val="32"/>
      <color theme="0"/>
      <name val="Algerian"/>
      <family val="5"/>
    </font>
    <font>
      <b/>
      <sz val="50"/>
      <color theme="1"/>
      <name val="Algerian"/>
      <family val="5"/>
    </font>
    <font>
      <sz val="50"/>
      <color theme="1"/>
      <name val="Algerian"/>
      <family val="5"/>
    </font>
  </fonts>
  <fills count="31">
    <fill>
      <patternFill patternType="none"/>
    </fill>
    <fill>
      <patternFill patternType="gray125"/>
    </fill>
    <fill>
      <patternFill patternType="solid">
        <fgColor theme="9" tint="0.59999389629810485"/>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4" tint="-0.499984740745262"/>
        <bgColor indexed="64"/>
      </patternFill>
    </fill>
    <fill>
      <patternFill patternType="solid">
        <fgColor theme="7" tint="0.79998168889431442"/>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0"/>
        <bgColor indexed="64"/>
      </patternFill>
    </fill>
    <fill>
      <patternFill patternType="solid">
        <fgColor theme="4" tint="0.79998168889431442"/>
        <bgColor indexed="64"/>
      </patternFill>
    </fill>
    <fill>
      <patternFill patternType="solid">
        <fgColor theme="7" tint="-0.499984740745262"/>
        <bgColor indexed="64"/>
      </patternFill>
    </fill>
    <fill>
      <patternFill patternType="solid">
        <fgColor rgb="FFFF0066"/>
        <bgColor indexed="64"/>
      </patternFill>
    </fill>
    <fill>
      <patternFill patternType="solid">
        <fgColor rgb="FFFF7C80"/>
        <bgColor indexed="64"/>
      </patternFill>
    </fill>
    <fill>
      <patternFill patternType="solid">
        <fgColor theme="5" tint="-0.249977111117893"/>
        <bgColor indexed="64"/>
      </patternFill>
    </fill>
    <fill>
      <patternFill patternType="solid">
        <fgColor theme="7" tint="0.399975585192419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theme="9"/>
        <bgColor indexed="64"/>
      </patternFill>
    </fill>
    <fill>
      <patternFill patternType="solid">
        <fgColor theme="7" tint="0.59999389629810485"/>
        <bgColor indexed="64"/>
      </patternFill>
    </fill>
    <fill>
      <patternFill patternType="solid">
        <fgColor theme="5" tint="-0.499984740745262"/>
        <bgColor indexed="64"/>
      </patternFill>
    </fill>
    <fill>
      <patternFill patternType="solid">
        <fgColor theme="5"/>
        <bgColor indexed="64"/>
      </patternFill>
    </fill>
    <fill>
      <patternFill patternType="solid">
        <fgColor theme="5" tint="0.79998168889431442"/>
        <bgColor indexed="64"/>
      </patternFill>
    </fill>
    <fill>
      <patternFill patternType="solid">
        <fgColor rgb="FFFFCCFF"/>
        <bgColor indexed="64"/>
      </patternFill>
    </fill>
    <fill>
      <patternFill patternType="solid">
        <fgColor rgb="FF7030A0"/>
        <bgColor indexed="64"/>
      </patternFill>
    </fill>
    <fill>
      <patternFill patternType="solid">
        <fgColor theme="5" tint="0.59999389629810485"/>
        <bgColor indexed="64"/>
      </patternFill>
    </fill>
    <fill>
      <patternFill patternType="solid">
        <fgColor theme="8" tint="0.39997558519241921"/>
        <bgColor indexed="64"/>
      </patternFill>
    </fill>
  </fills>
  <borders count="14">
    <border>
      <left/>
      <right/>
      <top/>
      <bottom/>
      <diagonal/>
    </border>
    <border>
      <left style="thick">
        <color indexed="64"/>
      </left>
      <right style="thick">
        <color indexed="64"/>
      </right>
      <top style="thick">
        <color indexed="64"/>
      </top>
      <bottom style="thick">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ck">
        <color indexed="64"/>
      </top>
      <bottom/>
      <diagonal/>
    </border>
    <border>
      <left/>
      <right style="thick">
        <color indexed="64"/>
      </right>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style="thick">
        <color indexed="64"/>
      </left>
      <right/>
      <top/>
      <bottom/>
      <diagonal/>
    </border>
    <border>
      <left style="thin">
        <color indexed="64"/>
      </left>
      <right style="thin">
        <color indexed="64"/>
      </right>
      <top style="thin">
        <color indexed="64"/>
      </top>
      <bottom style="thin">
        <color indexed="64"/>
      </bottom>
      <diagonal/>
    </border>
    <border>
      <left style="thick">
        <color indexed="64"/>
      </left>
      <right/>
      <top style="thick">
        <color indexed="64"/>
      </top>
      <bottom/>
      <diagonal/>
    </border>
  </borders>
  <cellStyleXfs count="1">
    <xf numFmtId="0" fontId="0" fillId="0" borderId="0"/>
  </cellStyleXfs>
  <cellXfs count="119">
    <xf numFmtId="0" fontId="0" fillId="0" borderId="0" xfId="0"/>
    <xf numFmtId="0" fontId="1" fillId="0" borderId="0" xfId="0" applyFont="1"/>
    <xf numFmtId="0" fontId="0" fillId="0" borderId="0" xfId="0" applyAlignment="1">
      <alignment horizontal="center"/>
    </xf>
    <xf numFmtId="0" fontId="0" fillId="0" borderId="0" xfId="0" applyFont="1"/>
    <xf numFmtId="0" fontId="3" fillId="0" borderId="0" xfId="0" applyFont="1"/>
    <xf numFmtId="0" fontId="0" fillId="2" borderId="1" xfId="0" applyFont="1" applyFill="1" applyBorder="1"/>
    <xf numFmtId="0" fontId="4" fillId="3" borderId="1" xfId="0" applyFont="1" applyFill="1" applyBorder="1"/>
    <xf numFmtId="0" fontId="5" fillId="0" borderId="1" xfId="0" applyFont="1" applyBorder="1" applyAlignment="1">
      <alignment horizontal="left"/>
    </xf>
    <xf numFmtId="0" fontId="0" fillId="4" borderId="0" xfId="0" applyFill="1"/>
    <xf numFmtId="0" fontId="0" fillId="4" borderId="0" xfId="0" applyFont="1" applyFill="1"/>
    <xf numFmtId="0" fontId="3" fillId="4" borderId="0" xfId="0" applyFont="1" applyFill="1"/>
    <xf numFmtId="0" fontId="2" fillId="2" borderId="1" xfId="0" applyFont="1" applyFill="1" applyBorder="1" applyAlignment="1">
      <alignment vertical="top"/>
    </xf>
    <xf numFmtId="0" fontId="0" fillId="5" borderId="0" xfId="0" applyFill="1"/>
    <xf numFmtId="0" fontId="0" fillId="5" borderId="0" xfId="0" applyFont="1" applyFill="1"/>
    <xf numFmtId="0" fontId="3" fillId="5" borderId="0" xfId="0" applyFont="1" applyFill="1"/>
    <xf numFmtId="0" fontId="6" fillId="6" borderId="1" xfId="0" applyFont="1" applyFill="1" applyBorder="1" applyAlignment="1">
      <alignment horizontal="left"/>
    </xf>
    <xf numFmtId="0" fontId="10" fillId="8" borderId="1" xfId="0" applyFont="1" applyFill="1" applyBorder="1" applyAlignment="1">
      <alignment horizontal="left"/>
    </xf>
    <xf numFmtId="0" fontId="0" fillId="9" borderId="0" xfId="0" applyFill="1"/>
    <xf numFmtId="0" fontId="0" fillId="10" borderId="0" xfId="0" applyFill="1"/>
    <xf numFmtId="0" fontId="8" fillId="12" borderId="1" xfId="0" applyFont="1" applyFill="1" applyBorder="1" applyAlignment="1">
      <alignment horizontal="left"/>
    </xf>
    <xf numFmtId="0" fontId="0" fillId="13" borderId="0" xfId="0" applyFill="1"/>
    <xf numFmtId="0" fontId="0" fillId="9" borderId="0" xfId="0" applyFill="1" applyBorder="1"/>
    <xf numFmtId="0" fontId="12" fillId="9" borderId="0" xfId="0" applyFont="1" applyFill="1" applyBorder="1" applyAlignment="1"/>
    <xf numFmtId="0" fontId="0" fillId="14" borderId="0" xfId="0" applyFill="1"/>
    <xf numFmtId="0" fontId="0" fillId="15" borderId="0" xfId="0" applyFill="1"/>
    <xf numFmtId="0" fontId="2" fillId="15" borderId="0" xfId="0" applyFont="1" applyFill="1"/>
    <xf numFmtId="0" fontId="2" fillId="0" borderId="0" xfId="0" applyFont="1"/>
    <xf numFmtId="0" fontId="17" fillId="16" borderId="1" xfId="0" applyFont="1" applyFill="1" applyBorder="1" applyAlignment="1">
      <alignment horizontal="left"/>
    </xf>
    <xf numFmtId="0" fontId="2" fillId="17" borderId="0" xfId="0" applyFont="1" applyFill="1"/>
    <xf numFmtId="0" fontId="0" fillId="17" borderId="0" xfId="0" applyFill="1"/>
    <xf numFmtId="0" fontId="16" fillId="18" borderId="1" xfId="0" applyFont="1" applyFill="1" applyBorder="1" applyAlignment="1">
      <alignment horizontal="left"/>
    </xf>
    <xf numFmtId="0" fontId="16" fillId="19" borderId="1" xfId="0" applyFont="1" applyFill="1" applyBorder="1" applyAlignment="1">
      <alignment horizontal="left"/>
    </xf>
    <xf numFmtId="0" fontId="16" fillId="20" borderId="1" xfId="0" applyFont="1" applyFill="1" applyBorder="1" applyAlignment="1">
      <alignment horizontal="left"/>
    </xf>
    <xf numFmtId="0" fontId="16" fillId="12" borderId="1" xfId="0" applyFont="1" applyFill="1" applyBorder="1" applyAlignment="1">
      <alignment horizontal="left"/>
    </xf>
    <xf numFmtId="0" fontId="16" fillId="21" borderId="1" xfId="0" applyFont="1" applyFill="1" applyBorder="1" applyAlignment="1">
      <alignment horizontal="left"/>
    </xf>
    <xf numFmtId="0" fontId="3" fillId="0" borderId="1" xfId="0" pivotButton="1" applyFont="1" applyBorder="1"/>
    <xf numFmtId="0" fontId="6" fillId="0" borderId="1" xfId="0" applyFont="1" applyBorder="1" applyAlignment="1">
      <alignment horizontal="left"/>
    </xf>
    <xf numFmtId="0" fontId="6" fillId="0" borderId="1" xfId="0" applyNumberFormat="1" applyFont="1" applyBorder="1" applyAlignment="1">
      <alignment horizontal="center"/>
    </xf>
    <xf numFmtId="0" fontId="0" fillId="0" borderId="1" xfId="0" applyBorder="1"/>
    <xf numFmtId="0" fontId="0" fillId="0" borderId="1" xfId="0" pivotButton="1" applyBorder="1"/>
    <xf numFmtId="0" fontId="0" fillId="0" borderId="0" xfId="0" applyAlignment="1">
      <alignment horizontal="left"/>
    </xf>
    <xf numFmtId="0" fontId="15" fillId="16" borderId="1" xfId="0" applyFont="1" applyFill="1" applyBorder="1"/>
    <xf numFmtId="0" fontId="0" fillId="17" borderId="0" xfId="0" applyFill="1" applyBorder="1"/>
    <xf numFmtId="0" fontId="5" fillId="11" borderId="1" xfId="0" applyFont="1" applyFill="1" applyBorder="1"/>
    <xf numFmtId="164" fontId="8" fillId="12" borderId="1" xfId="0" applyNumberFormat="1" applyFont="1" applyFill="1" applyBorder="1" applyAlignment="1">
      <alignment horizontal="center"/>
    </xf>
    <xf numFmtId="0" fontId="5" fillId="7" borderId="1" xfId="0" applyFont="1" applyFill="1" applyBorder="1"/>
    <xf numFmtId="164" fontId="7" fillId="0" borderId="1" xfId="0" applyNumberFormat="1" applyFont="1" applyBorder="1"/>
    <xf numFmtId="0" fontId="20" fillId="2" borderId="1" xfId="0" applyFont="1" applyFill="1" applyBorder="1" applyAlignment="1">
      <alignment horizontal="left"/>
    </xf>
    <xf numFmtId="164" fontId="20" fillId="2" borderId="1" xfId="0" applyNumberFormat="1" applyFont="1" applyFill="1" applyBorder="1"/>
    <xf numFmtId="164" fontId="6" fillId="6" borderId="1" xfId="0" applyNumberFormat="1" applyFont="1" applyFill="1" applyBorder="1" applyAlignment="1">
      <alignment horizontal="center"/>
    </xf>
    <xf numFmtId="164" fontId="11" fillId="8" borderId="1" xfId="0" applyNumberFormat="1" applyFont="1" applyFill="1" applyBorder="1" applyAlignment="1">
      <alignment horizontal="center"/>
    </xf>
    <xf numFmtId="164" fontId="16" fillId="18" borderId="1" xfId="0" applyNumberFormat="1" applyFont="1" applyFill="1" applyBorder="1" applyAlignment="1">
      <alignment horizontal="center" vertical="center"/>
    </xf>
    <xf numFmtId="164" fontId="16" fillId="12" borderId="1" xfId="0" applyNumberFormat="1" applyFont="1" applyFill="1" applyBorder="1" applyAlignment="1">
      <alignment horizontal="center" vertical="center"/>
    </xf>
    <xf numFmtId="164" fontId="16" fillId="20" borderId="1" xfId="0" applyNumberFormat="1" applyFont="1" applyFill="1" applyBorder="1" applyAlignment="1">
      <alignment horizontal="center" vertical="center"/>
    </xf>
    <xf numFmtId="164" fontId="16" fillId="21" borderId="1" xfId="0" applyNumberFormat="1" applyFont="1" applyFill="1" applyBorder="1" applyAlignment="1">
      <alignment horizontal="center" vertical="center"/>
    </xf>
    <xf numFmtId="164" fontId="16" fillId="19" borderId="1" xfId="0" applyNumberFormat="1" applyFont="1" applyFill="1" applyBorder="1" applyAlignment="1">
      <alignment horizontal="center" vertical="center"/>
    </xf>
    <xf numFmtId="164" fontId="17" fillId="16" borderId="1" xfId="0" applyNumberFormat="1" applyFont="1" applyFill="1" applyBorder="1" applyAlignment="1">
      <alignment horizontal="center"/>
    </xf>
    <xf numFmtId="0" fontId="0" fillId="19" borderId="1" xfId="0" applyFill="1" applyBorder="1"/>
    <xf numFmtId="0" fontId="0" fillId="17" borderId="1" xfId="0" applyFill="1" applyBorder="1"/>
    <xf numFmtId="0" fontId="0" fillId="23" borderId="1" xfId="0" applyFill="1" applyBorder="1"/>
    <xf numFmtId="0" fontId="0" fillId="2" borderId="1" xfId="0" applyFill="1" applyBorder="1"/>
    <xf numFmtId="0" fontId="6" fillId="14" borderId="1" xfId="0" applyFont="1" applyFill="1" applyBorder="1" applyAlignment="1">
      <alignment horizontal="left"/>
    </xf>
    <xf numFmtId="0" fontId="6" fillId="14" borderId="1" xfId="0" applyNumberFormat="1" applyFont="1" applyFill="1" applyBorder="1" applyAlignment="1">
      <alignment horizontal="center"/>
    </xf>
    <xf numFmtId="0" fontId="16" fillId="14" borderId="1" xfId="0" applyFont="1" applyFill="1" applyBorder="1" applyAlignment="1">
      <alignment horizontal="left"/>
    </xf>
    <xf numFmtId="0" fontId="16" fillId="14" borderId="1" xfId="0" applyNumberFormat="1" applyFont="1" applyFill="1" applyBorder="1" applyAlignment="1">
      <alignment horizontal="center"/>
    </xf>
    <xf numFmtId="0" fontId="0" fillId="22" borderId="1" xfId="0" applyFill="1" applyBorder="1" applyAlignment="1">
      <alignment horizontal="center"/>
    </xf>
    <xf numFmtId="0" fontId="14" fillId="14" borderId="1" xfId="0" applyFont="1" applyFill="1" applyBorder="1" applyAlignment="1">
      <alignment horizontal="left"/>
    </xf>
    <xf numFmtId="164" fontId="14" fillId="14" borderId="1" xfId="0" applyNumberFormat="1" applyFont="1" applyFill="1" applyBorder="1" applyAlignment="1">
      <alignment horizontal="center"/>
    </xf>
    <xf numFmtId="0" fontId="0" fillId="24" borderId="0" xfId="0" applyFill="1"/>
    <xf numFmtId="0" fontId="0" fillId="24" borderId="6" xfId="0" applyFill="1" applyBorder="1"/>
    <xf numFmtId="0" fontId="0" fillId="26" borderId="0" xfId="0" applyFill="1"/>
    <xf numFmtId="0" fontId="0" fillId="26" borderId="6" xfId="0" applyFill="1" applyBorder="1"/>
    <xf numFmtId="0" fontId="0" fillId="26" borderId="8" xfId="0" applyFill="1" applyBorder="1"/>
    <xf numFmtId="0" fontId="0" fillId="26" borderId="7" xfId="0" applyFill="1" applyBorder="1"/>
    <xf numFmtId="0" fontId="0" fillId="26" borderId="9" xfId="0" applyFill="1" applyBorder="1"/>
    <xf numFmtId="0" fontId="0" fillId="26" borderId="0" xfId="0" applyFill="1" applyBorder="1"/>
    <xf numFmtId="0" fontId="0" fillId="24" borderId="8" xfId="0" applyFill="1" applyBorder="1"/>
    <xf numFmtId="0" fontId="0" fillId="26" borderId="10" xfId="0" applyFill="1" applyBorder="1"/>
    <xf numFmtId="0" fontId="0" fillId="26" borderId="5" xfId="0" applyFill="1" applyBorder="1"/>
    <xf numFmtId="0" fontId="0" fillId="0" borderId="0" xfId="0" applyFill="1"/>
    <xf numFmtId="0" fontId="0" fillId="27" borderId="0" xfId="0" applyFill="1"/>
    <xf numFmtId="0" fontId="0" fillId="28" borderId="0" xfId="0" applyFill="1"/>
    <xf numFmtId="0" fontId="0" fillId="28" borderId="0" xfId="0" applyFill="1" applyAlignment="1"/>
    <xf numFmtId="0" fontId="0" fillId="28" borderId="6" xfId="0" applyFill="1" applyBorder="1"/>
    <xf numFmtId="0" fontId="0" fillId="27" borderId="9" xfId="0" applyFill="1" applyBorder="1"/>
    <xf numFmtId="0" fontId="0" fillId="27" borderId="8" xfId="0" applyFill="1" applyBorder="1"/>
    <xf numFmtId="0" fontId="0" fillId="27" borderId="10" xfId="0" applyFill="1" applyBorder="1"/>
    <xf numFmtId="0" fontId="0" fillId="27" borderId="6" xfId="0" applyFill="1" applyBorder="1"/>
    <xf numFmtId="0" fontId="0" fillId="27" borderId="7" xfId="0" applyFill="1" applyBorder="1"/>
    <xf numFmtId="0" fontId="0" fillId="0" borderId="0" xfId="0" applyAlignment="1">
      <alignment horizontal="center" vertical="top"/>
    </xf>
    <xf numFmtId="0" fontId="19" fillId="29" borderId="12" xfId="0" applyFont="1" applyFill="1" applyBorder="1"/>
    <xf numFmtId="0" fontId="0" fillId="26" borderId="12" xfId="0" applyFill="1" applyBorder="1" applyAlignment="1">
      <alignment horizontal="center" vertical="top"/>
    </xf>
    <xf numFmtId="0" fontId="0" fillId="26" borderId="12" xfId="0" applyFill="1" applyBorder="1"/>
    <xf numFmtId="0" fontId="5" fillId="0" borderId="0" xfId="0" applyFont="1"/>
    <xf numFmtId="0" fontId="5" fillId="30" borderId="12" xfId="0" applyFont="1" applyFill="1" applyBorder="1" applyAlignment="1">
      <alignment horizontal="center"/>
    </xf>
    <xf numFmtId="0" fontId="5" fillId="30" borderId="12" xfId="0" applyFont="1" applyFill="1" applyBorder="1"/>
    <xf numFmtId="0" fontId="0" fillId="6" borderId="12" xfId="0" applyFill="1" applyBorder="1" applyAlignment="1">
      <alignment horizontal="center"/>
    </xf>
    <xf numFmtId="0" fontId="0" fillId="6" borderId="12" xfId="0" applyFill="1" applyBorder="1"/>
    <xf numFmtId="2" fontId="5" fillId="30" borderId="12" xfId="0" applyNumberFormat="1" applyFont="1" applyFill="1" applyBorder="1" applyAlignment="1">
      <alignment horizontal="center" vertical="top"/>
    </xf>
    <xf numFmtId="0" fontId="0" fillId="6" borderId="12" xfId="0" applyNumberFormat="1" applyFill="1" applyBorder="1" applyAlignment="1">
      <alignment horizontal="center" vertical="top"/>
    </xf>
    <xf numFmtId="14" fontId="5" fillId="30" borderId="12" xfId="0" applyNumberFormat="1" applyFont="1" applyFill="1" applyBorder="1" applyAlignment="1">
      <alignment horizontal="center"/>
    </xf>
    <xf numFmtId="14" fontId="0" fillId="6" borderId="12" xfId="0" applyNumberFormat="1" applyFill="1" applyBorder="1" applyAlignment="1">
      <alignment horizontal="center"/>
    </xf>
    <xf numFmtId="14" fontId="0" fillId="0" borderId="0" xfId="0" applyNumberFormat="1" applyAlignment="1">
      <alignment horizontal="center"/>
    </xf>
    <xf numFmtId="0" fontId="5" fillId="30" borderId="12" xfId="0" applyFont="1" applyFill="1" applyBorder="1" applyAlignment="1">
      <alignment horizontal="left"/>
    </xf>
    <xf numFmtId="0" fontId="0" fillId="6" borderId="12" xfId="0" applyFill="1" applyBorder="1" applyAlignment="1">
      <alignment horizontal="left"/>
    </xf>
    <xf numFmtId="0" fontId="0" fillId="27" borderId="13" xfId="0" applyFill="1" applyBorder="1"/>
    <xf numFmtId="0" fontId="0" fillId="27" borderId="11" xfId="0" applyFill="1" applyBorder="1"/>
    <xf numFmtId="0" fontId="22" fillId="27" borderId="1" xfId="0" applyFont="1" applyFill="1" applyBorder="1" applyAlignment="1">
      <alignment horizontal="center"/>
    </xf>
    <xf numFmtId="0" fontId="23" fillId="27" borderId="1" xfId="0" applyFont="1" applyFill="1" applyBorder="1" applyAlignment="1">
      <alignment horizontal="center"/>
    </xf>
    <xf numFmtId="0" fontId="21" fillId="25" borderId="2" xfId="0" applyFont="1" applyFill="1" applyBorder="1" applyAlignment="1">
      <alignment horizontal="center"/>
    </xf>
    <xf numFmtId="0" fontId="21" fillId="25" borderId="3" xfId="0" applyFont="1" applyFill="1" applyBorder="1" applyAlignment="1">
      <alignment horizontal="center"/>
    </xf>
    <xf numFmtId="0" fontId="21" fillId="25" borderId="4" xfId="0" applyFont="1" applyFill="1" applyBorder="1" applyAlignment="1">
      <alignment horizontal="center"/>
    </xf>
    <xf numFmtId="0" fontId="9" fillId="5" borderId="0" xfId="0" applyFont="1" applyFill="1" applyBorder="1" applyAlignment="1">
      <alignment horizontal="center" vertical="center"/>
    </xf>
    <xf numFmtId="0" fontId="13" fillId="10" borderId="0" xfId="0" applyFont="1" applyFill="1" applyBorder="1" applyAlignment="1">
      <alignment horizontal="center"/>
    </xf>
    <xf numFmtId="0" fontId="0" fillId="10" borderId="0" xfId="0" applyFill="1" applyBorder="1" applyAlignment="1">
      <alignment horizontal="center"/>
    </xf>
    <xf numFmtId="0" fontId="12" fillId="14" borderId="0" xfId="0" applyFont="1" applyFill="1" applyBorder="1" applyAlignment="1">
      <alignment horizontal="center"/>
    </xf>
    <xf numFmtId="0" fontId="12" fillId="17" borderId="0" xfId="0" applyFont="1" applyFill="1" applyBorder="1" applyAlignment="1">
      <alignment horizontal="center"/>
    </xf>
    <xf numFmtId="0" fontId="0" fillId="17" borderId="0" xfId="0" applyFill="1" applyBorder="1" applyAlignment="1">
      <alignment horizontal="center"/>
    </xf>
    <xf numFmtId="0" fontId="18" fillId="14" borderId="0" xfId="0" applyFont="1" applyFill="1" applyAlignment="1">
      <alignment horizontal="center"/>
    </xf>
  </cellXfs>
  <cellStyles count="1">
    <cellStyle name="Normal" xfId="0" builtinId="0"/>
  </cellStyles>
  <dxfs count="197">
    <dxf>
      <alignment horizontal="center"/>
    </dxf>
    <dxf>
      <alignment vertical="bottom"/>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alignment horizontal="left"/>
    </dxf>
    <dxf>
      <alignment horizontal="center" indent="0"/>
    </dxf>
    <dxf>
      <fill>
        <patternFill patternType="solid">
          <bgColor theme="9" tint="0.59999389629810485"/>
        </patternFill>
      </fill>
    </dxf>
    <dxf>
      <fill>
        <patternFill patternType="solid">
          <bgColor theme="7" tint="0.59999389629810485"/>
        </patternFill>
      </fill>
    </dxf>
    <dxf>
      <fill>
        <patternFill patternType="solid">
          <bgColor rgb="FFFF7C80"/>
        </patternFill>
      </fill>
    </dxf>
    <dxf>
      <fill>
        <patternFill patternType="solid">
          <bgColor theme="7" tint="0.39997558519241921"/>
        </patternFill>
      </fill>
    </dxf>
    <dxf>
      <fill>
        <patternFill>
          <bgColor theme="9"/>
        </patternFill>
      </fill>
    </dxf>
    <dxf>
      <fill>
        <patternFill patternType="solid">
          <bgColor theme="9" tint="0.39997558519241921"/>
        </patternFill>
      </fill>
    </dxf>
    <dxf>
      <fill>
        <patternFill patternType="solid">
          <bgColor theme="9" tint="0.39997558519241921"/>
        </patternFill>
      </fill>
    </dxf>
    <dxf>
      <alignment horizontal="cent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font>
        <name val="Arial Rounded MT Bold"/>
        <scheme val="none"/>
      </font>
    </dxf>
    <dxf>
      <font>
        <name val="Arial Rounded MT Bold"/>
        <scheme val="none"/>
      </font>
    </dxf>
    <dxf>
      <font>
        <name val="Arial Rounded MT Bold"/>
        <scheme val="none"/>
      </font>
    </dxf>
    <dxf>
      <font>
        <name val="Arial Rounded MT Bold"/>
        <scheme val="none"/>
      </font>
    </dxf>
    <dxf>
      <font>
        <name val="Arial Rounded MT Bold"/>
        <scheme val="none"/>
      </font>
    </dxf>
    <dxf>
      <font>
        <name val="Arial Rounded MT Bold"/>
        <scheme val="none"/>
      </font>
    </dxf>
    <dxf>
      <font>
        <name val="Arial Rounded MT Bold"/>
        <scheme val="none"/>
      </font>
    </dxf>
    <dxf>
      <font>
        <name val="Arial Rounded MT Bold"/>
        <scheme val="none"/>
      </font>
    </dxf>
    <dxf>
      <font>
        <name val="Arial Black"/>
        <scheme val="none"/>
      </font>
    </dxf>
    <dxf>
      <font>
        <name val="Arial Black"/>
        <scheme val="none"/>
      </font>
    </dxf>
    <dxf>
      <font>
        <name val="Arial Black"/>
        <scheme val="none"/>
      </font>
    </dxf>
    <dxf>
      <font>
        <name val="Arial Black"/>
        <scheme val="none"/>
      </font>
    </dxf>
    <dxf>
      <font>
        <name val="Arial Black"/>
        <scheme val="none"/>
      </font>
    </dxf>
    <dxf>
      <font>
        <name val="Arial Black"/>
        <scheme val="none"/>
      </font>
    </dxf>
    <dxf>
      <font>
        <name val="Arial Black"/>
        <scheme val="none"/>
      </font>
    </dxf>
    <dxf>
      <font>
        <name val="Arial Black"/>
        <scheme val="none"/>
      </font>
    </dxf>
    <dxf>
      <font>
        <name val="Arial Black"/>
        <scheme val="none"/>
      </font>
    </dxf>
    <dxf>
      <font>
        <name val="Arial Black"/>
        <scheme val="none"/>
      </font>
    </dxf>
    <dxf>
      <font>
        <name val="Algerian"/>
        <family val="5"/>
        <scheme val="none"/>
      </font>
    </dxf>
    <dxf>
      <font>
        <name val="Algerian"/>
        <family val="5"/>
        <scheme val="none"/>
      </font>
    </dxf>
    <dxf>
      <numFmt numFmtId="164" formatCode="&quot;₹&quot;\ #,##0"/>
    </dxf>
    <dxf>
      <border>
        <top style="thick">
          <color indexed="64"/>
        </top>
      </border>
    </dxf>
    <dxf>
      <border>
        <top style="thick">
          <color indexed="64"/>
        </top>
      </border>
    </dxf>
    <dxf>
      <fill>
        <patternFill>
          <bgColor theme="5" tint="0.39997558519241921"/>
        </patternFill>
      </fill>
    </dxf>
    <dxf>
      <fill>
        <patternFill>
          <bgColor theme="5" tint="0.39997558519241921"/>
        </patternFill>
      </fill>
    </dxf>
    <dxf>
      <fill>
        <patternFill>
          <bgColor theme="4" tint="0.39997558519241921"/>
        </patternFill>
      </fill>
    </dxf>
    <dxf>
      <fill>
        <patternFill>
          <bgColor theme="4" tint="0.39997558519241921"/>
        </patternFill>
      </fill>
    </dxf>
    <dxf>
      <fill>
        <patternFill>
          <bgColor theme="0" tint="-0.34998626667073579"/>
        </patternFill>
      </fill>
    </dxf>
    <dxf>
      <fill>
        <patternFill>
          <bgColor theme="0" tint="-0.34998626667073579"/>
        </patternFill>
      </fill>
    </dxf>
    <dxf>
      <fill>
        <patternFill>
          <bgColor theme="7" tint="0.39997558519241921"/>
        </patternFill>
      </fill>
    </dxf>
    <dxf>
      <fill>
        <patternFill>
          <bgColor theme="7" tint="0.39997558519241921"/>
        </patternFill>
      </fill>
    </dxf>
    <dxf>
      <fill>
        <patternFill>
          <bgColor theme="5" tint="-0.249977111117893"/>
        </patternFill>
      </fill>
    </dxf>
    <dxf>
      <fill>
        <patternFill>
          <bgColor theme="5" tint="-0.249977111117893"/>
        </patternFill>
      </fill>
    </dxf>
    <dxf>
      <fill>
        <patternFill patternType="solid">
          <bgColor rgb="FFFF0066"/>
        </patternFill>
      </fill>
    </dxf>
    <dxf>
      <fill>
        <patternFill patternType="solid">
          <bgColor rgb="FFFF0066"/>
        </patternFill>
      </fill>
    </dxf>
    <dxf>
      <fill>
        <patternFill patternType="solid">
          <bgColor rgb="FFFF7C80"/>
        </patternFill>
      </fill>
    </dxf>
    <dxf>
      <fill>
        <patternFill patternType="solid">
          <bgColor rgb="FFFF7C80"/>
        </patternFill>
      </fill>
    </dxf>
    <dxf>
      <fill>
        <patternFill patternType="solid">
          <bgColor rgb="FFFF0066"/>
        </patternFill>
      </fill>
    </dxf>
    <dxf>
      <fill>
        <patternFill patternType="solid">
          <bgColor rgb="FFFF0066"/>
        </patternFill>
      </fill>
    </dxf>
    <dxf>
      <border>
        <left style="thick">
          <color indexed="64"/>
        </left>
        <right style="thick">
          <color indexed="64"/>
        </right>
        <top style="thick">
          <color indexed="64"/>
        </top>
        <vertical style="thick">
          <color indexed="64"/>
        </vertical>
        <horizontal style="thick">
          <color indexed="64"/>
        </horizontal>
      </border>
    </dxf>
    <dxf>
      <border>
        <left style="thick">
          <color indexed="64"/>
        </left>
        <right style="thick">
          <color indexed="64"/>
        </right>
        <top style="thick">
          <color indexed="64"/>
        </top>
        <vertical style="thick">
          <color indexed="64"/>
        </vertical>
        <horizontal style="thick">
          <color indexed="64"/>
        </horizontal>
      </border>
    </dxf>
    <dxf>
      <border>
        <left style="thick">
          <color indexed="64"/>
        </left>
        <right style="thick">
          <color indexed="64"/>
        </right>
        <top style="thick">
          <color indexed="64"/>
        </top>
        <vertical style="thick">
          <color indexed="64"/>
        </vertical>
        <horizontal style="thick">
          <color indexed="64"/>
        </horizontal>
      </border>
    </dxf>
    <dxf>
      <border>
        <left style="thick">
          <color indexed="64"/>
        </left>
        <right style="thick">
          <color indexed="64"/>
        </right>
        <top style="thick">
          <color indexed="64"/>
        </top>
        <vertical style="thick">
          <color indexed="64"/>
        </vertical>
        <horizontal style="thick">
          <color indexed="64"/>
        </horizontal>
      </border>
    </dxf>
    <dxf>
      <border>
        <left style="thick">
          <color indexed="64"/>
        </left>
        <right style="thick">
          <color indexed="64"/>
        </right>
        <top style="thick">
          <color indexed="64"/>
        </top>
        <vertical style="thick">
          <color indexed="64"/>
        </vertical>
        <horizontal style="thick">
          <color indexed="64"/>
        </horizontal>
      </border>
    </dxf>
    <dxf>
      <border>
        <left style="thick">
          <color indexed="64"/>
        </left>
        <right style="thick">
          <color indexed="64"/>
        </right>
        <top style="thick">
          <color indexed="64"/>
        </top>
        <vertical style="thick">
          <color indexed="64"/>
        </vertical>
        <horizontal style="thick">
          <color indexed="64"/>
        </horizontal>
      </border>
    </dxf>
    <dxf>
      <border>
        <bottom style="thick">
          <color indexed="64"/>
        </bottom>
      </border>
    </dxf>
    <dxf>
      <border>
        <bottom style="thick">
          <color indexed="64"/>
        </bottom>
      </border>
    </dxf>
    <dxf>
      <border>
        <bottom style="thick">
          <color indexed="64"/>
        </bottom>
      </border>
    </dxf>
    <dxf>
      <border>
        <bottom style="thick">
          <color indexed="64"/>
        </bottom>
      </border>
    </dxf>
    <dxf>
      <border>
        <bottom style="thick">
          <color indexed="64"/>
        </bottom>
      </border>
    </dxf>
    <dxf>
      <border>
        <bottom style="thick">
          <color indexed="64"/>
        </bottom>
      </border>
    </dxf>
    <dxf>
      <alignment horizontal="center"/>
    </dxf>
    <dxf>
      <alignment vertical="center"/>
    </dxf>
    <dxf>
      <alignment horizontal="center"/>
    </dxf>
    <dxf>
      <font>
        <sz val="14"/>
      </font>
    </dxf>
    <dxf>
      <font>
        <sz val="14"/>
      </font>
    </dxf>
    <dxf>
      <font>
        <sz val="14"/>
      </font>
    </dxf>
    <dxf>
      <font>
        <sz val="14"/>
      </font>
    </dxf>
    <dxf>
      <font>
        <name val="Arial Black"/>
        <scheme val="none"/>
      </font>
    </dxf>
    <dxf>
      <font>
        <name val="Arial Black"/>
        <scheme val="none"/>
      </font>
    </dxf>
    <dxf>
      <font>
        <name val="Arial Rounded MT Bold"/>
        <scheme val="none"/>
      </font>
    </dxf>
    <dxf>
      <font>
        <name val="Arial Rounded MT Bold"/>
        <scheme val="none"/>
      </font>
    </dxf>
    <dxf>
      <font>
        <b/>
      </font>
    </dxf>
    <dxf>
      <font>
        <b/>
      </font>
    </dxf>
    <dxf>
      <font>
        <name val="Algerian"/>
        <family val="5"/>
        <scheme val="none"/>
      </font>
    </dxf>
    <dxf>
      <font>
        <name val="Algerian"/>
        <family val="5"/>
        <scheme val="none"/>
      </font>
    </dxf>
    <dxf>
      <fill>
        <patternFill>
          <bgColor theme="4" tint="0.79998168889431442"/>
        </patternFill>
      </fill>
    </dxf>
    <dxf>
      <fill>
        <patternFill>
          <bgColor theme="4" tint="0.79998168889431442"/>
        </patternFill>
      </fill>
    </dxf>
    <dxf>
      <numFmt numFmtId="164" formatCode="&quot;₹&quot;\ #,##0"/>
    </dxf>
    <dxf>
      <alignment horizontal="center"/>
    </dxf>
    <dxf>
      <border>
        <top style="thick">
          <color indexed="64"/>
        </top>
      </border>
    </dxf>
    <dxf>
      <border>
        <top style="thick">
          <color indexed="64"/>
        </top>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fill>
        <patternFill>
          <bgColor theme="3" tint="0.39997558519241921"/>
        </patternFill>
      </fill>
    </dxf>
    <dxf>
      <fill>
        <patternFill>
          <bgColor theme="3" tint="0.39997558519241921"/>
        </patternFill>
      </fill>
    </dxf>
    <dxf>
      <fill>
        <patternFill patternType="solid">
          <bgColor theme="4" tint="0.39997558519241921"/>
        </patternFill>
      </fill>
    </dxf>
    <dxf>
      <fill>
        <patternFill patternType="solid">
          <bgColor theme="4" tint="0.39997558519241921"/>
        </patternFill>
      </fill>
    </dxf>
    <dxf>
      <fill>
        <patternFill>
          <bgColor theme="3" tint="0.79998168889431442"/>
        </patternFill>
      </fill>
    </dxf>
    <dxf>
      <fill>
        <patternFill patternType="solid">
          <bgColor theme="3" tint="0.39997558519241921"/>
        </patternFill>
      </fill>
    </dxf>
    <dxf>
      <fill>
        <patternFill patternType="solid">
          <bgColor theme="3" tint="0.39997558519241921"/>
        </patternFill>
      </fill>
    </dxf>
    <dxf>
      <border>
        <left style="thick">
          <color indexed="64"/>
        </left>
        <right style="thick">
          <color indexed="64"/>
        </right>
        <top style="thick">
          <color indexed="64"/>
        </top>
        <bottom style="thick">
          <color indexed="64"/>
        </bottom>
        <vertical style="thick">
          <color indexed="64"/>
        </vertical>
        <horizontal style="thick">
          <color indexed="64"/>
        </horizontal>
      </border>
    </dxf>
    <dxf>
      <border>
        <left style="thick">
          <color indexed="64"/>
        </left>
        <right style="thick">
          <color indexed="64"/>
        </right>
        <top style="thick">
          <color indexed="64"/>
        </top>
        <bottom style="thick">
          <color indexed="64"/>
        </bottom>
        <vertical style="thick">
          <color indexed="64"/>
        </vertical>
        <horizontal style="thick">
          <color indexed="64"/>
        </horizontal>
      </border>
    </dxf>
    <dxf>
      <fill>
        <patternFill patternType="solid">
          <bgColor theme="3" tint="0.79998168889431442"/>
        </patternFill>
      </fill>
    </dxf>
    <dxf>
      <fill>
        <patternFill patternType="solid">
          <bgColor theme="3" tint="0.79998168889431442"/>
        </patternFill>
      </fill>
    </dxf>
    <dxf>
      <font>
        <sz val="12"/>
      </font>
    </dxf>
    <dxf>
      <font>
        <sz val="12"/>
      </font>
    </dxf>
    <dxf>
      <font>
        <sz val="14"/>
      </font>
    </dxf>
    <dxf>
      <font>
        <sz val="14"/>
      </font>
    </dxf>
    <dxf>
      <font>
        <name val="Algerian"/>
        <family val="5"/>
        <scheme val="none"/>
      </font>
    </dxf>
    <dxf>
      <font>
        <name val="Algerian"/>
        <family val="5"/>
        <scheme val="none"/>
      </font>
    </dxf>
    <dxf>
      <font>
        <b/>
      </font>
    </dxf>
    <dxf>
      <font>
        <b/>
      </font>
    </dxf>
    <dxf>
      <font>
        <name val="Aptos Display"/>
        <scheme val="none"/>
      </font>
    </dxf>
    <dxf>
      <font>
        <name val="Aptos Display"/>
        <scheme val="none"/>
      </font>
    </dxf>
    <dxf>
      <font>
        <name val="Algerian"/>
        <family val="5"/>
        <scheme val="none"/>
      </font>
    </dxf>
    <dxf>
      <font>
        <name val="Algerian"/>
        <family val="5"/>
        <scheme val="none"/>
      </font>
    </dxf>
    <dxf>
      <numFmt numFmtId="164" formatCode="&quot;₹&quot;\ #,##0"/>
    </dxf>
    <dxf>
      <border>
        <top style="thick">
          <color indexed="64"/>
        </top>
      </border>
    </dxf>
    <dxf>
      <border>
        <top style="thick">
          <color indexed="64"/>
        </top>
      </border>
    </dxf>
    <dxf>
      <border>
        <right style="thick">
          <color indexed="64"/>
        </right>
        <top style="thick">
          <color indexed="64"/>
        </top>
      </border>
    </dxf>
    <dxf>
      <border>
        <left style="thick">
          <color indexed="64"/>
        </left>
        <right style="thick">
          <color indexed="64"/>
        </right>
        <top style="thick">
          <color indexed="64"/>
        </top>
      </border>
    </dxf>
    <dxf>
      <font>
        <color theme="0"/>
      </font>
    </dxf>
    <dxf>
      <font>
        <color theme="0"/>
      </font>
    </dxf>
    <dxf>
      <fill>
        <patternFill patternType="solid">
          <bgColor theme="8" tint="-0.499984740745262"/>
        </patternFill>
      </fill>
    </dxf>
    <dxf>
      <fill>
        <patternFill patternType="solid">
          <bgColor theme="8" tint="-0.499984740745262"/>
        </patternFill>
      </fill>
    </dxf>
    <dxf>
      <fill>
        <patternFill>
          <bgColor theme="8" tint="-0.249977111117893"/>
        </patternFill>
      </fill>
    </dxf>
    <dxf>
      <fill>
        <patternFill>
          <bgColor theme="8" tint="-0.249977111117893"/>
        </patternFill>
      </fill>
    </dxf>
    <dxf>
      <fill>
        <patternFill>
          <bgColor theme="8" tint="0.79998168889431442"/>
        </patternFill>
      </fill>
    </dxf>
    <dxf>
      <fill>
        <patternFill>
          <bgColor theme="8" tint="0.79998168889431442"/>
        </patternFill>
      </fill>
    </dxf>
    <dxf>
      <fill>
        <patternFill patternType="solid">
          <bgColor theme="9" tint="0.79998168889431442"/>
        </patternFill>
      </fill>
    </dxf>
    <dxf>
      <fill>
        <patternFill patternType="solid">
          <bgColor theme="9" tint="0.79998168889431442"/>
        </patternFill>
      </fill>
    </dxf>
    <dxf>
      <font>
        <b/>
      </font>
    </dxf>
    <dxf>
      <font>
        <sz val="14"/>
      </font>
    </dxf>
    <dxf>
      <alignment vertical="bottom"/>
    </dxf>
    <dxf>
      <alignment horizontal="center"/>
    </dxf>
    <dxf>
      <font>
        <sz val="14"/>
      </font>
    </dxf>
    <dxf>
      <alignment horizontal="center"/>
    </dxf>
    <dxf>
      <font>
        <sz val="12"/>
      </font>
    </dxf>
    <dxf>
      <font>
        <sz val="12"/>
      </font>
    </dxf>
    <dxf>
      <font>
        <name val="Algerian"/>
        <family val="5"/>
        <scheme val="none"/>
      </font>
    </dxf>
    <dxf>
      <font>
        <name val="Algerian"/>
        <family val="5"/>
        <scheme val="none"/>
      </font>
    </dxf>
    <dxf>
      <numFmt numFmtId="164" formatCode="&quot;₹&quot;\ #,##0"/>
    </dxf>
    <dxf>
      <border>
        <top style="thick">
          <color indexed="64"/>
        </top>
      </border>
    </dxf>
    <dxf>
      <border>
        <top style="thick">
          <color indexed="64"/>
        </top>
      </border>
    </dxf>
    <dxf>
      <border>
        <top style="thick">
          <color indexed="64"/>
        </top>
      </border>
    </dxf>
    <dxf>
      <alignment vertical="top"/>
    </dxf>
    <dxf>
      <alignment vertical="top"/>
    </dxf>
    <dxf>
      <font>
        <sz val="14"/>
      </font>
    </dxf>
    <dxf>
      <alignment vertical="center"/>
    </dxf>
    <dxf>
      <font>
        <sz val="12"/>
      </font>
    </dxf>
    <dxf>
      <border>
        <left style="thick">
          <color indexed="64"/>
        </left>
        <right style="thick">
          <color indexed="64"/>
        </right>
        <top style="thick">
          <color indexed="64"/>
        </top>
        <bottom style="thick">
          <color indexed="64"/>
        </bottom>
        <vertical style="thick">
          <color indexed="64"/>
        </vertical>
        <horizontal style="thick">
          <color indexed="64"/>
        </horizontal>
      </border>
    </dxf>
    <dxf>
      <font>
        <name val="Arial Black"/>
        <family val="2"/>
      </font>
    </dxf>
    <dxf>
      <font>
        <name val="Arial Black"/>
        <scheme val="none"/>
      </font>
    </dxf>
    <dxf>
      <font>
        <name val="Arial Black"/>
        <scheme val="none"/>
      </font>
    </dxf>
    <dxf>
      <font>
        <name val="Arial Black"/>
        <scheme val="none"/>
      </font>
    </dxf>
    <dxf>
      <font>
        <sz val="14"/>
      </font>
    </dxf>
    <dxf>
      <font>
        <sz val="12"/>
      </font>
    </dxf>
    <dxf>
      <font>
        <sz val="12"/>
      </font>
    </dxf>
    <dxf>
      <font>
        <name val="Algerian"/>
        <family val="5"/>
        <scheme val="none"/>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color theme="0"/>
      </font>
    </dxf>
    <dxf>
      <font>
        <color theme="0"/>
      </font>
    </dxf>
    <dxf>
      <font>
        <color theme="0"/>
      </font>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ont>
        <name val="Algerian"/>
        <family val="5"/>
        <scheme val="none"/>
      </font>
    </dxf>
    <dxf>
      <font>
        <name val="Algerian"/>
        <family val="5"/>
        <scheme val="none"/>
      </font>
    </dxf>
    <dxf>
      <font>
        <name val="Algerian"/>
        <family val="5"/>
        <scheme val="none"/>
      </font>
    </dxf>
    <dxf>
      <fill>
        <patternFill patternType="solid">
          <bgColor theme="9" tint="0.59999389629810485"/>
        </patternFill>
      </fill>
    </dxf>
    <dxf>
      <fill>
        <patternFill patternType="solid">
          <bgColor theme="9" tint="0.59999389629810485"/>
        </patternFill>
      </fill>
    </dxf>
    <dxf>
      <fill>
        <patternFill patternType="solid">
          <bgColor theme="9" tint="0.59999389629810485"/>
        </patternFill>
      </fill>
    </dxf>
    <dxf>
      <font>
        <sz val="11"/>
      </font>
    </dxf>
    <dxf>
      <font>
        <sz val="11"/>
      </font>
    </dxf>
    <dxf>
      <font>
        <sz val="11"/>
      </font>
    </dxf>
  </dxfs>
  <tableStyles count="0" defaultTableStyle="TableStyleMedium2" defaultPivotStyle="PivotStyleLight16"/>
  <colors>
    <mruColors>
      <color rgb="FFFFCCFF"/>
      <color rgb="FFA91B95"/>
      <color rgb="FFFF00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EXCEL_Assignment_Problem(1).xlsm]YWS!PivotTable3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743646433553187"/>
          <c:y val="0.16093667471132672"/>
          <c:w val="0.48133538614758226"/>
          <c:h val="0.60390897345262184"/>
        </c:manualLayout>
      </c:layout>
      <c:barChart>
        <c:barDir val="col"/>
        <c:grouping val="stacked"/>
        <c:varyColors val="0"/>
        <c:ser>
          <c:idx val="0"/>
          <c:order val="0"/>
          <c:tx>
            <c:strRef>
              <c:f>YWS!$C$3:$C$4</c:f>
              <c:strCache>
                <c:ptCount val="1"/>
                <c:pt idx="0">
                  <c:v>Product 1</c:v>
                </c:pt>
              </c:strCache>
            </c:strRef>
          </c:tx>
          <c:spPr>
            <a:solidFill>
              <a:schemeClr val="accent1"/>
            </a:solidFill>
            <a:ln>
              <a:noFill/>
            </a:ln>
            <a:effectLst/>
          </c:spPr>
          <c:invertIfNegative val="0"/>
          <c:cat>
            <c:strRef>
              <c:f>YWS!$B$5:$B$7</c:f>
              <c:strCache>
                <c:ptCount val="2"/>
                <c:pt idx="0">
                  <c:v>2021</c:v>
                </c:pt>
                <c:pt idx="1">
                  <c:v>2022</c:v>
                </c:pt>
              </c:strCache>
            </c:strRef>
          </c:cat>
          <c:val>
            <c:numRef>
              <c:f>YWS!$C$5:$C$7</c:f>
              <c:numCache>
                <c:formatCode>"₹"\ #,##0</c:formatCode>
                <c:ptCount val="2"/>
                <c:pt idx="0">
                  <c:v>394611</c:v>
                </c:pt>
                <c:pt idx="1">
                  <c:v>342342</c:v>
                </c:pt>
              </c:numCache>
            </c:numRef>
          </c:val>
          <c:extLst>
            <c:ext xmlns:c16="http://schemas.microsoft.com/office/drawing/2014/chart" uri="{C3380CC4-5D6E-409C-BE32-E72D297353CC}">
              <c16:uniqueId val="{00000000-5741-4CFC-84FE-CA929314C806}"/>
            </c:ext>
          </c:extLst>
        </c:ser>
        <c:ser>
          <c:idx val="1"/>
          <c:order val="1"/>
          <c:tx>
            <c:strRef>
              <c:f>YWS!$D$3:$D$4</c:f>
              <c:strCache>
                <c:ptCount val="1"/>
                <c:pt idx="0">
                  <c:v>Product 2</c:v>
                </c:pt>
              </c:strCache>
            </c:strRef>
          </c:tx>
          <c:spPr>
            <a:solidFill>
              <a:schemeClr val="accent2"/>
            </a:solidFill>
            <a:ln>
              <a:noFill/>
            </a:ln>
            <a:effectLst/>
          </c:spPr>
          <c:invertIfNegative val="0"/>
          <c:cat>
            <c:strRef>
              <c:f>YWS!$B$5:$B$7</c:f>
              <c:strCache>
                <c:ptCount val="2"/>
                <c:pt idx="0">
                  <c:v>2021</c:v>
                </c:pt>
                <c:pt idx="1">
                  <c:v>2022</c:v>
                </c:pt>
              </c:strCache>
            </c:strRef>
          </c:cat>
          <c:val>
            <c:numRef>
              <c:f>YWS!$D$5:$D$7</c:f>
              <c:numCache>
                <c:formatCode>"₹"\ #,##0</c:formatCode>
                <c:ptCount val="2"/>
                <c:pt idx="0">
                  <c:v>209149</c:v>
                </c:pt>
                <c:pt idx="1">
                  <c:v>156613</c:v>
                </c:pt>
              </c:numCache>
            </c:numRef>
          </c:val>
          <c:extLst>
            <c:ext xmlns:c16="http://schemas.microsoft.com/office/drawing/2014/chart" uri="{C3380CC4-5D6E-409C-BE32-E72D297353CC}">
              <c16:uniqueId val="{00000001-5741-4CFC-84FE-CA929314C806}"/>
            </c:ext>
          </c:extLst>
        </c:ser>
        <c:ser>
          <c:idx val="2"/>
          <c:order val="2"/>
          <c:tx>
            <c:strRef>
              <c:f>YWS!$E$3:$E$4</c:f>
              <c:strCache>
                <c:ptCount val="1"/>
                <c:pt idx="0">
                  <c:v>Product 3</c:v>
                </c:pt>
              </c:strCache>
            </c:strRef>
          </c:tx>
          <c:spPr>
            <a:solidFill>
              <a:schemeClr val="accent3"/>
            </a:solidFill>
            <a:ln>
              <a:noFill/>
            </a:ln>
            <a:effectLst/>
          </c:spPr>
          <c:invertIfNegative val="0"/>
          <c:cat>
            <c:strRef>
              <c:f>YWS!$B$5:$B$7</c:f>
              <c:strCache>
                <c:ptCount val="2"/>
                <c:pt idx="0">
                  <c:v>2021</c:v>
                </c:pt>
                <c:pt idx="1">
                  <c:v>2022</c:v>
                </c:pt>
              </c:strCache>
            </c:strRef>
          </c:cat>
          <c:val>
            <c:numRef>
              <c:f>YWS!$E$5:$E$7</c:f>
              <c:numCache>
                <c:formatCode>"₹"\ #,##0</c:formatCode>
                <c:ptCount val="2"/>
                <c:pt idx="0">
                  <c:v>71415</c:v>
                </c:pt>
                <c:pt idx="1">
                  <c:v>53475</c:v>
                </c:pt>
              </c:numCache>
            </c:numRef>
          </c:val>
          <c:extLst>
            <c:ext xmlns:c16="http://schemas.microsoft.com/office/drawing/2014/chart" uri="{C3380CC4-5D6E-409C-BE32-E72D297353CC}">
              <c16:uniqueId val="{00000002-5741-4CFC-84FE-CA929314C806}"/>
            </c:ext>
          </c:extLst>
        </c:ser>
        <c:ser>
          <c:idx val="3"/>
          <c:order val="3"/>
          <c:tx>
            <c:strRef>
              <c:f>YWS!$F$3:$F$4</c:f>
              <c:strCache>
                <c:ptCount val="1"/>
                <c:pt idx="0">
                  <c:v>Product 4</c:v>
                </c:pt>
              </c:strCache>
            </c:strRef>
          </c:tx>
          <c:spPr>
            <a:solidFill>
              <a:schemeClr val="accent4"/>
            </a:solidFill>
            <a:ln>
              <a:noFill/>
            </a:ln>
            <a:effectLst/>
          </c:spPr>
          <c:invertIfNegative val="0"/>
          <c:cat>
            <c:strRef>
              <c:f>YWS!$B$5:$B$7</c:f>
              <c:strCache>
                <c:ptCount val="2"/>
                <c:pt idx="0">
                  <c:v>2021</c:v>
                </c:pt>
                <c:pt idx="1">
                  <c:v>2022</c:v>
                </c:pt>
              </c:strCache>
            </c:strRef>
          </c:cat>
          <c:val>
            <c:numRef>
              <c:f>YWS!$F$5:$F$7</c:f>
              <c:numCache>
                <c:formatCode>"₹"\ #,##0</c:formatCode>
                <c:ptCount val="2"/>
                <c:pt idx="0">
                  <c:v>181260</c:v>
                </c:pt>
                <c:pt idx="1">
                  <c:v>120045</c:v>
                </c:pt>
              </c:numCache>
            </c:numRef>
          </c:val>
          <c:extLst>
            <c:ext xmlns:c16="http://schemas.microsoft.com/office/drawing/2014/chart" uri="{C3380CC4-5D6E-409C-BE32-E72D297353CC}">
              <c16:uniqueId val="{00000003-5741-4CFC-84FE-CA929314C806}"/>
            </c:ext>
          </c:extLst>
        </c:ser>
        <c:ser>
          <c:idx val="4"/>
          <c:order val="4"/>
          <c:tx>
            <c:strRef>
              <c:f>YWS!$G$3:$G$4</c:f>
              <c:strCache>
                <c:ptCount val="1"/>
                <c:pt idx="0">
                  <c:v>Product 5</c:v>
                </c:pt>
              </c:strCache>
            </c:strRef>
          </c:tx>
          <c:spPr>
            <a:solidFill>
              <a:schemeClr val="accent5"/>
            </a:solidFill>
            <a:ln>
              <a:noFill/>
            </a:ln>
            <a:effectLst/>
          </c:spPr>
          <c:invertIfNegative val="0"/>
          <c:cat>
            <c:strRef>
              <c:f>YWS!$B$5:$B$7</c:f>
              <c:strCache>
                <c:ptCount val="2"/>
                <c:pt idx="0">
                  <c:v>2021</c:v>
                </c:pt>
                <c:pt idx="1">
                  <c:v>2022</c:v>
                </c:pt>
              </c:strCache>
            </c:strRef>
          </c:cat>
          <c:val>
            <c:numRef>
              <c:f>YWS!$G$5:$G$7</c:f>
              <c:numCache>
                <c:formatCode>"₹"\ #,##0</c:formatCode>
                <c:ptCount val="2"/>
                <c:pt idx="0">
                  <c:v>301716</c:v>
                </c:pt>
                <c:pt idx="1">
                  <c:v>197965</c:v>
                </c:pt>
              </c:numCache>
            </c:numRef>
          </c:val>
          <c:extLst>
            <c:ext xmlns:c16="http://schemas.microsoft.com/office/drawing/2014/chart" uri="{C3380CC4-5D6E-409C-BE32-E72D297353CC}">
              <c16:uniqueId val="{00000004-5741-4CFC-84FE-CA929314C806}"/>
            </c:ext>
          </c:extLst>
        </c:ser>
        <c:dLbls>
          <c:showLegendKey val="0"/>
          <c:showVal val="0"/>
          <c:showCatName val="0"/>
          <c:showSerName val="0"/>
          <c:showPercent val="0"/>
          <c:showBubbleSize val="0"/>
        </c:dLbls>
        <c:gapWidth val="150"/>
        <c:overlap val="100"/>
        <c:axId val="105430831"/>
        <c:axId val="105436591"/>
      </c:barChart>
      <c:catAx>
        <c:axId val="10543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05436591"/>
        <c:crosses val="autoZero"/>
        <c:auto val="1"/>
        <c:lblAlgn val="ctr"/>
        <c:lblOffset val="100"/>
        <c:noMultiLvlLbl val="0"/>
      </c:catAx>
      <c:valAx>
        <c:axId val="105436591"/>
        <c:scaling>
          <c:orientation val="minMax"/>
        </c:scaling>
        <c:delete val="0"/>
        <c:axPos val="l"/>
        <c:majorGridlines>
          <c:spPr>
            <a:ln w="9525" cap="flat" cmpd="sng" algn="ctr">
              <a:no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Display" panose="020B0004020202020204" pitchFamily="34" charset="0"/>
                <a:ea typeface="+mn-ea"/>
                <a:cs typeface="+mn-cs"/>
              </a:defRPr>
            </a:pPr>
            <a:endParaRPr lang="en-US"/>
          </a:p>
        </c:txPr>
        <c:crossAx val="105430831"/>
        <c:crosses val="autoZero"/>
        <c:crossBetween val="between"/>
      </c:valAx>
      <c:spPr>
        <a:noFill/>
        <a:ln>
          <a:noFill/>
        </a:ln>
        <a:effectLst/>
      </c:spPr>
    </c:plotArea>
    <c:legend>
      <c:legendPos val="r"/>
      <c:layout>
        <c:manualLayout>
          <c:xMode val="edge"/>
          <c:yMode val="edge"/>
          <c:x val="0.71711125487973704"/>
          <c:y val="9.9939792101915143E-2"/>
          <c:w val="0.26757585156324265"/>
          <c:h val="0.752836738731762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EXCEL_Assignment_Problem(1).xlsm]MWS!PivotTable4</c:name>
    <c:fmtId val="4"/>
  </c:pivotSource>
  <c:chart>
    <c:autoTitleDeleted val="1"/>
    <c:pivotFmts>
      <c:pivotFmt>
        <c:idx val="0"/>
        <c:spPr>
          <a:solidFill>
            <a:schemeClr val="accent1"/>
          </a:solidFill>
          <a:ln w="28575" cap="rnd">
            <a:solidFill>
              <a:schemeClr val="accent1"/>
            </a:solidFill>
            <a:round/>
          </a:ln>
          <a:effectLst/>
        </c:spPr>
        <c:marker>
          <c:symbol val="circle"/>
          <c:size val="5"/>
          <c:spPr>
            <a:solidFill>
              <a:schemeClr val="accent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MWS!$C$3</c:f>
              <c:strCache>
                <c:ptCount val="1"/>
                <c:pt idx="0">
                  <c:v>Total</c:v>
                </c:pt>
              </c:strCache>
            </c:strRef>
          </c:tx>
          <c:spPr>
            <a:ln w="28575" cap="rnd">
              <a:solidFill>
                <a:schemeClr val="accent1"/>
              </a:solidFill>
              <a:round/>
            </a:ln>
            <a:effectLst/>
          </c:spPr>
          <c:marker>
            <c:symbol val="circle"/>
            <c:size val="5"/>
            <c:spPr>
              <a:solidFill>
                <a:schemeClr val="accent6"/>
              </a:solidFill>
              <a:ln w="9525">
                <a:solidFill>
                  <a:schemeClr val="accent1"/>
                </a:solidFill>
              </a:ln>
              <a:effectLst/>
            </c:spPr>
          </c:marker>
          <c:cat>
            <c:strRef>
              <c:f>MWS!$B$4:$B$16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MWS!$C$4:$C$16</c:f>
              <c:numCache>
                <c:formatCode>"₹"\ #,##0</c:formatCode>
                <c:ptCount val="12"/>
                <c:pt idx="0">
                  <c:v>177052</c:v>
                </c:pt>
                <c:pt idx="1">
                  <c:v>199129</c:v>
                </c:pt>
                <c:pt idx="2">
                  <c:v>230383</c:v>
                </c:pt>
                <c:pt idx="3">
                  <c:v>185792</c:v>
                </c:pt>
                <c:pt idx="4">
                  <c:v>210160</c:v>
                </c:pt>
                <c:pt idx="5">
                  <c:v>193125</c:v>
                </c:pt>
                <c:pt idx="6">
                  <c:v>158674</c:v>
                </c:pt>
                <c:pt idx="7">
                  <c:v>184981</c:v>
                </c:pt>
                <c:pt idx="8">
                  <c:v>172217</c:v>
                </c:pt>
                <c:pt idx="9">
                  <c:v>126306</c:v>
                </c:pt>
                <c:pt idx="10">
                  <c:v>99699</c:v>
                </c:pt>
                <c:pt idx="11">
                  <c:v>91073</c:v>
                </c:pt>
              </c:numCache>
            </c:numRef>
          </c:val>
          <c:smooth val="0"/>
          <c:extLst>
            <c:ext xmlns:c16="http://schemas.microsoft.com/office/drawing/2014/chart" uri="{C3380CC4-5D6E-409C-BE32-E72D297353CC}">
              <c16:uniqueId val="{00000000-C032-49C8-9997-A52BBAEFA1EC}"/>
            </c:ext>
          </c:extLst>
        </c:ser>
        <c:dLbls>
          <c:showLegendKey val="0"/>
          <c:showVal val="0"/>
          <c:showCatName val="0"/>
          <c:showSerName val="0"/>
          <c:showPercent val="0"/>
          <c:showBubbleSize val="0"/>
        </c:dLbls>
        <c:marker val="1"/>
        <c:smooth val="0"/>
        <c:axId val="1496333599"/>
        <c:axId val="1496335039"/>
      </c:lineChart>
      <c:catAx>
        <c:axId val="149633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335039"/>
        <c:crosses val="autoZero"/>
        <c:auto val="1"/>
        <c:lblAlgn val="ctr"/>
        <c:lblOffset val="100"/>
        <c:noMultiLvlLbl val="0"/>
      </c:catAx>
      <c:valAx>
        <c:axId val="1496335039"/>
        <c:scaling>
          <c:orientation val="minMax"/>
        </c:scaling>
        <c:delete val="0"/>
        <c:axPos val="l"/>
        <c:majorGridlines>
          <c:spPr>
            <a:ln w="9525" cap="flat" cmpd="sng" algn="ctr">
              <a:no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333599"/>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EXCEL_Assignment_Problem(1).xlsm]SWS!PivotTable6</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SWS!$C$3</c:f>
              <c:strCache>
                <c:ptCount val="1"/>
                <c:pt idx="0">
                  <c:v>Total</c:v>
                </c:pt>
              </c:strCache>
            </c:strRef>
          </c:tx>
          <c:spPr>
            <a:solidFill>
              <a:schemeClr val="accent1"/>
            </a:solidFill>
            <a:ln>
              <a:noFill/>
            </a:ln>
            <a:effectLst/>
          </c:spPr>
          <c:invertIfNegative val="0"/>
          <c:cat>
            <c:strRef>
              <c:f>SWS!$B$4:$B$12</c:f>
              <c:strCache>
                <c:ptCount val="8"/>
                <c:pt idx="0">
                  <c:v>Andrew James</c:v>
                </c:pt>
                <c:pt idx="1">
                  <c:v>Anna Weber</c:v>
                </c:pt>
                <c:pt idx="2">
                  <c:v>Anne Lee</c:v>
                </c:pt>
                <c:pt idx="3">
                  <c:v>Ben Wallace</c:v>
                </c:pt>
                <c:pt idx="4">
                  <c:v>Kim Fishman</c:v>
                </c:pt>
                <c:pt idx="5">
                  <c:v>Laura Larsen</c:v>
                </c:pt>
                <c:pt idx="6">
                  <c:v>Michael Fox</c:v>
                </c:pt>
                <c:pt idx="7">
                  <c:v>Oscar Knox</c:v>
                </c:pt>
              </c:strCache>
            </c:strRef>
          </c:cat>
          <c:val>
            <c:numRef>
              <c:f>SWS!$C$4:$C$12</c:f>
              <c:numCache>
                <c:formatCode>"₹"\ #,##0</c:formatCode>
                <c:ptCount val="8"/>
                <c:pt idx="0">
                  <c:v>243681</c:v>
                </c:pt>
                <c:pt idx="1">
                  <c:v>276378</c:v>
                </c:pt>
                <c:pt idx="2">
                  <c:v>241194</c:v>
                </c:pt>
                <c:pt idx="3">
                  <c:v>255757</c:v>
                </c:pt>
                <c:pt idx="4">
                  <c:v>231788</c:v>
                </c:pt>
                <c:pt idx="5">
                  <c:v>276331</c:v>
                </c:pt>
                <c:pt idx="6">
                  <c:v>251790</c:v>
                </c:pt>
                <c:pt idx="7">
                  <c:v>251672</c:v>
                </c:pt>
              </c:numCache>
            </c:numRef>
          </c:val>
          <c:extLst>
            <c:ext xmlns:c16="http://schemas.microsoft.com/office/drawing/2014/chart" uri="{C3380CC4-5D6E-409C-BE32-E72D297353CC}">
              <c16:uniqueId val="{00000000-152A-4C16-8F40-578B97B8B4BF}"/>
            </c:ext>
          </c:extLst>
        </c:ser>
        <c:dLbls>
          <c:showLegendKey val="0"/>
          <c:showVal val="0"/>
          <c:showCatName val="0"/>
          <c:showSerName val="0"/>
          <c:showPercent val="0"/>
          <c:showBubbleSize val="0"/>
        </c:dLbls>
        <c:gapWidth val="150"/>
        <c:overlap val="100"/>
        <c:axId val="1496418943"/>
        <c:axId val="1496423263"/>
      </c:barChart>
      <c:catAx>
        <c:axId val="1496418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423263"/>
        <c:crosses val="autoZero"/>
        <c:auto val="1"/>
        <c:lblAlgn val="ctr"/>
        <c:lblOffset val="100"/>
        <c:noMultiLvlLbl val="0"/>
      </c:catAx>
      <c:valAx>
        <c:axId val="1496423263"/>
        <c:scaling>
          <c:orientation val="minMax"/>
        </c:scaling>
        <c:delete val="1"/>
        <c:axPos val="b"/>
        <c:majorGridlines>
          <c:spPr>
            <a:ln w="9525" cap="flat" cmpd="sng" algn="ctr">
              <a:noFill/>
              <a:round/>
            </a:ln>
            <a:effectLst/>
          </c:spPr>
        </c:majorGridlines>
        <c:numFmt formatCode="&quot;₹&quot;\ #,##0" sourceLinked="1"/>
        <c:majorTickMark val="none"/>
        <c:minorTickMark val="none"/>
        <c:tickLblPos val="nextTo"/>
        <c:crossAx val="1496418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EXCEL_Assignment_Problem(1).xlsm]PWS!PivotTable1</c:name>
    <c:fmtId val="2"/>
  </c:pivotSource>
  <c:chart>
    <c:autoTitleDeleted val="1"/>
    <c:pivotFmts>
      <c:pivotFmt>
        <c:idx val="0"/>
        <c:spPr>
          <a:solidFill>
            <a:schemeClr val="accent1"/>
          </a:solidFill>
          <a:ln w="25400">
            <a:solidFill>
              <a:schemeClr val="tx1"/>
            </a:solidFill>
          </a:ln>
          <a:effectLst/>
          <a:sp3d contourW="25400">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w="25400">
            <a:solidFill>
              <a:schemeClr val="tx1"/>
            </a:solidFill>
          </a:ln>
          <a:effectLst/>
          <a:sp3d contourW="25400">
            <a:contourClr>
              <a:schemeClr val="tx1"/>
            </a:contourClr>
          </a:sp3d>
        </c:spPr>
      </c:pivotFmt>
      <c:pivotFmt>
        <c:idx val="2"/>
        <c:spPr>
          <a:solidFill>
            <a:schemeClr val="accent4">
              <a:lumMod val="60000"/>
              <a:lumOff val="40000"/>
            </a:schemeClr>
          </a:solidFill>
          <a:ln w="25400">
            <a:solidFill>
              <a:schemeClr val="tx1"/>
            </a:solidFill>
          </a:ln>
          <a:effectLst/>
          <a:sp3d contourW="25400">
            <a:contourClr>
              <a:schemeClr val="tx1"/>
            </a:contourClr>
          </a:sp3d>
        </c:spPr>
      </c:pivotFmt>
      <c:pivotFmt>
        <c:idx val="3"/>
        <c:spPr>
          <a:solidFill>
            <a:schemeClr val="accent5">
              <a:lumMod val="60000"/>
              <a:lumOff val="40000"/>
            </a:schemeClr>
          </a:solidFill>
          <a:ln w="25400">
            <a:solidFill>
              <a:schemeClr val="tx1"/>
            </a:solidFill>
          </a:ln>
          <a:effectLst/>
          <a:sp3d contourW="25400">
            <a:contourClr>
              <a:schemeClr val="tx1"/>
            </a:contourClr>
          </a:sp3d>
        </c:spPr>
      </c:pivotFmt>
      <c:pivotFmt>
        <c:idx val="4"/>
        <c:spPr>
          <a:solidFill>
            <a:schemeClr val="accent2">
              <a:lumMod val="60000"/>
              <a:lumOff val="40000"/>
            </a:schemeClr>
          </a:solidFill>
          <a:ln w="25400">
            <a:solidFill>
              <a:schemeClr val="tx1"/>
            </a:solidFill>
          </a:ln>
          <a:effectLst/>
          <a:sp3d contourW="25400">
            <a:contourClr>
              <a:schemeClr val="tx1"/>
            </a:contourClr>
          </a:sp3d>
        </c:spPr>
      </c:pivotFmt>
      <c:pivotFmt>
        <c:idx val="5"/>
        <c:spPr>
          <a:solidFill>
            <a:schemeClr val="accent1"/>
          </a:solidFill>
          <a:ln w="25400">
            <a:solidFill>
              <a:schemeClr val="tx1"/>
            </a:solidFill>
          </a:ln>
          <a:effectLst/>
          <a:sp3d contourW="25400">
            <a:contourClr>
              <a:schemeClr val="tx1"/>
            </a:contourClr>
          </a:sp3d>
        </c:spPr>
      </c:pivotFmt>
      <c:pivotFmt>
        <c:idx val="6"/>
        <c:spPr>
          <a:solidFill>
            <a:schemeClr val="accent1"/>
          </a:solidFill>
          <a:ln w="25400">
            <a:solidFill>
              <a:schemeClr val="tx1"/>
            </a:solidFill>
          </a:ln>
          <a:effectLst/>
          <a:sp3d contourW="25400">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lumMod val="75000"/>
            </a:schemeClr>
          </a:solidFill>
          <a:ln w="25400">
            <a:solidFill>
              <a:schemeClr val="tx1"/>
            </a:solidFill>
          </a:ln>
          <a:effectLst/>
          <a:sp3d contourW="25400">
            <a:contourClr>
              <a:schemeClr val="tx1"/>
            </a:contourClr>
          </a:sp3d>
        </c:spPr>
      </c:pivotFmt>
      <c:pivotFmt>
        <c:idx val="8"/>
        <c:spPr>
          <a:solidFill>
            <a:schemeClr val="accent4">
              <a:lumMod val="60000"/>
              <a:lumOff val="40000"/>
            </a:schemeClr>
          </a:solidFill>
          <a:ln w="25400">
            <a:solidFill>
              <a:schemeClr val="tx1"/>
            </a:solidFill>
          </a:ln>
          <a:effectLst/>
          <a:sp3d contourW="25400">
            <a:contourClr>
              <a:schemeClr val="tx1"/>
            </a:contourClr>
          </a:sp3d>
        </c:spPr>
      </c:pivotFmt>
      <c:pivotFmt>
        <c:idx val="9"/>
        <c:spPr>
          <a:solidFill>
            <a:schemeClr val="accent1"/>
          </a:solidFill>
          <a:ln w="25400">
            <a:solidFill>
              <a:schemeClr val="tx1"/>
            </a:solidFill>
          </a:ln>
          <a:effectLst/>
          <a:sp3d contourW="25400">
            <a:contourClr>
              <a:schemeClr val="tx1"/>
            </a:contourClr>
          </a:sp3d>
        </c:spPr>
      </c:pivotFmt>
      <c:pivotFmt>
        <c:idx val="10"/>
        <c:spPr>
          <a:solidFill>
            <a:schemeClr val="accent2">
              <a:lumMod val="60000"/>
              <a:lumOff val="40000"/>
            </a:schemeClr>
          </a:solidFill>
          <a:ln w="25400">
            <a:solidFill>
              <a:schemeClr val="tx1"/>
            </a:solidFill>
          </a:ln>
          <a:effectLst/>
          <a:sp3d contourW="25400">
            <a:contourClr>
              <a:schemeClr val="tx1"/>
            </a:contourClr>
          </a:sp3d>
        </c:spPr>
      </c:pivotFmt>
      <c:pivotFmt>
        <c:idx val="11"/>
        <c:spPr>
          <a:solidFill>
            <a:schemeClr val="accent5">
              <a:lumMod val="60000"/>
              <a:lumOff val="40000"/>
            </a:schemeClr>
          </a:solidFill>
          <a:ln w="25400">
            <a:solidFill>
              <a:schemeClr val="tx1"/>
            </a:solidFill>
          </a:ln>
          <a:effectLst/>
          <a:sp3d contourW="25400">
            <a:contourClr>
              <a:schemeClr val="tx1"/>
            </a:contourClr>
          </a:sp3d>
        </c:spPr>
      </c:pivotFmt>
      <c:pivotFmt>
        <c:idx val="12"/>
        <c:spPr>
          <a:solidFill>
            <a:schemeClr val="accent1"/>
          </a:solidFill>
          <a:ln w="25400">
            <a:solidFill>
              <a:schemeClr val="tx1"/>
            </a:solidFill>
          </a:ln>
          <a:effectLst/>
          <a:sp3d contourW="25400">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lumMod val="75000"/>
            </a:schemeClr>
          </a:solidFill>
          <a:ln w="25400">
            <a:solidFill>
              <a:schemeClr val="tx1"/>
            </a:solidFill>
          </a:ln>
          <a:effectLst/>
          <a:sp3d contourW="25400">
            <a:contourClr>
              <a:schemeClr val="tx1"/>
            </a:contourClr>
          </a:sp3d>
        </c:spPr>
      </c:pivotFmt>
      <c:pivotFmt>
        <c:idx val="14"/>
        <c:spPr>
          <a:solidFill>
            <a:schemeClr val="accent4">
              <a:lumMod val="60000"/>
              <a:lumOff val="40000"/>
            </a:schemeClr>
          </a:solidFill>
          <a:ln w="25400">
            <a:solidFill>
              <a:schemeClr val="tx1"/>
            </a:solidFill>
          </a:ln>
          <a:effectLst/>
          <a:sp3d contourW="25400">
            <a:contourClr>
              <a:schemeClr val="tx1"/>
            </a:contourClr>
          </a:sp3d>
        </c:spPr>
      </c:pivotFmt>
      <c:pivotFmt>
        <c:idx val="15"/>
        <c:spPr>
          <a:solidFill>
            <a:schemeClr val="accent1"/>
          </a:solidFill>
          <a:ln w="25400">
            <a:solidFill>
              <a:schemeClr val="tx1"/>
            </a:solidFill>
          </a:ln>
          <a:effectLst/>
          <a:sp3d contourW="25400">
            <a:contourClr>
              <a:schemeClr val="tx1"/>
            </a:contourClr>
          </a:sp3d>
        </c:spPr>
      </c:pivotFmt>
      <c:pivotFmt>
        <c:idx val="16"/>
        <c:spPr>
          <a:solidFill>
            <a:schemeClr val="accent2">
              <a:lumMod val="60000"/>
              <a:lumOff val="40000"/>
            </a:schemeClr>
          </a:solidFill>
          <a:ln w="25400">
            <a:solidFill>
              <a:schemeClr val="tx1"/>
            </a:solidFill>
          </a:ln>
          <a:effectLst/>
          <a:sp3d contourW="25400">
            <a:contourClr>
              <a:schemeClr val="tx1"/>
            </a:contourClr>
          </a:sp3d>
        </c:spPr>
      </c:pivotFmt>
      <c:pivotFmt>
        <c:idx val="17"/>
        <c:spPr>
          <a:solidFill>
            <a:schemeClr val="accent5">
              <a:lumMod val="60000"/>
              <a:lumOff val="40000"/>
            </a:schemeClr>
          </a:solidFill>
          <a:ln w="25400">
            <a:solidFill>
              <a:schemeClr val="tx1"/>
            </a:solidFill>
          </a:ln>
          <a:effectLst/>
          <a:sp3d contourW="25400">
            <a:contourClr>
              <a:schemeClr val="tx1"/>
            </a:contourClr>
          </a:sp3d>
        </c:spPr>
      </c:pivotFmt>
    </c:pivotFmts>
    <c:view3D>
      <c:rotX val="30"/>
      <c:rotY val="3"/>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212981973469185"/>
          <c:y val="2.5970825766110928E-2"/>
          <c:w val="0.7596067012126867"/>
          <c:h val="0.79409217617323047"/>
        </c:manualLayout>
      </c:layout>
      <c:pie3DChart>
        <c:varyColors val="1"/>
        <c:ser>
          <c:idx val="0"/>
          <c:order val="0"/>
          <c:tx>
            <c:strRef>
              <c:f>PWS!$C$3</c:f>
              <c:strCache>
                <c:ptCount val="1"/>
                <c:pt idx="0">
                  <c:v>Total</c:v>
                </c:pt>
              </c:strCache>
            </c:strRef>
          </c:tx>
          <c:spPr>
            <a:ln>
              <a:solidFill>
                <a:schemeClr val="tx1"/>
              </a:solidFill>
            </a:ln>
          </c:spPr>
          <c:dPt>
            <c:idx val="0"/>
            <c:bubble3D val="0"/>
            <c:explosion val="10"/>
            <c:spPr>
              <a:solidFill>
                <a:schemeClr val="accent2">
                  <a:lumMod val="75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1-2203-4E21-87DF-D599F24234C0}"/>
              </c:ext>
            </c:extLst>
          </c:dPt>
          <c:dPt>
            <c:idx val="1"/>
            <c:bubble3D val="0"/>
            <c:spPr>
              <a:solidFill>
                <a:schemeClr val="accent4">
                  <a:lumMod val="60000"/>
                  <a:lumOff val="40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3-2203-4E21-87DF-D599F24234C0}"/>
              </c:ext>
            </c:extLst>
          </c:dPt>
          <c:dPt>
            <c:idx val="2"/>
            <c:bubble3D val="0"/>
            <c:spPr>
              <a:solidFill>
                <a:schemeClr val="accent3"/>
              </a:solidFill>
              <a:ln w="25400">
                <a:solidFill>
                  <a:schemeClr val="tx1"/>
                </a:solidFill>
              </a:ln>
              <a:effectLst/>
              <a:sp3d contourW="25400">
                <a:contourClr>
                  <a:schemeClr val="tx1"/>
                </a:contourClr>
              </a:sp3d>
            </c:spPr>
            <c:extLst>
              <c:ext xmlns:c16="http://schemas.microsoft.com/office/drawing/2014/chart" uri="{C3380CC4-5D6E-409C-BE32-E72D297353CC}">
                <c16:uniqueId val="{00000005-2203-4E21-87DF-D599F24234C0}"/>
              </c:ext>
            </c:extLst>
          </c:dPt>
          <c:dPt>
            <c:idx val="3"/>
            <c:bubble3D val="0"/>
            <c:spPr>
              <a:solidFill>
                <a:schemeClr val="accent2">
                  <a:lumMod val="60000"/>
                  <a:lumOff val="40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7-2203-4E21-87DF-D599F24234C0}"/>
              </c:ext>
            </c:extLst>
          </c:dPt>
          <c:dPt>
            <c:idx val="4"/>
            <c:bubble3D val="0"/>
            <c:spPr>
              <a:solidFill>
                <a:schemeClr val="accent5">
                  <a:lumMod val="60000"/>
                  <a:lumOff val="40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9-2203-4E21-87DF-D599F24234C0}"/>
              </c:ext>
            </c:extLst>
          </c:dPt>
          <c:cat>
            <c:strRef>
              <c:f>PWS!$B$4:$B$9</c:f>
              <c:strCache>
                <c:ptCount val="5"/>
                <c:pt idx="0">
                  <c:v>Product 1</c:v>
                </c:pt>
                <c:pt idx="1">
                  <c:v>Product 2</c:v>
                </c:pt>
                <c:pt idx="2">
                  <c:v>Product 3</c:v>
                </c:pt>
                <c:pt idx="3">
                  <c:v>Product 4</c:v>
                </c:pt>
                <c:pt idx="4">
                  <c:v>Product 5</c:v>
                </c:pt>
              </c:strCache>
            </c:strRef>
          </c:cat>
          <c:val>
            <c:numRef>
              <c:f>PWS!$C$4:$C$9</c:f>
              <c:numCache>
                <c:formatCode>"₹"\ #,##0</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A-2203-4E21-87DF-D599F24234C0}"/>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3.729697465321864E-4"/>
          <c:y val="0.80988530993328989"/>
          <c:w val="0.98345288795059649"/>
          <c:h val="0.18823181902007777"/>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EXCEL_Assignment_Problem(1).xlsm]MWRS!PivotTable3</c:name>
    <c:fmtId val="3"/>
  </c:pivotSource>
  <c:chart>
    <c:autoTitleDeleted val="0"/>
    <c:pivotFmts>
      <c:pivotFmt>
        <c:idx val="0"/>
        <c:spPr>
          <a:solidFill>
            <a:schemeClr val="accent6">
              <a:lumMod val="75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66"/>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lumMod val="75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F0066"/>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6">
              <a:lumMod val="75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rgbClr val="FF0066"/>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6">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MWRS!$C$3:$C$4</c:f>
              <c:strCache>
                <c:ptCount val="1"/>
                <c:pt idx="0">
                  <c:v>Product 1</c:v>
                </c:pt>
              </c:strCache>
            </c:strRef>
          </c:tx>
          <c:spPr>
            <a:solidFill>
              <a:schemeClr val="accent6">
                <a:lumMod val="75000"/>
              </a:schemeClr>
            </a:solidFill>
            <a:ln>
              <a:solidFill>
                <a:schemeClr val="tx1">
                  <a:lumMod val="95000"/>
                  <a:lumOff val="5000"/>
                </a:schemeClr>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MWRS!$C$5:$C$17</c:f>
              <c:numCache>
                <c:formatCode>General</c:formatCode>
                <c:ptCount val="8"/>
                <c:pt idx="0">
                  <c:v>83790</c:v>
                </c:pt>
                <c:pt idx="1">
                  <c:v>98154</c:v>
                </c:pt>
                <c:pt idx="2">
                  <c:v>96957</c:v>
                </c:pt>
                <c:pt idx="3">
                  <c:v>93366</c:v>
                </c:pt>
                <c:pt idx="4">
                  <c:v>82593</c:v>
                </c:pt>
                <c:pt idx="5">
                  <c:v>96159</c:v>
                </c:pt>
                <c:pt idx="6">
                  <c:v>84987</c:v>
                </c:pt>
                <c:pt idx="7">
                  <c:v>100947</c:v>
                </c:pt>
              </c:numCache>
            </c:numRef>
          </c:val>
          <c:extLst>
            <c:ext xmlns:c16="http://schemas.microsoft.com/office/drawing/2014/chart" uri="{C3380CC4-5D6E-409C-BE32-E72D297353CC}">
              <c16:uniqueId val="{00000000-0C35-4F25-A2F4-19878E4805A4}"/>
            </c:ext>
          </c:extLst>
        </c:ser>
        <c:ser>
          <c:idx val="1"/>
          <c:order val="1"/>
          <c:tx>
            <c:strRef>
              <c:f>MWRS!$D$3:$D$4</c:f>
              <c:strCache>
                <c:ptCount val="1"/>
                <c:pt idx="0">
                  <c:v>Product 2</c:v>
                </c:pt>
              </c:strCache>
            </c:strRef>
          </c:tx>
          <c:spPr>
            <a:solidFill>
              <a:schemeClr val="accent4">
                <a:lumMod val="60000"/>
                <a:lumOff val="40000"/>
              </a:schemeClr>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MWRS!$D$5:$D$17</c:f>
              <c:numCache>
                <c:formatCode>General</c:formatCode>
                <c:ptCount val="8"/>
                <c:pt idx="0">
                  <c:v>40198</c:v>
                </c:pt>
                <c:pt idx="1">
                  <c:v>47561</c:v>
                </c:pt>
                <c:pt idx="2">
                  <c:v>41790</c:v>
                </c:pt>
                <c:pt idx="3">
                  <c:v>39402</c:v>
                </c:pt>
                <c:pt idx="4">
                  <c:v>56914</c:v>
                </c:pt>
                <c:pt idx="5">
                  <c:v>44377</c:v>
                </c:pt>
                <c:pt idx="6">
                  <c:v>40994</c:v>
                </c:pt>
                <c:pt idx="7">
                  <c:v>54526</c:v>
                </c:pt>
              </c:numCache>
            </c:numRef>
          </c:val>
          <c:extLst>
            <c:ext xmlns:c16="http://schemas.microsoft.com/office/drawing/2014/chart" uri="{C3380CC4-5D6E-409C-BE32-E72D297353CC}">
              <c16:uniqueId val="{00000006-0C35-4F25-A2F4-19878E4805A4}"/>
            </c:ext>
          </c:extLst>
        </c:ser>
        <c:ser>
          <c:idx val="2"/>
          <c:order val="2"/>
          <c:tx>
            <c:strRef>
              <c:f>MWRS!$E$3:$E$4</c:f>
              <c:strCache>
                <c:ptCount val="1"/>
                <c:pt idx="0">
                  <c:v>Product 3</c:v>
                </c:pt>
              </c:strCache>
            </c:strRef>
          </c:tx>
          <c:spPr>
            <a:solidFill>
              <a:srgbClr val="FF0066"/>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MWRS!$E$5:$E$17</c:f>
              <c:numCache>
                <c:formatCode>General</c:formatCode>
                <c:ptCount val="8"/>
                <c:pt idx="0">
                  <c:v>16491</c:v>
                </c:pt>
                <c:pt idx="1">
                  <c:v>15801</c:v>
                </c:pt>
                <c:pt idx="2">
                  <c:v>18354</c:v>
                </c:pt>
                <c:pt idx="3">
                  <c:v>13248</c:v>
                </c:pt>
                <c:pt idx="4">
                  <c:v>17664</c:v>
                </c:pt>
                <c:pt idx="5">
                  <c:v>13662</c:v>
                </c:pt>
                <c:pt idx="6">
                  <c:v>15249</c:v>
                </c:pt>
                <c:pt idx="7">
                  <c:v>14421</c:v>
                </c:pt>
              </c:numCache>
            </c:numRef>
          </c:val>
          <c:extLst>
            <c:ext xmlns:c16="http://schemas.microsoft.com/office/drawing/2014/chart" uri="{C3380CC4-5D6E-409C-BE32-E72D297353CC}">
              <c16:uniqueId val="{00000007-0C35-4F25-A2F4-19878E4805A4}"/>
            </c:ext>
          </c:extLst>
        </c:ser>
        <c:ser>
          <c:idx val="3"/>
          <c:order val="3"/>
          <c:tx>
            <c:strRef>
              <c:f>MWRS!$F$3:$F$4</c:f>
              <c:strCache>
                <c:ptCount val="1"/>
                <c:pt idx="0">
                  <c:v>Product 4</c:v>
                </c:pt>
              </c:strCache>
            </c:strRef>
          </c:tx>
          <c:spPr>
            <a:solidFill>
              <a:schemeClr val="accent4"/>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MWRS!$F$5:$F$17</c:f>
              <c:numCache>
                <c:formatCode>General</c:formatCode>
                <c:ptCount val="8"/>
                <c:pt idx="0">
                  <c:v>46269</c:v>
                </c:pt>
                <c:pt idx="1">
                  <c:v>42612</c:v>
                </c:pt>
                <c:pt idx="2">
                  <c:v>32436</c:v>
                </c:pt>
                <c:pt idx="3">
                  <c:v>35775</c:v>
                </c:pt>
                <c:pt idx="4">
                  <c:v>25758</c:v>
                </c:pt>
                <c:pt idx="5">
                  <c:v>35457</c:v>
                </c:pt>
                <c:pt idx="6">
                  <c:v>42453</c:v>
                </c:pt>
                <c:pt idx="7">
                  <c:v>40545</c:v>
                </c:pt>
              </c:numCache>
            </c:numRef>
          </c:val>
          <c:extLst>
            <c:ext xmlns:c16="http://schemas.microsoft.com/office/drawing/2014/chart" uri="{C3380CC4-5D6E-409C-BE32-E72D297353CC}">
              <c16:uniqueId val="{00000008-0C35-4F25-A2F4-19878E4805A4}"/>
            </c:ext>
          </c:extLst>
        </c:ser>
        <c:ser>
          <c:idx val="4"/>
          <c:order val="4"/>
          <c:tx>
            <c:strRef>
              <c:f>MWRS!$G$3:$G$4</c:f>
              <c:strCache>
                <c:ptCount val="1"/>
                <c:pt idx="0">
                  <c:v>Product 5</c:v>
                </c:pt>
              </c:strCache>
            </c:strRef>
          </c:tx>
          <c:spPr>
            <a:solidFill>
              <a:schemeClr val="accent6">
                <a:lumMod val="60000"/>
                <a:lumOff val="40000"/>
              </a:schemeClr>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MWRS!$G$5:$G$17</c:f>
              <c:numCache>
                <c:formatCode>General</c:formatCode>
                <c:ptCount val="8"/>
                <c:pt idx="0">
                  <c:v>56933</c:v>
                </c:pt>
                <c:pt idx="1">
                  <c:v>72250</c:v>
                </c:pt>
                <c:pt idx="2">
                  <c:v>62135</c:v>
                </c:pt>
                <c:pt idx="3">
                  <c:v>49997</c:v>
                </c:pt>
                <c:pt idx="4">
                  <c:v>72828</c:v>
                </c:pt>
                <c:pt idx="5">
                  <c:v>62135</c:v>
                </c:pt>
                <c:pt idx="6">
                  <c:v>57511</c:v>
                </c:pt>
                <c:pt idx="7">
                  <c:v>65892</c:v>
                </c:pt>
              </c:numCache>
            </c:numRef>
          </c:val>
          <c:extLst>
            <c:ext xmlns:c16="http://schemas.microsoft.com/office/drawing/2014/chart" uri="{C3380CC4-5D6E-409C-BE32-E72D297353CC}">
              <c16:uniqueId val="{00000009-0C35-4F25-A2F4-19878E4805A4}"/>
            </c:ext>
          </c:extLst>
        </c:ser>
        <c:dLbls>
          <c:showLegendKey val="0"/>
          <c:showVal val="0"/>
          <c:showCatName val="0"/>
          <c:showSerName val="0"/>
          <c:showPercent val="0"/>
          <c:showBubbleSize val="0"/>
        </c:dLbls>
        <c:gapWidth val="219"/>
        <c:overlap val="-27"/>
        <c:axId val="1024465968"/>
        <c:axId val="1024464304"/>
      </c:barChart>
      <c:catAx>
        <c:axId val="102446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ln>
                  <a:noFill/>
                </a:ln>
                <a:solidFill>
                  <a:schemeClr val="tx1"/>
                </a:solidFill>
                <a:latin typeface="+mn-lt"/>
                <a:ea typeface="+mn-ea"/>
                <a:cs typeface="+mn-cs"/>
              </a:defRPr>
            </a:pPr>
            <a:endParaRPr lang="en-US"/>
          </a:p>
        </c:txPr>
        <c:crossAx val="1024464304"/>
        <c:crosses val="autoZero"/>
        <c:auto val="1"/>
        <c:lblAlgn val="ctr"/>
        <c:lblOffset val="100"/>
        <c:noMultiLvlLbl val="0"/>
      </c:catAx>
      <c:valAx>
        <c:axId val="1024464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024465968"/>
        <c:crossesAt val="1"/>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EXCEL_Assignment_Problem(1).xlsm]YWS!PivotTable3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YWS!$C$3:$C$4</c:f>
              <c:strCache>
                <c:ptCount val="1"/>
                <c:pt idx="0">
                  <c:v>Product 1</c:v>
                </c:pt>
              </c:strCache>
            </c:strRef>
          </c:tx>
          <c:spPr>
            <a:solidFill>
              <a:schemeClr val="accent1"/>
            </a:solidFill>
            <a:ln>
              <a:noFill/>
            </a:ln>
            <a:effectLst/>
          </c:spPr>
          <c:invertIfNegative val="0"/>
          <c:cat>
            <c:strRef>
              <c:f>YWS!$B$5:$B$7</c:f>
              <c:strCache>
                <c:ptCount val="2"/>
                <c:pt idx="0">
                  <c:v>2021</c:v>
                </c:pt>
                <c:pt idx="1">
                  <c:v>2022</c:v>
                </c:pt>
              </c:strCache>
            </c:strRef>
          </c:cat>
          <c:val>
            <c:numRef>
              <c:f>YWS!$C$5:$C$7</c:f>
              <c:numCache>
                <c:formatCode>"₹"\ #,##0</c:formatCode>
                <c:ptCount val="2"/>
                <c:pt idx="0">
                  <c:v>394611</c:v>
                </c:pt>
                <c:pt idx="1">
                  <c:v>342342</c:v>
                </c:pt>
              </c:numCache>
            </c:numRef>
          </c:val>
          <c:extLst>
            <c:ext xmlns:c16="http://schemas.microsoft.com/office/drawing/2014/chart" uri="{C3380CC4-5D6E-409C-BE32-E72D297353CC}">
              <c16:uniqueId val="{00000000-F6B7-4688-98C0-9979555DDE3A}"/>
            </c:ext>
          </c:extLst>
        </c:ser>
        <c:ser>
          <c:idx val="1"/>
          <c:order val="1"/>
          <c:tx>
            <c:strRef>
              <c:f>YWS!$D$3:$D$4</c:f>
              <c:strCache>
                <c:ptCount val="1"/>
                <c:pt idx="0">
                  <c:v>Product 2</c:v>
                </c:pt>
              </c:strCache>
            </c:strRef>
          </c:tx>
          <c:spPr>
            <a:solidFill>
              <a:schemeClr val="accent2"/>
            </a:solidFill>
            <a:ln>
              <a:noFill/>
            </a:ln>
            <a:effectLst/>
          </c:spPr>
          <c:invertIfNegative val="0"/>
          <c:cat>
            <c:strRef>
              <c:f>YWS!$B$5:$B$7</c:f>
              <c:strCache>
                <c:ptCount val="2"/>
                <c:pt idx="0">
                  <c:v>2021</c:v>
                </c:pt>
                <c:pt idx="1">
                  <c:v>2022</c:v>
                </c:pt>
              </c:strCache>
            </c:strRef>
          </c:cat>
          <c:val>
            <c:numRef>
              <c:f>YWS!$D$5:$D$7</c:f>
              <c:numCache>
                <c:formatCode>"₹"\ #,##0</c:formatCode>
                <c:ptCount val="2"/>
                <c:pt idx="0">
                  <c:v>209149</c:v>
                </c:pt>
                <c:pt idx="1">
                  <c:v>156613</c:v>
                </c:pt>
              </c:numCache>
            </c:numRef>
          </c:val>
          <c:extLst>
            <c:ext xmlns:c16="http://schemas.microsoft.com/office/drawing/2014/chart" uri="{C3380CC4-5D6E-409C-BE32-E72D297353CC}">
              <c16:uniqueId val="{00000001-0A8F-4E3D-AA16-675178F0DC30}"/>
            </c:ext>
          </c:extLst>
        </c:ser>
        <c:ser>
          <c:idx val="2"/>
          <c:order val="2"/>
          <c:tx>
            <c:strRef>
              <c:f>YWS!$E$3:$E$4</c:f>
              <c:strCache>
                <c:ptCount val="1"/>
                <c:pt idx="0">
                  <c:v>Product 3</c:v>
                </c:pt>
              </c:strCache>
            </c:strRef>
          </c:tx>
          <c:spPr>
            <a:solidFill>
              <a:schemeClr val="accent3"/>
            </a:solidFill>
            <a:ln>
              <a:noFill/>
            </a:ln>
            <a:effectLst/>
          </c:spPr>
          <c:invertIfNegative val="0"/>
          <c:cat>
            <c:strRef>
              <c:f>YWS!$B$5:$B$7</c:f>
              <c:strCache>
                <c:ptCount val="2"/>
                <c:pt idx="0">
                  <c:v>2021</c:v>
                </c:pt>
                <c:pt idx="1">
                  <c:v>2022</c:v>
                </c:pt>
              </c:strCache>
            </c:strRef>
          </c:cat>
          <c:val>
            <c:numRef>
              <c:f>YWS!$E$5:$E$7</c:f>
              <c:numCache>
                <c:formatCode>"₹"\ #,##0</c:formatCode>
                <c:ptCount val="2"/>
                <c:pt idx="0">
                  <c:v>71415</c:v>
                </c:pt>
                <c:pt idx="1">
                  <c:v>53475</c:v>
                </c:pt>
              </c:numCache>
            </c:numRef>
          </c:val>
          <c:extLst>
            <c:ext xmlns:c16="http://schemas.microsoft.com/office/drawing/2014/chart" uri="{C3380CC4-5D6E-409C-BE32-E72D297353CC}">
              <c16:uniqueId val="{00000002-0A8F-4E3D-AA16-675178F0DC30}"/>
            </c:ext>
          </c:extLst>
        </c:ser>
        <c:ser>
          <c:idx val="3"/>
          <c:order val="3"/>
          <c:tx>
            <c:strRef>
              <c:f>YWS!$F$3:$F$4</c:f>
              <c:strCache>
                <c:ptCount val="1"/>
                <c:pt idx="0">
                  <c:v>Product 4</c:v>
                </c:pt>
              </c:strCache>
            </c:strRef>
          </c:tx>
          <c:spPr>
            <a:solidFill>
              <a:schemeClr val="accent4"/>
            </a:solidFill>
            <a:ln>
              <a:noFill/>
            </a:ln>
            <a:effectLst/>
          </c:spPr>
          <c:invertIfNegative val="0"/>
          <c:cat>
            <c:strRef>
              <c:f>YWS!$B$5:$B$7</c:f>
              <c:strCache>
                <c:ptCount val="2"/>
                <c:pt idx="0">
                  <c:v>2021</c:v>
                </c:pt>
                <c:pt idx="1">
                  <c:v>2022</c:v>
                </c:pt>
              </c:strCache>
            </c:strRef>
          </c:cat>
          <c:val>
            <c:numRef>
              <c:f>YWS!$F$5:$F$7</c:f>
              <c:numCache>
                <c:formatCode>"₹"\ #,##0</c:formatCode>
                <c:ptCount val="2"/>
                <c:pt idx="0">
                  <c:v>181260</c:v>
                </c:pt>
                <c:pt idx="1">
                  <c:v>120045</c:v>
                </c:pt>
              </c:numCache>
            </c:numRef>
          </c:val>
          <c:extLst>
            <c:ext xmlns:c16="http://schemas.microsoft.com/office/drawing/2014/chart" uri="{C3380CC4-5D6E-409C-BE32-E72D297353CC}">
              <c16:uniqueId val="{00000003-0A8F-4E3D-AA16-675178F0DC30}"/>
            </c:ext>
          </c:extLst>
        </c:ser>
        <c:ser>
          <c:idx val="4"/>
          <c:order val="4"/>
          <c:tx>
            <c:strRef>
              <c:f>YWS!$G$3:$G$4</c:f>
              <c:strCache>
                <c:ptCount val="1"/>
                <c:pt idx="0">
                  <c:v>Product 5</c:v>
                </c:pt>
              </c:strCache>
            </c:strRef>
          </c:tx>
          <c:spPr>
            <a:solidFill>
              <a:schemeClr val="accent5"/>
            </a:solidFill>
            <a:ln>
              <a:noFill/>
            </a:ln>
            <a:effectLst/>
          </c:spPr>
          <c:invertIfNegative val="0"/>
          <c:cat>
            <c:strRef>
              <c:f>YWS!$B$5:$B$7</c:f>
              <c:strCache>
                <c:ptCount val="2"/>
                <c:pt idx="0">
                  <c:v>2021</c:v>
                </c:pt>
                <c:pt idx="1">
                  <c:v>2022</c:v>
                </c:pt>
              </c:strCache>
            </c:strRef>
          </c:cat>
          <c:val>
            <c:numRef>
              <c:f>YWS!$G$5:$G$7</c:f>
              <c:numCache>
                <c:formatCode>"₹"\ #,##0</c:formatCode>
                <c:ptCount val="2"/>
                <c:pt idx="0">
                  <c:v>301716</c:v>
                </c:pt>
                <c:pt idx="1">
                  <c:v>197965</c:v>
                </c:pt>
              </c:numCache>
            </c:numRef>
          </c:val>
          <c:extLst>
            <c:ext xmlns:c16="http://schemas.microsoft.com/office/drawing/2014/chart" uri="{C3380CC4-5D6E-409C-BE32-E72D297353CC}">
              <c16:uniqueId val="{00000004-0A8F-4E3D-AA16-675178F0DC30}"/>
            </c:ext>
          </c:extLst>
        </c:ser>
        <c:dLbls>
          <c:showLegendKey val="0"/>
          <c:showVal val="0"/>
          <c:showCatName val="0"/>
          <c:showSerName val="0"/>
          <c:showPercent val="0"/>
          <c:showBubbleSize val="0"/>
        </c:dLbls>
        <c:gapWidth val="150"/>
        <c:overlap val="100"/>
        <c:axId val="105430831"/>
        <c:axId val="105436591"/>
      </c:barChart>
      <c:catAx>
        <c:axId val="1054308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05436591"/>
        <c:crosses val="autoZero"/>
        <c:auto val="1"/>
        <c:lblAlgn val="ctr"/>
        <c:lblOffset val="100"/>
        <c:noMultiLvlLbl val="0"/>
      </c:catAx>
      <c:valAx>
        <c:axId val="105436591"/>
        <c:scaling>
          <c:orientation val="minMax"/>
        </c:scaling>
        <c:delete val="0"/>
        <c:axPos val="l"/>
        <c:majorGridlines>
          <c:spPr>
            <a:ln w="9525" cap="flat" cmpd="sng" algn="ctr">
              <a:no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Display" panose="020B0004020202020204" pitchFamily="34" charset="0"/>
                <a:ea typeface="+mn-ea"/>
                <a:cs typeface="+mn-cs"/>
              </a:defRPr>
            </a:pPr>
            <a:endParaRPr lang="en-US"/>
          </a:p>
        </c:txPr>
        <c:crossAx val="105430831"/>
        <c:crosses val="autoZero"/>
        <c:crossBetween val="between"/>
      </c:valAx>
      <c:spPr>
        <a:noFill/>
        <a:ln>
          <a:noFill/>
        </a:ln>
        <a:effectLst/>
      </c:spPr>
    </c:plotArea>
    <c:legend>
      <c:legendPos val="r"/>
      <c:layout>
        <c:manualLayout>
          <c:xMode val="edge"/>
          <c:yMode val="edge"/>
          <c:x val="0.81555387230823573"/>
          <c:y val="9.9939792101915143E-2"/>
          <c:w val="0.16913320212009114"/>
          <c:h val="0.7528367387317621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EXCEL_Assignment_Problem(1).xlsm]MWS!PivotTable4</c:name>
    <c:fmtId val="0"/>
  </c:pivotSource>
  <c:chart>
    <c:autoTitleDeleted val="1"/>
    <c:pivotFmts>
      <c:pivotFmt>
        <c:idx val="0"/>
        <c:spPr>
          <a:ln w="28575" cap="rnd">
            <a:solidFill>
              <a:schemeClr val="accent1"/>
            </a:solidFill>
            <a:round/>
          </a:ln>
          <a:effectLst/>
        </c:spPr>
        <c:marker>
          <c:symbol val="circle"/>
          <c:size val="5"/>
          <c:spPr>
            <a:solidFill>
              <a:schemeClr val="accent6"/>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MWS!$C$3</c:f>
              <c:strCache>
                <c:ptCount val="1"/>
                <c:pt idx="0">
                  <c:v>Total</c:v>
                </c:pt>
              </c:strCache>
            </c:strRef>
          </c:tx>
          <c:spPr>
            <a:ln w="28575" cap="rnd">
              <a:solidFill>
                <a:schemeClr val="accent1"/>
              </a:solidFill>
              <a:round/>
            </a:ln>
            <a:effectLst/>
          </c:spPr>
          <c:marker>
            <c:symbol val="circle"/>
            <c:size val="5"/>
            <c:spPr>
              <a:solidFill>
                <a:schemeClr val="accent6"/>
              </a:solidFill>
              <a:ln w="9525">
                <a:solidFill>
                  <a:schemeClr val="accent1"/>
                </a:solidFill>
              </a:ln>
              <a:effectLst/>
            </c:spPr>
          </c:marker>
          <c:cat>
            <c:strRef>
              <c:f>MWS!$B$4:$B$16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MWS!$C$4:$C$16</c:f>
              <c:numCache>
                <c:formatCode>"₹"\ #,##0</c:formatCode>
                <c:ptCount val="12"/>
                <c:pt idx="0">
                  <c:v>177052</c:v>
                </c:pt>
                <c:pt idx="1">
                  <c:v>199129</c:v>
                </c:pt>
                <c:pt idx="2">
                  <c:v>230383</c:v>
                </c:pt>
                <c:pt idx="3">
                  <c:v>185792</c:v>
                </c:pt>
                <c:pt idx="4">
                  <c:v>210160</c:v>
                </c:pt>
                <c:pt idx="5">
                  <c:v>193125</c:v>
                </c:pt>
                <c:pt idx="6">
                  <c:v>158674</c:v>
                </c:pt>
                <c:pt idx="7">
                  <c:v>184981</c:v>
                </c:pt>
                <c:pt idx="8">
                  <c:v>172217</c:v>
                </c:pt>
                <c:pt idx="9">
                  <c:v>126306</c:v>
                </c:pt>
                <c:pt idx="10">
                  <c:v>99699</c:v>
                </c:pt>
                <c:pt idx="11">
                  <c:v>91073</c:v>
                </c:pt>
              </c:numCache>
            </c:numRef>
          </c:val>
          <c:smooth val="0"/>
          <c:extLst>
            <c:ext xmlns:c16="http://schemas.microsoft.com/office/drawing/2014/chart" uri="{C3380CC4-5D6E-409C-BE32-E72D297353CC}">
              <c16:uniqueId val="{00000000-60A7-4809-B45D-2EEF3DBFD444}"/>
            </c:ext>
          </c:extLst>
        </c:ser>
        <c:dLbls>
          <c:showLegendKey val="0"/>
          <c:showVal val="0"/>
          <c:showCatName val="0"/>
          <c:showSerName val="0"/>
          <c:showPercent val="0"/>
          <c:showBubbleSize val="0"/>
        </c:dLbls>
        <c:marker val="1"/>
        <c:smooth val="0"/>
        <c:axId val="1496333599"/>
        <c:axId val="1496335039"/>
      </c:lineChart>
      <c:catAx>
        <c:axId val="149633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335039"/>
        <c:crosses val="autoZero"/>
        <c:auto val="1"/>
        <c:lblAlgn val="ctr"/>
        <c:lblOffset val="100"/>
        <c:noMultiLvlLbl val="0"/>
      </c:catAx>
      <c:valAx>
        <c:axId val="1496335039"/>
        <c:scaling>
          <c:orientation val="minMax"/>
        </c:scaling>
        <c:delete val="0"/>
        <c:axPos val="l"/>
        <c:majorGridlines>
          <c:spPr>
            <a:ln w="9525" cap="flat" cmpd="sng" algn="ctr">
              <a:no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333599"/>
        <c:crosses val="autoZero"/>
        <c:crossBetween val="between"/>
      </c:valAx>
      <c:spPr>
        <a:solidFill>
          <a:schemeClr val="accent5">
            <a:lumMod val="20000"/>
            <a:lumOff val="80000"/>
          </a:schemeClr>
        </a:solid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5">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EXCEL_Assignment_Problem(1).xlsm]SWS!PivotTable6</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SWS!$C$3</c:f>
              <c:strCache>
                <c:ptCount val="1"/>
                <c:pt idx="0">
                  <c:v>Total</c:v>
                </c:pt>
              </c:strCache>
            </c:strRef>
          </c:tx>
          <c:spPr>
            <a:solidFill>
              <a:schemeClr val="accent1"/>
            </a:solidFill>
            <a:ln>
              <a:noFill/>
            </a:ln>
            <a:effectLst/>
          </c:spPr>
          <c:invertIfNegative val="0"/>
          <c:cat>
            <c:strRef>
              <c:f>SWS!$B$4:$B$12</c:f>
              <c:strCache>
                <c:ptCount val="8"/>
                <c:pt idx="0">
                  <c:v>Andrew James</c:v>
                </c:pt>
                <c:pt idx="1">
                  <c:v>Anna Weber</c:v>
                </c:pt>
                <c:pt idx="2">
                  <c:v>Anne Lee</c:v>
                </c:pt>
                <c:pt idx="3">
                  <c:v>Ben Wallace</c:v>
                </c:pt>
                <c:pt idx="4">
                  <c:v>Kim Fishman</c:v>
                </c:pt>
                <c:pt idx="5">
                  <c:v>Laura Larsen</c:v>
                </c:pt>
                <c:pt idx="6">
                  <c:v>Michael Fox</c:v>
                </c:pt>
                <c:pt idx="7">
                  <c:v>Oscar Knox</c:v>
                </c:pt>
              </c:strCache>
            </c:strRef>
          </c:cat>
          <c:val>
            <c:numRef>
              <c:f>SWS!$C$4:$C$12</c:f>
              <c:numCache>
                <c:formatCode>"₹"\ #,##0</c:formatCode>
                <c:ptCount val="8"/>
                <c:pt idx="0">
                  <c:v>243681</c:v>
                </c:pt>
                <c:pt idx="1">
                  <c:v>276378</c:v>
                </c:pt>
                <c:pt idx="2">
                  <c:v>241194</c:v>
                </c:pt>
                <c:pt idx="3">
                  <c:v>255757</c:v>
                </c:pt>
                <c:pt idx="4">
                  <c:v>231788</c:v>
                </c:pt>
                <c:pt idx="5">
                  <c:v>276331</c:v>
                </c:pt>
                <c:pt idx="6">
                  <c:v>251790</c:v>
                </c:pt>
                <c:pt idx="7">
                  <c:v>251672</c:v>
                </c:pt>
              </c:numCache>
            </c:numRef>
          </c:val>
          <c:extLst>
            <c:ext xmlns:c16="http://schemas.microsoft.com/office/drawing/2014/chart" uri="{C3380CC4-5D6E-409C-BE32-E72D297353CC}">
              <c16:uniqueId val="{00000000-C37C-419C-8C7D-F171620F6CBB}"/>
            </c:ext>
          </c:extLst>
        </c:ser>
        <c:dLbls>
          <c:showLegendKey val="0"/>
          <c:showVal val="0"/>
          <c:showCatName val="0"/>
          <c:showSerName val="0"/>
          <c:showPercent val="0"/>
          <c:showBubbleSize val="0"/>
        </c:dLbls>
        <c:gapWidth val="150"/>
        <c:overlap val="100"/>
        <c:axId val="1496418943"/>
        <c:axId val="1496423263"/>
      </c:barChart>
      <c:catAx>
        <c:axId val="149641894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423263"/>
        <c:crosses val="autoZero"/>
        <c:auto val="1"/>
        <c:lblAlgn val="ctr"/>
        <c:lblOffset val="100"/>
        <c:noMultiLvlLbl val="0"/>
      </c:catAx>
      <c:valAx>
        <c:axId val="1496423263"/>
        <c:scaling>
          <c:orientation val="minMax"/>
        </c:scaling>
        <c:delete val="0"/>
        <c:axPos val="b"/>
        <c:majorGridlines>
          <c:spPr>
            <a:ln w="9525" cap="flat" cmpd="sng" algn="ctr">
              <a:noFill/>
              <a:round/>
            </a:ln>
            <a:effectLst/>
          </c:spPr>
        </c:majorGridlines>
        <c:numFmt formatCode="&quot;₹&quot;\ #,##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crossAx val="14964189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5">
            <a:lumMod val="5000"/>
            <a:lumOff val="95000"/>
          </a:schemeClr>
        </a:gs>
        <a:gs pos="74000">
          <a:schemeClr val="accent5">
            <a:lumMod val="45000"/>
            <a:lumOff val="55000"/>
          </a:schemeClr>
        </a:gs>
        <a:gs pos="83000">
          <a:schemeClr val="accent5">
            <a:lumMod val="45000"/>
            <a:lumOff val="55000"/>
          </a:schemeClr>
        </a:gs>
        <a:gs pos="100000">
          <a:schemeClr val="accent5">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EXCEL_Assignment_Problem(1).xlsm]PWS!PivotTable1</c:name>
    <c:fmtId val="0"/>
  </c:pivotSource>
  <c:chart>
    <c:autoTitleDeleted val="1"/>
    <c:pivotFmts>
      <c:pivotFmt>
        <c:idx val="0"/>
        <c:spPr>
          <a:solidFill>
            <a:schemeClr val="accent1"/>
          </a:solidFill>
          <a:ln w="25400">
            <a:solidFill>
              <a:schemeClr val="tx1"/>
            </a:solidFill>
          </a:ln>
          <a:effectLst/>
          <a:sp3d contourW="25400">
            <a:contourClr>
              <a:schemeClr val="tx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lumMod val="75000"/>
            </a:schemeClr>
          </a:solidFill>
          <a:ln w="25400">
            <a:solidFill>
              <a:schemeClr val="tx1"/>
            </a:solidFill>
          </a:ln>
          <a:effectLst/>
          <a:sp3d contourW="25400">
            <a:contourClr>
              <a:schemeClr val="tx1"/>
            </a:contourClr>
          </a:sp3d>
        </c:spPr>
      </c:pivotFmt>
      <c:pivotFmt>
        <c:idx val="2"/>
        <c:spPr>
          <a:solidFill>
            <a:schemeClr val="accent4">
              <a:lumMod val="60000"/>
              <a:lumOff val="40000"/>
            </a:schemeClr>
          </a:solidFill>
          <a:ln w="25400">
            <a:solidFill>
              <a:schemeClr val="tx1"/>
            </a:solidFill>
          </a:ln>
          <a:effectLst/>
          <a:sp3d contourW="25400">
            <a:contourClr>
              <a:schemeClr val="tx1"/>
            </a:contourClr>
          </a:sp3d>
        </c:spPr>
      </c:pivotFmt>
      <c:pivotFmt>
        <c:idx val="3"/>
        <c:spPr>
          <a:solidFill>
            <a:schemeClr val="accent5">
              <a:lumMod val="60000"/>
              <a:lumOff val="40000"/>
            </a:schemeClr>
          </a:solidFill>
          <a:ln w="25400">
            <a:solidFill>
              <a:schemeClr val="tx1"/>
            </a:solidFill>
          </a:ln>
          <a:effectLst/>
          <a:sp3d contourW="25400">
            <a:contourClr>
              <a:schemeClr val="tx1"/>
            </a:contourClr>
          </a:sp3d>
        </c:spPr>
      </c:pivotFmt>
      <c:pivotFmt>
        <c:idx val="4"/>
        <c:spPr>
          <a:solidFill>
            <a:schemeClr val="accent2">
              <a:lumMod val="60000"/>
              <a:lumOff val="40000"/>
            </a:schemeClr>
          </a:solidFill>
          <a:ln w="25400">
            <a:solidFill>
              <a:schemeClr val="tx1"/>
            </a:solidFill>
          </a:ln>
          <a:effectLst/>
          <a:sp3d contourW="25400">
            <a:contourClr>
              <a:schemeClr val="tx1"/>
            </a:contourClr>
          </a:sp3d>
        </c:spPr>
      </c:pivotFmt>
      <c:pivotFmt>
        <c:idx val="5"/>
        <c:spPr>
          <a:solidFill>
            <a:schemeClr val="accent1"/>
          </a:solidFill>
          <a:ln w="25400">
            <a:solidFill>
              <a:schemeClr val="tx1"/>
            </a:solidFill>
          </a:ln>
          <a:effectLst/>
          <a:sp3d contourW="25400">
            <a:contourClr>
              <a:schemeClr val="tx1"/>
            </a:contourClr>
          </a:sp3d>
        </c:spPr>
      </c:pivotFmt>
    </c:pivotFmts>
    <c:view3D>
      <c:rotX val="30"/>
      <c:rotY val="3"/>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7.6122622922486755E-2"/>
          <c:w val="0.86290619471359586"/>
          <c:h val="0.89941135691189822"/>
        </c:manualLayout>
      </c:layout>
      <c:pie3DChart>
        <c:varyColors val="1"/>
        <c:ser>
          <c:idx val="0"/>
          <c:order val="0"/>
          <c:tx>
            <c:strRef>
              <c:f>PWS!$C$3</c:f>
              <c:strCache>
                <c:ptCount val="1"/>
                <c:pt idx="0">
                  <c:v>Total</c:v>
                </c:pt>
              </c:strCache>
            </c:strRef>
          </c:tx>
          <c:spPr>
            <a:ln>
              <a:solidFill>
                <a:schemeClr val="tx1"/>
              </a:solidFill>
            </a:ln>
          </c:spPr>
          <c:dPt>
            <c:idx val="0"/>
            <c:bubble3D val="0"/>
            <c:explosion val="10"/>
            <c:spPr>
              <a:solidFill>
                <a:schemeClr val="accent2">
                  <a:lumMod val="75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2-261A-48B3-896D-838C0E23FF25}"/>
              </c:ext>
            </c:extLst>
          </c:dPt>
          <c:dPt>
            <c:idx val="1"/>
            <c:bubble3D val="0"/>
            <c:spPr>
              <a:solidFill>
                <a:schemeClr val="accent4">
                  <a:lumMod val="60000"/>
                  <a:lumOff val="40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3-261A-48B3-896D-838C0E23FF25}"/>
              </c:ext>
            </c:extLst>
          </c:dPt>
          <c:dPt>
            <c:idx val="2"/>
            <c:bubble3D val="0"/>
            <c:spPr>
              <a:solidFill>
                <a:schemeClr val="accent3"/>
              </a:solidFill>
              <a:ln w="25400">
                <a:solidFill>
                  <a:schemeClr val="tx1"/>
                </a:solidFill>
              </a:ln>
              <a:effectLst/>
              <a:sp3d contourW="25400">
                <a:contourClr>
                  <a:schemeClr val="tx1"/>
                </a:contourClr>
              </a:sp3d>
            </c:spPr>
            <c:extLst>
              <c:ext xmlns:c16="http://schemas.microsoft.com/office/drawing/2014/chart" uri="{C3380CC4-5D6E-409C-BE32-E72D297353CC}">
                <c16:uniqueId val="{00000005-E4E3-4C4A-B05E-E1C25956ABC2}"/>
              </c:ext>
            </c:extLst>
          </c:dPt>
          <c:dPt>
            <c:idx val="3"/>
            <c:bubble3D val="0"/>
            <c:spPr>
              <a:solidFill>
                <a:schemeClr val="accent2">
                  <a:lumMod val="60000"/>
                  <a:lumOff val="40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5-261A-48B3-896D-838C0E23FF25}"/>
              </c:ext>
            </c:extLst>
          </c:dPt>
          <c:dPt>
            <c:idx val="4"/>
            <c:bubble3D val="0"/>
            <c:spPr>
              <a:solidFill>
                <a:schemeClr val="accent5">
                  <a:lumMod val="60000"/>
                  <a:lumOff val="40000"/>
                </a:schemeClr>
              </a:solidFill>
              <a:ln w="25400">
                <a:solidFill>
                  <a:schemeClr val="tx1"/>
                </a:solidFill>
              </a:ln>
              <a:effectLst/>
              <a:sp3d contourW="25400">
                <a:contourClr>
                  <a:schemeClr val="tx1"/>
                </a:contourClr>
              </a:sp3d>
            </c:spPr>
            <c:extLst>
              <c:ext xmlns:c16="http://schemas.microsoft.com/office/drawing/2014/chart" uri="{C3380CC4-5D6E-409C-BE32-E72D297353CC}">
                <c16:uniqueId val="{00000004-261A-48B3-896D-838C0E23FF25}"/>
              </c:ext>
            </c:extLst>
          </c:dPt>
          <c:cat>
            <c:strRef>
              <c:f>PWS!$B$4:$B$9</c:f>
              <c:strCache>
                <c:ptCount val="5"/>
                <c:pt idx="0">
                  <c:v>Product 1</c:v>
                </c:pt>
                <c:pt idx="1">
                  <c:v>Product 2</c:v>
                </c:pt>
                <c:pt idx="2">
                  <c:v>Product 3</c:v>
                </c:pt>
                <c:pt idx="3">
                  <c:v>Product 4</c:v>
                </c:pt>
                <c:pt idx="4">
                  <c:v>Product 5</c:v>
                </c:pt>
              </c:strCache>
            </c:strRef>
          </c:cat>
          <c:val>
            <c:numRef>
              <c:f>PWS!$C$4:$C$9</c:f>
              <c:numCache>
                <c:formatCode>"₹"\ #,##0</c:formatCode>
                <c:ptCount val="5"/>
                <c:pt idx="0">
                  <c:v>736953</c:v>
                </c:pt>
                <c:pt idx="1">
                  <c:v>365762</c:v>
                </c:pt>
                <c:pt idx="2">
                  <c:v>124890</c:v>
                </c:pt>
                <c:pt idx="3">
                  <c:v>301305</c:v>
                </c:pt>
                <c:pt idx="4">
                  <c:v>499681</c:v>
                </c:pt>
              </c:numCache>
            </c:numRef>
          </c:val>
          <c:extLst>
            <c:ext xmlns:c16="http://schemas.microsoft.com/office/drawing/2014/chart" uri="{C3380CC4-5D6E-409C-BE32-E72D297353CC}">
              <c16:uniqueId val="{00000000-261A-48B3-896D-838C0E23FF25}"/>
            </c:ext>
          </c:extLst>
        </c:ser>
        <c:dLbls>
          <c:showLegendKey val="0"/>
          <c:showVal val="0"/>
          <c:showCatName val="0"/>
          <c:showSerName val="0"/>
          <c:showPercent val="0"/>
          <c:showBubbleSize val="0"/>
          <c:showLeaderLines val="1"/>
        </c:dLbls>
      </c:pie3DChart>
      <c:spPr>
        <a:solidFill>
          <a:srgbClr val="FF7C80"/>
        </a:solidFill>
        <a:ln>
          <a:noFill/>
        </a:ln>
        <a:effectLst/>
      </c:spPr>
    </c:plotArea>
    <c:legend>
      <c:legendPos val="r"/>
      <c:layout>
        <c:manualLayout>
          <c:xMode val="edge"/>
          <c:yMode val="edge"/>
          <c:x val="0.84967545581923176"/>
          <c:y val="0.51900382291885405"/>
          <c:w val="0.14007514344117039"/>
          <c:h val="0.45403731990023155"/>
        </c:manualLayout>
      </c:layout>
      <c:overlay val="0"/>
      <c:spPr>
        <a:noFill/>
        <a:ln>
          <a:noFill/>
        </a:ln>
        <a:effectLst/>
      </c:spPr>
      <c:txPr>
        <a:bodyPr rot="0" spcFirstLastPara="1" vertOverflow="ellipsis" vert="horz" wrap="square" anchor="ctr" anchorCtr="1"/>
        <a:lstStyle/>
        <a:p>
          <a:pPr>
            <a:defRPr sz="1050" b="1" i="0" u="none" strike="noStrike" kern="1200" baseline="0">
              <a:solidFill>
                <a:schemeClr val="tx1">
                  <a:lumMod val="65000"/>
                  <a:lumOff val="35000"/>
                </a:schemeClr>
              </a:solidFill>
              <a:latin typeface="Arial Black" panose="020B0A040201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7C8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EXCEL_Assignment_Problem(1).xlsm]MWRS!PivotTable3</c:name>
    <c:fmtId val="1"/>
  </c:pivotSource>
  <c:chart>
    <c:autoTitleDeleted val="0"/>
    <c:pivotFmts>
      <c:pivotFmt>
        <c:idx val="0"/>
        <c:spPr>
          <a:solidFill>
            <a:schemeClr val="accent6">
              <a:lumMod val="75000"/>
            </a:schemeClr>
          </a:solidFill>
          <a:ln>
            <a:solidFill>
              <a:schemeClr val="tx1">
                <a:lumMod val="95000"/>
                <a:lumOff val="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0066"/>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MWRS!$C$3:$C$4</c:f>
              <c:strCache>
                <c:ptCount val="1"/>
                <c:pt idx="0">
                  <c:v>Product 1</c:v>
                </c:pt>
              </c:strCache>
            </c:strRef>
          </c:tx>
          <c:spPr>
            <a:solidFill>
              <a:schemeClr val="accent6">
                <a:lumMod val="75000"/>
              </a:schemeClr>
            </a:solidFill>
            <a:ln>
              <a:solidFill>
                <a:schemeClr val="tx1">
                  <a:lumMod val="95000"/>
                  <a:lumOff val="5000"/>
                </a:schemeClr>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MWRS!$C$5:$C$17</c:f>
              <c:numCache>
                <c:formatCode>General</c:formatCode>
                <c:ptCount val="8"/>
                <c:pt idx="0">
                  <c:v>83790</c:v>
                </c:pt>
                <c:pt idx="1">
                  <c:v>98154</c:v>
                </c:pt>
                <c:pt idx="2">
                  <c:v>96957</c:v>
                </c:pt>
                <c:pt idx="3">
                  <c:v>93366</c:v>
                </c:pt>
                <c:pt idx="4">
                  <c:v>82593</c:v>
                </c:pt>
                <c:pt idx="5">
                  <c:v>96159</c:v>
                </c:pt>
                <c:pt idx="6">
                  <c:v>84987</c:v>
                </c:pt>
                <c:pt idx="7">
                  <c:v>100947</c:v>
                </c:pt>
              </c:numCache>
            </c:numRef>
          </c:val>
          <c:extLst>
            <c:ext xmlns:c16="http://schemas.microsoft.com/office/drawing/2014/chart" uri="{C3380CC4-5D6E-409C-BE32-E72D297353CC}">
              <c16:uniqueId val="{00000000-DC85-4346-A209-6DF904C12E4E}"/>
            </c:ext>
          </c:extLst>
        </c:ser>
        <c:ser>
          <c:idx val="1"/>
          <c:order val="1"/>
          <c:tx>
            <c:strRef>
              <c:f>MWRS!$D$3:$D$4</c:f>
              <c:strCache>
                <c:ptCount val="1"/>
                <c:pt idx="0">
                  <c:v>Product 2</c:v>
                </c:pt>
              </c:strCache>
            </c:strRef>
          </c:tx>
          <c:spPr>
            <a:solidFill>
              <a:schemeClr val="accent4">
                <a:lumMod val="60000"/>
                <a:lumOff val="40000"/>
              </a:schemeClr>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MWRS!$D$5:$D$17</c:f>
              <c:numCache>
                <c:formatCode>General</c:formatCode>
                <c:ptCount val="8"/>
                <c:pt idx="0">
                  <c:v>40198</c:v>
                </c:pt>
                <c:pt idx="1">
                  <c:v>47561</c:v>
                </c:pt>
                <c:pt idx="2">
                  <c:v>41790</c:v>
                </c:pt>
                <c:pt idx="3">
                  <c:v>39402</c:v>
                </c:pt>
                <c:pt idx="4">
                  <c:v>56914</c:v>
                </c:pt>
                <c:pt idx="5">
                  <c:v>44377</c:v>
                </c:pt>
                <c:pt idx="6">
                  <c:v>40994</c:v>
                </c:pt>
                <c:pt idx="7">
                  <c:v>54526</c:v>
                </c:pt>
              </c:numCache>
            </c:numRef>
          </c:val>
          <c:extLst>
            <c:ext xmlns:c16="http://schemas.microsoft.com/office/drawing/2014/chart" uri="{C3380CC4-5D6E-409C-BE32-E72D297353CC}">
              <c16:uniqueId val="{00000006-DC85-4346-A209-6DF904C12E4E}"/>
            </c:ext>
          </c:extLst>
        </c:ser>
        <c:ser>
          <c:idx val="2"/>
          <c:order val="2"/>
          <c:tx>
            <c:strRef>
              <c:f>MWRS!$E$3:$E$4</c:f>
              <c:strCache>
                <c:ptCount val="1"/>
                <c:pt idx="0">
                  <c:v>Product 3</c:v>
                </c:pt>
              </c:strCache>
            </c:strRef>
          </c:tx>
          <c:spPr>
            <a:solidFill>
              <a:srgbClr val="FF0066"/>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MWRS!$E$5:$E$17</c:f>
              <c:numCache>
                <c:formatCode>General</c:formatCode>
                <c:ptCount val="8"/>
                <c:pt idx="0">
                  <c:v>16491</c:v>
                </c:pt>
                <c:pt idx="1">
                  <c:v>15801</c:v>
                </c:pt>
                <c:pt idx="2">
                  <c:v>18354</c:v>
                </c:pt>
                <c:pt idx="3">
                  <c:v>13248</c:v>
                </c:pt>
                <c:pt idx="4">
                  <c:v>17664</c:v>
                </c:pt>
                <c:pt idx="5">
                  <c:v>13662</c:v>
                </c:pt>
                <c:pt idx="6">
                  <c:v>15249</c:v>
                </c:pt>
                <c:pt idx="7">
                  <c:v>14421</c:v>
                </c:pt>
              </c:numCache>
            </c:numRef>
          </c:val>
          <c:extLst>
            <c:ext xmlns:c16="http://schemas.microsoft.com/office/drawing/2014/chart" uri="{C3380CC4-5D6E-409C-BE32-E72D297353CC}">
              <c16:uniqueId val="{00000007-DC85-4346-A209-6DF904C12E4E}"/>
            </c:ext>
          </c:extLst>
        </c:ser>
        <c:ser>
          <c:idx val="3"/>
          <c:order val="3"/>
          <c:tx>
            <c:strRef>
              <c:f>MWRS!$F$3:$F$4</c:f>
              <c:strCache>
                <c:ptCount val="1"/>
                <c:pt idx="0">
                  <c:v>Product 4</c:v>
                </c:pt>
              </c:strCache>
            </c:strRef>
          </c:tx>
          <c:spPr>
            <a:solidFill>
              <a:schemeClr val="accent4"/>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MWRS!$F$5:$F$17</c:f>
              <c:numCache>
                <c:formatCode>General</c:formatCode>
                <c:ptCount val="8"/>
                <c:pt idx="0">
                  <c:v>46269</c:v>
                </c:pt>
                <c:pt idx="1">
                  <c:v>42612</c:v>
                </c:pt>
                <c:pt idx="2">
                  <c:v>32436</c:v>
                </c:pt>
                <c:pt idx="3">
                  <c:v>35775</c:v>
                </c:pt>
                <c:pt idx="4">
                  <c:v>25758</c:v>
                </c:pt>
                <c:pt idx="5">
                  <c:v>35457</c:v>
                </c:pt>
                <c:pt idx="6">
                  <c:v>42453</c:v>
                </c:pt>
                <c:pt idx="7">
                  <c:v>40545</c:v>
                </c:pt>
              </c:numCache>
            </c:numRef>
          </c:val>
          <c:extLst>
            <c:ext xmlns:c16="http://schemas.microsoft.com/office/drawing/2014/chart" uri="{C3380CC4-5D6E-409C-BE32-E72D297353CC}">
              <c16:uniqueId val="{00000008-DC85-4346-A209-6DF904C12E4E}"/>
            </c:ext>
          </c:extLst>
        </c:ser>
        <c:ser>
          <c:idx val="4"/>
          <c:order val="4"/>
          <c:tx>
            <c:strRef>
              <c:f>MWRS!$G$3:$G$4</c:f>
              <c:strCache>
                <c:ptCount val="1"/>
                <c:pt idx="0">
                  <c:v>Product 5</c:v>
                </c:pt>
              </c:strCache>
            </c:strRef>
          </c:tx>
          <c:spPr>
            <a:solidFill>
              <a:schemeClr val="accent6">
                <a:lumMod val="60000"/>
                <a:lumOff val="40000"/>
              </a:schemeClr>
            </a:solidFill>
            <a:ln>
              <a:solidFill>
                <a:schemeClr val="tx1"/>
              </a:solidFill>
            </a:ln>
            <a:effectLst/>
          </c:spPr>
          <c:invertIfNegative val="0"/>
          <c:cat>
            <c:multiLvlStrRef>
              <c:f>MWRS!$B$5:$B$17</c:f>
              <c:multiLvlStrCache>
                <c:ptCount val="8"/>
                <c:lvl>
                  <c:pt idx="0">
                    <c:v>Andrew James</c:v>
                  </c:pt>
                  <c:pt idx="1">
                    <c:v>Anna Weber</c:v>
                  </c:pt>
                  <c:pt idx="2">
                    <c:v>Oscar Knox</c:v>
                  </c:pt>
                  <c:pt idx="3">
                    <c:v>Kim Fishman</c:v>
                  </c:pt>
                  <c:pt idx="4">
                    <c:v>Ben Wallace</c:v>
                  </c:pt>
                  <c:pt idx="5">
                    <c:v>Michael Fox</c:v>
                  </c:pt>
                  <c:pt idx="6">
                    <c:v>Anne Lee</c:v>
                  </c:pt>
                  <c:pt idx="7">
                    <c:v>Laura Larsen</c:v>
                  </c:pt>
                </c:lvl>
                <c:lvl>
                  <c:pt idx="0">
                    <c:v>Jeff</c:v>
                  </c:pt>
                  <c:pt idx="3">
                    <c:v>Philip</c:v>
                  </c:pt>
                  <c:pt idx="4">
                    <c:v>Sara</c:v>
                  </c:pt>
                  <c:pt idx="6">
                    <c:v>Steve</c:v>
                  </c:pt>
                </c:lvl>
              </c:multiLvlStrCache>
            </c:multiLvlStrRef>
          </c:cat>
          <c:val>
            <c:numRef>
              <c:f>MWRS!$G$5:$G$17</c:f>
              <c:numCache>
                <c:formatCode>General</c:formatCode>
                <c:ptCount val="8"/>
                <c:pt idx="0">
                  <c:v>56933</c:v>
                </c:pt>
                <c:pt idx="1">
                  <c:v>72250</c:v>
                </c:pt>
                <c:pt idx="2">
                  <c:v>62135</c:v>
                </c:pt>
                <c:pt idx="3">
                  <c:v>49997</c:v>
                </c:pt>
                <c:pt idx="4">
                  <c:v>72828</c:v>
                </c:pt>
                <c:pt idx="5">
                  <c:v>62135</c:v>
                </c:pt>
                <c:pt idx="6">
                  <c:v>57511</c:v>
                </c:pt>
                <c:pt idx="7">
                  <c:v>65892</c:v>
                </c:pt>
              </c:numCache>
            </c:numRef>
          </c:val>
          <c:extLst>
            <c:ext xmlns:c16="http://schemas.microsoft.com/office/drawing/2014/chart" uri="{C3380CC4-5D6E-409C-BE32-E72D297353CC}">
              <c16:uniqueId val="{00000009-DC85-4346-A209-6DF904C12E4E}"/>
            </c:ext>
          </c:extLst>
        </c:ser>
        <c:dLbls>
          <c:showLegendKey val="0"/>
          <c:showVal val="0"/>
          <c:showCatName val="0"/>
          <c:showSerName val="0"/>
          <c:showPercent val="0"/>
          <c:showBubbleSize val="0"/>
        </c:dLbls>
        <c:gapWidth val="219"/>
        <c:overlap val="-27"/>
        <c:axId val="1024465968"/>
        <c:axId val="1024464304"/>
      </c:barChart>
      <c:catAx>
        <c:axId val="1024465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024464304"/>
        <c:crosses val="autoZero"/>
        <c:auto val="1"/>
        <c:lblAlgn val="ctr"/>
        <c:lblOffset val="100"/>
        <c:noMultiLvlLbl val="0"/>
      </c:catAx>
      <c:valAx>
        <c:axId val="1024464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crossAx val="1024465968"/>
        <c:crosses val="autoZero"/>
        <c:crossBetween val="between"/>
      </c:valAx>
      <c:spPr>
        <a:noFill/>
        <a:ln>
          <a:noFill/>
        </a:ln>
        <a:effectLst/>
      </c:spPr>
    </c:plotArea>
    <c:legend>
      <c:legendPos val="r"/>
      <c:layout>
        <c:manualLayout>
          <c:xMode val="edge"/>
          <c:yMode val="edge"/>
          <c:x val="0.84603785889816985"/>
          <c:y val="0.43372420502192249"/>
          <c:w val="0.13941453721819266"/>
          <c:h val="0.49509832375264734"/>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17</xdr:col>
      <xdr:colOff>434340</xdr:colOff>
      <xdr:row>11</xdr:row>
      <xdr:rowOff>22860</xdr:rowOff>
    </xdr:from>
    <xdr:to>
      <xdr:col>22</xdr:col>
      <xdr:colOff>434340</xdr:colOff>
      <xdr:row>15</xdr:row>
      <xdr:rowOff>175260</xdr:rowOff>
    </xdr:to>
    <xdr:sp macro="[0]!Employees" textlink="">
      <xdr:nvSpPr>
        <xdr:cNvPr id="3" name="Oval 2">
          <a:extLst>
            <a:ext uri="{FF2B5EF4-FFF2-40B4-BE49-F238E27FC236}">
              <a16:creationId xmlns:a16="http://schemas.microsoft.com/office/drawing/2014/main" id="{F5BDC0F0-60D1-4A5B-8D3B-65CD3CF0AEF1}"/>
            </a:ext>
          </a:extLst>
        </xdr:cNvPr>
        <xdr:cNvSpPr/>
      </xdr:nvSpPr>
      <xdr:spPr>
        <a:xfrm>
          <a:off x="10797540" y="2697480"/>
          <a:ext cx="3048000" cy="88392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latin typeface="Arial Black" panose="020B0A04020102020204" pitchFamily="34" charset="0"/>
            </a:rPr>
            <a:t>8.</a:t>
          </a:r>
          <a:r>
            <a:rPr lang="en-IN" sz="2000" b="1" baseline="0">
              <a:latin typeface="Arial Black" panose="020B0A04020102020204" pitchFamily="34" charset="0"/>
            </a:rPr>
            <a:t> </a:t>
          </a:r>
          <a:r>
            <a:rPr lang="en-IN" sz="2000" b="1">
              <a:latin typeface="Arial Black" panose="020B0A04020102020204" pitchFamily="34" charset="0"/>
            </a:rPr>
            <a:t>Employees</a:t>
          </a:r>
        </a:p>
      </xdr:txBody>
    </xdr:sp>
    <xdr:clientData/>
  </xdr:twoCellAnchor>
  <xdr:twoCellAnchor>
    <xdr:from>
      <xdr:col>9</xdr:col>
      <xdr:colOff>220980</xdr:colOff>
      <xdr:row>3</xdr:row>
      <xdr:rowOff>121920</xdr:rowOff>
    </xdr:from>
    <xdr:to>
      <xdr:col>14</xdr:col>
      <xdr:colOff>350520</xdr:colOff>
      <xdr:row>9</xdr:row>
      <xdr:rowOff>7620</xdr:rowOff>
    </xdr:to>
    <xdr:sp macro="[0]!SWS" textlink="">
      <xdr:nvSpPr>
        <xdr:cNvPr id="5" name="Oval 4">
          <a:extLst>
            <a:ext uri="{FF2B5EF4-FFF2-40B4-BE49-F238E27FC236}">
              <a16:creationId xmlns:a16="http://schemas.microsoft.com/office/drawing/2014/main" id="{A495FB04-0D54-45B9-BCB2-C5E2EE47BCEB}"/>
            </a:ext>
          </a:extLst>
        </xdr:cNvPr>
        <xdr:cNvSpPr/>
      </xdr:nvSpPr>
      <xdr:spPr>
        <a:xfrm>
          <a:off x="5494020" y="1333500"/>
          <a:ext cx="3177540" cy="98298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latin typeface="Arial Black" panose="020B0A04020102020204" pitchFamily="34" charset="0"/>
            </a:rPr>
            <a:t>4. Salesperson</a:t>
          </a:r>
          <a:endParaRPr lang="en-IN" sz="2400" b="1">
            <a:latin typeface="Arial Black" panose="020B0A04020102020204" pitchFamily="34" charset="0"/>
          </a:endParaRPr>
        </a:p>
        <a:p>
          <a:pPr algn="ctr"/>
          <a:endParaRPr lang="en-IN" sz="2400" b="1">
            <a:latin typeface="Arial Black" panose="020B0A04020102020204" pitchFamily="34" charset="0"/>
          </a:endParaRPr>
        </a:p>
      </xdr:txBody>
    </xdr:sp>
    <xdr:clientData/>
  </xdr:twoCellAnchor>
  <xdr:twoCellAnchor>
    <xdr:from>
      <xdr:col>17</xdr:col>
      <xdr:colOff>396240</xdr:colOff>
      <xdr:row>4</xdr:row>
      <xdr:rowOff>7620</xdr:rowOff>
    </xdr:from>
    <xdr:to>
      <xdr:col>22</xdr:col>
      <xdr:colOff>388620</xdr:colOff>
      <xdr:row>9</xdr:row>
      <xdr:rowOff>15240</xdr:rowOff>
    </xdr:to>
    <xdr:sp macro="[0]!DATA" textlink="">
      <xdr:nvSpPr>
        <xdr:cNvPr id="6" name="Oval 5">
          <a:extLst>
            <a:ext uri="{FF2B5EF4-FFF2-40B4-BE49-F238E27FC236}">
              <a16:creationId xmlns:a16="http://schemas.microsoft.com/office/drawing/2014/main" id="{50E89AC0-D4BE-4FDA-AAFA-A689F500CBE0}"/>
            </a:ext>
          </a:extLst>
        </xdr:cNvPr>
        <xdr:cNvSpPr/>
      </xdr:nvSpPr>
      <xdr:spPr>
        <a:xfrm>
          <a:off x="10759440" y="1402080"/>
          <a:ext cx="3040380" cy="92202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2000" b="1">
              <a:latin typeface="Arial Black" panose="020B0A04020102020204" pitchFamily="34" charset="0"/>
            </a:rPr>
            <a:t>7.</a:t>
          </a:r>
          <a:r>
            <a:rPr lang="en-IN" sz="2400" b="1">
              <a:latin typeface="Arial Black" panose="020B0A04020102020204" pitchFamily="34" charset="0"/>
            </a:rPr>
            <a:t> </a:t>
          </a:r>
          <a:r>
            <a:rPr lang="en-IN" sz="2000" b="1">
              <a:latin typeface="Arial Black" panose="020B0A04020102020204" pitchFamily="34" charset="0"/>
            </a:rPr>
            <a:t>Data</a:t>
          </a:r>
          <a:endParaRPr lang="en-IN" sz="2400" b="1">
            <a:latin typeface="Arial Black" panose="020B0A04020102020204" pitchFamily="34" charset="0"/>
          </a:endParaRPr>
        </a:p>
      </xdr:txBody>
    </xdr:sp>
    <xdr:clientData/>
  </xdr:twoCellAnchor>
  <xdr:twoCellAnchor>
    <xdr:from>
      <xdr:col>9</xdr:col>
      <xdr:colOff>220980</xdr:colOff>
      <xdr:row>11</xdr:row>
      <xdr:rowOff>15240</xdr:rowOff>
    </xdr:from>
    <xdr:to>
      <xdr:col>14</xdr:col>
      <xdr:colOff>396240</xdr:colOff>
      <xdr:row>15</xdr:row>
      <xdr:rowOff>137160</xdr:rowOff>
    </xdr:to>
    <xdr:sp macro="[0]!PWS" textlink="">
      <xdr:nvSpPr>
        <xdr:cNvPr id="9" name="Oval 8">
          <a:extLst>
            <a:ext uri="{FF2B5EF4-FFF2-40B4-BE49-F238E27FC236}">
              <a16:creationId xmlns:a16="http://schemas.microsoft.com/office/drawing/2014/main" id="{7462226F-E971-4F5C-B5BB-E9ABD57CF273}"/>
            </a:ext>
          </a:extLst>
        </xdr:cNvPr>
        <xdr:cNvSpPr/>
      </xdr:nvSpPr>
      <xdr:spPr>
        <a:xfrm>
          <a:off x="5494020" y="2689860"/>
          <a:ext cx="3223260" cy="85344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900" b="1">
              <a:latin typeface="Arial Black" panose="020B0A04020102020204" pitchFamily="34" charset="0"/>
            </a:rPr>
            <a:t>5. Product Sale</a:t>
          </a:r>
        </a:p>
      </xdr:txBody>
    </xdr:sp>
    <xdr:clientData/>
  </xdr:twoCellAnchor>
  <xdr:twoCellAnchor>
    <xdr:from>
      <xdr:col>1</xdr:col>
      <xdr:colOff>182880</xdr:colOff>
      <xdr:row>18</xdr:row>
      <xdr:rowOff>91440</xdr:rowOff>
    </xdr:from>
    <xdr:to>
      <xdr:col>6</xdr:col>
      <xdr:colOff>205740</xdr:colOff>
      <xdr:row>23</xdr:row>
      <xdr:rowOff>30480</xdr:rowOff>
    </xdr:to>
    <xdr:sp macro="[0]!MWS" textlink="">
      <xdr:nvSpPr>
        <xdr:cNvPr id="10" name="Oval 9">
          <a:extLst>
            <a:ext uri="{FF2B5EF4-FFF2-40B4-BE49-F238E27FC236}">
              <a16:creationId xmlns:a16="http://schemas.microsoft.com/office/drawing/2014/main" id="{B835E53E-240C-4C08-9A51-4BA9BCCBD13B}"/>
            </a:ext>
          </a:extLst>
        </xdr:cNvPr>
        <xdr:cNvSpPr/>
      </xdr:nvSpPr>
      <xdr:spPr>
        <a:xfrm>
          <a:off x="304800" y="4046220"/>
          <a:ext cx="3070860" cy="85344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latin typeface="Arial Black" panose="020B0A04020102020204" pitchFamily="34" charset="0"/>
            </a:rPr>
            <a:t>3. Monthly Sale</a:t>
          </a:r>
        </a:p>
      </xdr:txBody>
    </xdr:sp>
    <xdr:clientData/>
  </xdr:twoCellAnchor>
  <xdr:twoCellAnchor>
    <xdr:from>
      <xdr:col>1</xdr:col>
      <xdr:colOff>144780</xdr:colOff>
      <xdr:row>11</xdr:row>
      <xdr:rowOff>38100</xdr:rowOff>
    </xdr:from>
    <xdr:to>
      <xdr:col>6</xdr:col>
      <xdr:colOff>167640</xdr:colOff>
      <xdr:row>15</xdr:row>
      <xdr:rowOff>160020</xdr:rowOff>
    </xdr:to>
    <xdr:sp macro="[0]!YWS" textlink="">
      <xdr:nvSpPr>
        <xdr:cNvPr id="11" name="Oval 10">
          <a:extLst>
            <a:ext uri="{FF2B5EF4-FFF2-40B4-BE49-F238E27FC236}">
              <a16:creationId xmlns:a16="http://schemas.microsoft.com/office/drawing/2014/main" id="{50DC94B8-06EB-4DEB-93A8-5F47982B68E3}"/>
            </a:ext>
          </a:extLst>
        </xdr:cNvPr>
        <xdr:cNvSpPr/>
      </xdr:nvSpPr>
      <xdr:spPr>
        <a:xfrm>
          <a:off x="266700" y="2552700"/>
          <a:ext cx="3070860" cy="85344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2000" b="1">
              <a:solidFill>
                <a:schemeClr val="lt1"/>
              </a:solidFill>
              <a:latin typeface="Arial Black" panose="020B0A04020102020204" pitchFamily="34" charset="0"/>
              <a:ea typeface="+mn-ea"/>
              <a:cs typeface="+mn-cs"/>
            </a:rPr>
            <a:t>2. Yearly</a:t>
          </a:r>
          <a:r>
            <a:rPr lang="en-IN" sz="2000" b="1" baseline="0">
              <a:solidFill>
                <a:schemeClr val="lt1"/>
              </a:solidFill>
              <a:latin typeface="Arial Black" panose="020B0A04020102020204" pitchFamily="34" charset="0"/>
              <a:ea typeface="+mn-ea"/>
              <a:cs typeface="+mn-cs"/>
            </a:rPr>
            <a:t> Sale</a:t>
          </a:r>
          <a:endParaRPr lang="en-IN" sz="2000" b="1">
            <a:solidFill>
              <a:schemeClr val="lt1"/>
            </a:solidFill>
            <a:latin typeface="Arial Black" panose="020B0A04020102020204" pitchFamily="34" charset="0"/>
            <a:ea typeface="+mn-ea"/>
            <a:cs typeface="+mn-cs"/>
          </a:endParaRPr>
        </a:p>
      </xdr:txBody>
    </xdr:sp>
    <xdr:clientData/>
  </xdr:twoCellAnchor>
  <xdr:twoCellAnchor>
    <xdr:from>
      <xdr:col>1</xdr:col>
      <xdr:colOff>160020</xdr:colOff>
      <xdr:row>4</xdr:row>
      <xdr:rowOff>22860</xdr:rowOff>
    </xdr:from>
    <xdr:to>
      <xdr:col>6</xdr:col>
      <xdr:colOff>182880</xdr:colOff>
      <xdr:row>8</xdr:row>
      <xdr:rowOff>144780</xdr:rowOff>
    </xdr:to>
    <xdr:sp macro="[0]!Dashboard" textlink="">
      <xdr:nvSpPr>
        <xdr:cNvPr id="12" name="Oval 11">
          <a:extLst>
            <a:ext uri="{FF2B5EF4-FFF2-40B4-BE49-F238E27FC236}">
              <a16:creationId xmlns:a16="http://schemas.microsoft.com/office/drawing/2014/main" id="{7B05D738-82D1-4D4B-815E-82730855A621}"/>
            </a:ext>
          </a:extLst>
        </xdr:cNvPr>
        <xdr:cNvSpPr/>
      </xdr:nvSpPr>
      <xdr:spPr>
        <a:xfrm>
          <a:off x="281940" y="1257300"/>
          <a:ext cx="3070860" cy="85344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IN" sz="2000" b="1">
              <a:solidFill>
                <a:schemeClr val="lt1"/>
              </a:solidFill>
              <a:latin typeface="Arial Black" panose="020B0A04020102020204" pitchFamily="34" charset="0"/>
              <a:ea typeface="+mn-ea"/>
              <a:cs typeface="+mn-cs"/>
            </a:rPr>
            <a:t> 1. Dashboard</a:t>
          </a:r>
        </a:p>
        <a:p>
          <a:pPr marL="0" indent="0" algn="ctr"/>
          <a:endParaRPr lang="en-IN" sz="2400" b="1">
            <a:solidFill>
              <a:schemeClr val="lt1"/>
            </a:solidFill>
            <a:latin typeface="Arial Black" panose="020B0A04020102020204" pitchFamily="34" charset="0"/>
            <a:ea typeface="+mn-ea"/>
            <a:cs typeface="+mn-cs"/>
          </a:endParaRPr>
        </a:p>
      </xdr:txBody>
    </xdr:sp>
    <xdr:clientData/>
  </xdr:twoCellAnchor>
  <xdr:twoCellAnchor>
    <xdr:from>
      <xdr:col>9</xdr:col>
      <xdr:colOff>198120</xdr:colOff>
      <xdr:row>18</xdr:row>
      <xdr:rowOff>68580</xdr:rowOff>
    </xdr:from>
    <xdr:to>
      <xdr:col>14</xdr:col>
      <xdr:colOff>419100</xdr:colOff>
      <xdr:row>23</xdr:row>
      <xdr:rowOff>7620</xdr:rowOff>
    </xdr:to>
    <xdr:sp macro="[0]!MWRS" textlink="">
      <xdr:nvSpPr>
        <xdr:cNvPr id="13" name="Oval 12">
          <a:extLst>
            <a:ext uri="{FF2B5EF4-FFF2-40B4-BE49-F238E27FC236}">
              <a16:creationId xmlns:a16="http://schemas.microsoft.com/office/drawing/2014/main" id="{422478B1-D97A-4D50-85BA-CA4E27984548}"/>
            </a:ext>
          </a:extLst>
        </xdr:cNvPr>
        <xdr:cNvSpPr/>
      </xdr:nvSpPr>
      <xdr:spPr>
        <a:xfrm>
          <a:off x="5196840" y="4023360"/>
          <a:ext cx="3268980" cy="85344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latin typeface="Arial Black" panose="020B0A04020102020204" pitchFamily="34" charset="0"/>
            </a:rPr>
            <a:t>6.</a:t>
          </a:r>
          <a:r>
            <a:rPr lang="en-IN" sz="2000" b="1" baseline="0">
              <a:latin typeface="Arial Black" panose="020B0A04020102020204" pitchFamily="34" charset="0"/>
            </a:rPr>
            <a:t> Revenue</a:t>
          </a:r>
        </a:p>
      </xdr:txBody>
    </xdr:sp>
    <xdr:clientData/>
  </xdr:twoCellAnchor>
  <xdr:twoCellAnchor>
    <xdr:from>
      <xdr:col>17</xdr:col>
      <xdr:colOff>457200</xdr:colOff>
      <xdr:row>18</xdr:row>
      <xdr:rowOff>53340</xdr:rowOff>
    </xdr:from>
    <xdr:to>
      <xdr:col>22</xdr:col>
      <xdr:colOff>457200</xdr:colOff>
      <xdr:row>23</xdr:row>
      <xdr:rowOff>22860</xdr:rowOff>
    </xdr:to>
    <xdr:sp macro="[0]!Employees" textlink="">
      <xdr:nvSpPr>
        <xdr:cNvPr id="14" name="Oval 13">
          <a:extLst>
            <a:ext uri="{FF2B5EF4-FFF2-40B4-BE49-F238E27FC236}">
              <a16:creationId xmlns:a16="http://schemas.microsoft.com/office/drawing/2014/main" id="{0D7C5564-AE90-4F72-B3E9-14907397108A}"/>
            </a:ext>
          </a:extLst>
        </xdr:cNvPr>
        <xdr:cNvSpPr/>
      </xdr:nvSpPr>
      <xdr:spPr>
        <a:xfrm>
          <a:off x="10332720" y="4008120"/>
          <a:ext cx="3048000" cy="883920"/>
        </a:xfrm>
        <a:prstGeom prst="ellipse">
          <a:avLst/>
        </a:prstGeom>
        <a:solidFill>
          <a:srgbClr val="A91B9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latin typeface="Arial Black" panose="020B0A04020102020204" pitchFamily="34" charset="0"/>
            </a:rPr>
            <a:t>9.</a:t>
          </a:r>
          <a:r>
            <a:rPr lang="en-IN" sz="2000" b="1" baseline="0">
              <a:latin typeface="Arial Black" panose="020B0A04020102020204" pitchFamily="34" charset="0"/>
            </a:rPr>
            <a:t> Insight</a:t>
          </a:r>
          <a:r>
            <a:rPr lang="en-IN" sz="2000" b="1">
              <a:latin typeface="Arial Black" panose="020B0A04020102020204" pitchFamily="34" charset="0"/>
            </a:rPr>
            <a:t>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xdr:colOff>
      <xdr:row>2</xdr:row>
      <xdr:rowOff>0</xdr:rowOff>
    </xdr:from>
    <xdr:to>
      <xdr:col>5</xdr:col>
      <xdr:colOff>601980</xdr:colOff>
      <xdr:row>14</xdr:row>
      <xdr:rowOff>46182</xdr:rowOff>
    </xdr:to>
    <xdr:graphicFrame macro="">
      <xdr:nvGraphicFramePr>
        <xdr:cNvPr id="2" name="Chart 1">
          <a:extLst>
            <a:ext uri="{FF2B5EF4-FFF2-40B4-BE49-F238E27FC236}">
              <a16:creationId xmlns:a16="http://schemas.microsoft.com/office/drawing/2014/main" id="{BCC83882-3D5F-4DD6-9ECB-1874D96CE9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70259</xdr:colOff>
      <xdr:row>1</xdr:row>
      <xdr:rowOff>37738</xdr:rowOff>
    </xdr:from>
    <xdr:to>
      <xdr:col>15</xdr:col>
      <xdr:colOff>531091</xdr:colOff>
      <xdr:row>13</xdr:row>
      <xdr:rowOff>0</xdr:rowOff>
    </xdr:to>
    <xdr:graphicFrame macro="">
      <xdr:nvGraphicFramePr>
        <xdr:cNvPr id="4" name="Chart 3">
          <a:extLst>
            <a:ext uri="{FF2B5EF4-FFF2-40B4-BE49-F238E27FC236}">
              <a16:creationId xmlns:a16="http://schemas.microsoft.com/office/drawing/2014/main" id="{EC1F500D-7D28-4421-9BB3-52B5539F60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23092</xdr:colOff>
      <xdr:row>14</xdr:row>
      <xdr:rowOff>30788</xdr:rowOff>
    </xdr:from>
    <xdr:to>
      <xdr:col>12</xdr:col>
      <xdr:colOff>577274</xdr:colOff>
      <xdr:row>26</xdr:row>
      <xdr:rowOff>223212</xdr:rowOff>
    </xdr:to>
    <xdr:graphicFrame macro="">
      <xdr:nvGraphicFramePr>
        <xdr:cNvPr id="5" name="Chart 4">
          <a:extLst>
            <a:ext uri="{FF2B5EF4-FFF2-40B4-BE49-F238E27FC236}">
              <a16:creationId xmlns:a16="http://schemas.microsoft.com/office/drawing/2014/main" id="{F8663B2F-BD19-4C48-9A04-6B80DADBAC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184729</xdr:colOff>
      <xdr:row>1</xdr:row>
      <xdr:rowOff>0</xdr:rowOff>
    </xdr:from>
    <xdr:to>
      <xdr:col>23</xdr:col>
      <xdr:colOff>100060</xdr:colOff>
      <xdr:row>12</xdr:row>
      <xdr:rowOff>153939</xdr:rowOff>
    </xdr:to>
    <xdr:graphicFrame macro="">
      <xdr:nvGraphicFramePr>
        <xdr:cNvPr id="6" name="Chart 5">
          <a:extLst>
            <a:ext uri="{FF2B5EF4-FFF2-40B4-BE49-F238E27FC236}">
              <a16:creationId xmlns:a16="http://schemas.microsoft.com/office/drawing/2014/main" id="{EC7BE60C-2D28-4C19-8370-8A8CAB28E5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15394</xdr:colOff>
      <xdr:row>13</xdr:row>
      <xdr:rowOff>0</xdr:rowOff>
    </xdr:from>
    <xdr:to>
      <xdr:col>23</xdr:col>
      <xdr:colOff>76969</xdr:colOff>
      <xdr:row>27</xdr:row>
      <xdr:rowOff>7697</xdr:rowOff>
    </xdr:to>
    <xdr:graphicFrame macro="">
      <xdr:nvGraphicFramePr>
        <xdr:cNvPr id="7" name="Chart 6">
          <a:extLst>
            <a:ext uri="{FF2B5EF4-FFF2-40B4-BE49-F238E27FC236}">
              <a16:creationId xmlns:a16="http://schemas.microsoft.com/office/drawing/2014/main" id="{485FDFE3-80BA-4D40-81BF-D4085C3B0D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14244</xdr:colOff>
      <xdr:row>7</xdr:row>
      <xdr:rowOff>26580</xdr:rowOff>
    </xdr:from>
    <xdr:to>
      <xdr:col>8</xdr:col>
      <xdr:colOff>605327</xdr:colOff>
      <xdr:row>22</xdr:row>
      <xdr:rowOff>242131</xdr:rowOff>
    </xdr:to>
    <xdr:graphicFrame macro="">
      <xdr:nvGraphicFramePr>
        <xdr:cNvPr id="2" name="Chart 1">
          <a:extLst>
            <a:ext uri="{FF2B5EF4-FFF2-40B4-BE49-F238E27FC236}">
              <a16:creationId xmlns:a16="http://schemas.microsoft.com/office/drawing/2014/main" id="{3C2B6327-4473-E4E6-CF7B-A9A9C69EFF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333276</xdr:colOff>
      <xdr:row>1</xdr:row>
      <xdr:rowOff>376963</xdr:rowOff>
    </xdr:from>
    <xdr:to>
      <xdr:col>14</xdr:col>
      <xdr:colOff>584150</xdr:colOff>
      <xdr:row>9</xdr:row>
      <xdr:rowOff>92579</xdr:rowOff>
    </xdr:to>
    <mc:AlternateContent xmlns:mc="http://schemas.openxmlformats.org/markup-compatibility/2006" xmlns:a14="http://schemas.microsoft.com/office/drawing/2010/main">
      <mc:Choice Requires="a14">
        <xdr:graphicFrame macro="">
          <xdr:nvGraphicFramePr>
            <xdr:cNvPr id="3" name="Product_Type">
              <a:extLst>
                <a:ext uri="{FF2B5EF4-FFF2-40B4-BE49-F238E27FC236}">
                  <a16:creationId xmlns:a16="http://schemas.microsoft.com/office/drawing/2014/main" id="{83C8351D-9B35-48BE-960E-B72C605693AD}"/>
                </a:ext>
              </a:extLst>
            </xdr:cNvPr>
            <xdr:cNvGraphicFramePr/>
          </xdr:nvGraphicFramePr>
          <xdr:xfrm>
            <a:off x="0" y="0"/>
            <a:ext cx="0" cy="0"/>
          </xdr:xfrm>
          <a:graphic>
            <a:graphicData uri="http://schemas.microsoft.com/office/drawing/2010/slicer">
              <sle:slicer xmlns:sle="http://schemas.microsoft.com/office/drawing/2010/slicer" name="Product_Type"/>
            </a:graphicData>
          </a:graphic>
        </xdr:graphicFrame>
      </mc:Choice>
      <mc:Fallback xmlns="">
        <xdr:sp macro="" textlink="">
          <xdr:nvSpPr>
            <xdr:cNvPr id="0" name=""/>
            <xdr:cNvSpPr>
              <a:spLocks noTextEdit="1"/>
            </xdr:cNvSpPr>
          </xdr:nvSpPr>
          <xdr:spPr>
            <a:xfrm>
              <a:off x="8672547" y="490907"/>
              <a:ext cx="3313117" cy="169539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325386</xdr:colOff>
      <xdr:row>9</xdr:row>
      <xdr:rowOff>142431</xdr:rowOff>
    </xdr:from>
    <xdr:to>
      <xdr:col>14</xdr:col>
      <xdr:colOff>583974</xdr:colOff>
      <xdr:row>22</xdr:row>
      <xdr:rowOff>226562</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3BF87E67-033D-4973-8AF0-EAFD89BBBD7B}"/>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664657" y="2236151"/>
              <a:ext cx="3320831" cy="249119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wsDr>
</file>

<file path=xl/drawings/drawing4.xml><?xml version="1.0" encoding="utf-8"?>
<xdr:wsDr xmlns:xdr="http://schemas.openxmlformats.org/drawingml/2006/spreadsheetDrawing" xmlns:a="http://schemas.openxmlformats.org/drawingml/2006/main">
  <xdr:twoCellAnchor>
    <xdr:from>
      <xdr:col>3</xdr:col>
      <xdr:colOff>533400</xdr:colOff>
      <xdr:row>2</xdr:row>
      <xdr:rowOff>99060</xdr:rowOff>
    </xdr:from>
    <xdr:to>
      <xdr:col>20</xdr:col>
      <xdr:colOff>533400</xdr:colOff>
      <xdr:row>19</xdr:row>
      <xdr:rowOff>83820</xdr:rowOff>
    </xdr:to>
    <xdr:graphicFrame macro="">
      <xdr:nvGraphicFramePr>
        <xdr:cNvPr id="2" name="Chart 1">
          <a:extLst>
            <a:ext uri="{FF2B5EF4-FFF2-40B4-BE49-F238E27FC236}">
              <a16:creationId xmlns:a16="http://schemas.microsoft.com/office/drawing/2014/main" id="{82CB1A51-14B8-0794-CEF9-2693E2486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91440</xdr:colOff>
      <xdr:row>1</xdr:row>
      <xdr:rowOff>632460</xdr:rowOff>
    </xdr:from>
    <xdr:to>
      <xdr:col>20</xdr:col>
      <xdr:colOff>502920</xdr:colOff>
      <xdr:row>22</xdr:row>
      <xdr:rowOff>152400</xdr:rowOff>
    </xdr:to>
    <xdr:graphicFrame macro="">
      <xdr:nvGraphicFramePr>
        <xdr:cNvPr id="2" name="Chart 1">
          <a:extLst>
            <a:ext uri="{FF2B5EF4-FFF2-40B4-BE49-F238E27FC236}">
              <a16:creationId xmlns:a16="http://schemas.microsoft.com/office/drawing/2014/main" id="{F7D09F2E-EAFB-29C3-E4F8-0E9E0F620FE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42333</xdr:colOff>
      <xdr:row>2</xdr:row>
      <xdr:rowOff>70556</xdr:rowOff>
    </xdr:from>
    <xdr:to>
      <xdr:col>16</xdr:col>
      <xdr:colOff>195581</xdr:colOff>
      <xdr:row>20</xdr:row>
      <xdr:rowOff>141111</xdr:rowOff>
    </xdr:to>
    <xdr:graphicFrame macro="">
      <xdr:nvGraphicFramePr>
        <xdr:cNvPr id="2" name="Chart 1">
          <a:extLst>
            <a:ext uri="{FF2B5EF4-FFF2-40B4-BE49-F238E27FC236}">
              <a16:creationId xmlns:a16="http://schemas.microsoft.com/office/drawing/2014/main" id="{C3D904DE-5AD7-4434-8D6A-9D4E4C12B9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8</xdr:col>
      <xdr:colOff>49561</xdr:colOff>
      <xdr:row>1</xdr:row>
      <xdr:rowOff>675887</xdr:rowOff>
    </xdr:from>
    <xdr:to>
      <xdr:col>16</xdr:col>
      <xdr:colOff>545169</xdr:colOff>
      <xdr:row>16</xdr:row>
      <xdr:rowOff>204437</xdr:rowOff>
    </xdr:to>
    <xdr:graphicFrame macro="">
      <xdr:nvGraphicFramePr>
        <xdr:cNvPr id="3" name="Chart 2">
          <a:extLst>
            <a:ext uri="{FF2B5EF4-FFF2-40B4-BE49-F238E27FC236}">
              <a16:creationId xmlns:a16="http://schemas.microsoft.com/office/drawing/2014/main" id="{0269DAC7-7C97-4BD0-B481-C6D877643D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75.958229166667" createdVersion="8" refreshedVersion="8" minRefreshableVersion="3" recordCount="2000" xr:uid="{6FE15064-B9E7-4D5D-95FE-7B0E8F178C8E}">
  <cacheSource type="worksheet">
    <worksheetSource ref="A1:K2001" sheet="Sales_Data"/>
  </cacheSource>
  <cacheFields count="15">
    <cacheField name="Order ID" numFmtId="2">
      <sharedItems/>
    </cacheField>
    <cacheField name="Order Date" numFmtId="14">
      <sharedItems containsSemiMixedTypes="0" containsNonDate="0" containsDate="1" containsString="0" minDate="2021-01-01T00:00:00" maxDate="2022-10-17T00:00:00" count="654">
        <d v="2021-01-05T00:00:00"/>
        <d v="2021-01-07T00:00:00"/>
        <d v="2021-01-08T00:00:00"/>
        <d v="2021-01-09T00:00:00"/>
        <d v="2021-01-11T00:00:00"/>
        <d v="2021-01-12T00:00:00"/>
        <d v="2021-01-13T00:00:00"/>
        <d v="2021-01-15T00:00:00"/>
        <d v="2021-01-18T00:00:00"/>
        <d v="2021-01-22T00:00:00"/>
        <d v="2021-01-24T00:00:00"/>
        <d v="2021-01-25T00:00:00"/>
        <d v="2021-01-26T00:00:00"/>
        <d v="2021-01-28T00:00:00"/>
        <d v="2021-01-29T00:00:00"/>
        <d v="2021-02-02T00:00:00"/>
        <d v="2021-02-03T00:00:00"/>
        <d v="2021-02-04T00:00:00"/>
        <d v="2021-02-05T00:00:00"/>
        <d v="2021-02-08T00:00:00"/>
        <d v="2021-02-11T00:00:00"/>
        <d v="2021-02-13T00:00:00"/>
        <d v="2021-02-19T00:00:00"/>
        <d v="2021-02-23T00:00:00"/>
        <d v="2021-02-24T00:00:00"/>
        <d v="2021-02-25T00:00:00"/>
        <d v="2021-02-26T00:00:00"/>
        <d v="2021-03-08T00:00:00"/>
        <d v="2021-03-11T00:00:00"/>
        <d v="2021-03-12T00:00:00"/>
        <d v="2021-03-13T00:00:00"/>
        <d v="2021-03-15T00:00:00"/>
        <d v="2021-03-16T00:00:00"/>
        <d v="2021-03-18T00:00:00"/>
        <d v="2021-03-20T00:00:00"/>
        <d v="2021-03-25T00:00:00"/>
        <d v="2021-03-26T00:00:00"/>
        <d v="2021-03-31T00:00:00"/>
        <d v="2021-04-02T00:00:00"/>
        <d v="2021-04-12T00:00:00"/>
        <d v="2021-04-14T00:00:00"/>
        <d v="2021-04-17T00:00:00"/>
        <d v="2021-04-19T00:00:00"/>
        <d v="2021-04-20T00:00:00"/>
        <d v="2021-04-21T00:00:00"/>
        <d v="2021-04-22T00:00:00"/>
        <d v="2021-04-25T00:00:00"/>
        <d v="2021-04-28T00:00:00"/>
        <d v="2021-05-03T00:00:00"/>
        <d v="2021-05-05T00:00:00"/>
        <d v="2021-05-09T00:00:00"/>
        <d v="2021-05-15T00:00:00"/>
        <d v="2021-05-16T00:00:00"/>
        <d v="2021-05-17T00:00:00"/>
        <d v="2021-05-18T00:00:00"/>
        <d v="2021-05-19T00:00:00"/>
        <d v="2021-05-20T00:00:00"/>
        <d v="2021-05-22T00:00:00"/>
        <d v="2021-05-23T00:00:00"/>
        <d v="2021-05-26T00:00:00"/>
        <d v="2021-05-29T00:00:00"/>
        <d v="2021-06-03T00:00:00"/>
        <d v="2021-06-04T00:00:00"/>
        <d v="2021-06-08T00:00:00"/>
        <d v="2021-06-09T00:00:00"/>
        <d v="2021-06-11T00:00:00"/>
        <d v="2021-06-12T00:00:00"/>
        <d v="2021-06-13T00:00:00"/>
        <d v="2021-06-16T00:00:00"/>
        <d v="2021-06-19T00:00:00"/>
        <d v="2021-06-21T00:00:00"/>
        <d v="2021-06-22T00:00:00"/>
        <d v="2021-06-24T00:00:00"/>
        <d v="2021-06-26T00:00:00"/>
        <d v="2021-06-28T00:00:00"/>
        <d v="2021-06-30T00:00:00"/>
        <d v="2021-07-06T00:00:00"/>
        <d v="2021-07-08T00:00:00"/>
        <d v="2021-07-11T00:00:00"/>
        <d v="2021-07-13T00:00:00"/>
        <d v="2021-07-14T00:00:00"/>
        <d v="2021-07-15T00:00:00"/>
        <d v="2021-07-17T00:00:00"/>
        <d v="2021-07-21T00:00:00"/>
        <d v="2021-07-22T00:00:00"/>
        <d v="2021-07-24T00:00:00"/>
        <d v="2021-07-27T00:00:00"/>
        <d v="2021-08-08T00:00:00"/>
        <d v="2021-08-10T00:00:00"/>
        <d v="2021-08-11T00:00:00"/>
        <d v="2021-08-12T00:00:00"/>
        <d v="2021-08-16T00:00:00"/>
        <d v="2021-08-19T00:00:00"/>
        <d v="2021-08-20T00:00:00"/>
        <d v="2021-08-21T00:00:00"/>
        <d v="2021-08-22T00:00:00"/>
        <d v="2021-08-25T00:00:00"/>
        <d v="2021-08-26T00:00:00"/>
        <d v="2021-08-27T00:00:00"/>
        <d v="2021-08-29T00:00:00"/>
        <d v="2021-08-31T00:00:00"/>
        <d v="2021-09-01T00:00:00"/>
        <d v="2021-09-03T00:00:00"/>
        <d v="2021-09-05T00:00:00"/>
        <d v="2021-09-07T00:00:00"/>
        <d v="2021-09-08T00:00:00"/>
        <d v="2021-09-09T00:00:00"/>
        <d v="2021-09-10T00:00:00"/>
        <d v="2021-09-11T00:00:00"/>
        <d v="2021-09-13T00:00:00"/>
        <d v="2021-09-15T00:00:00"/>
        <d v="2021-09-18T00:00:00"/>
        <d v="2021-09-22T00:00:00"/>
        <d v="2021-09-24T00:00:00"/>
        <d v="2021-09-28T00:00:00"/>
        <d v="2021-10-01T00:00:00"/>
        <d v="2021-10-06T00:00:00"/>
        <d v="2021-10-08T00:00:00"/>
        <d v="2021-10-09T00:00:00"/>
        <d v="2021-10-15T00:00:00"/>
        <d v="2021-10-16T00:00:00"/>
        <d v="2021-10-18T00:00:00"/>
        <d v="2021-10-22T00:00:00"/>
        <d v="2021-10-23T00:00:00"/>
        <d v="2021-10-26T00:00:00"/>
        <d v="2021-10-27T00:00:00"/>
        <d v="2021-10-29T00:00:00"/>
        <d v="2021-10-30T00:00:00"/>
        <d v="2021-10-31T00:00:00"/>
        <d v="2021-11-03T00:00:00"/>
        <d v="2021-11-07T00:00:00"/>
        <d v="2021-11-08T00:00:00"/>
        <d v="2021-11-09T00:00:00"/>
        <d v="2021-11-10T00:00:00"/>
        <d v="2021-11-16T00:00:00"/>
        <d v="2021-11-19T00:00:00"/>
        <d v="2021-11-20T00:00:00"/>
        <d v="2021-11-21T00:00:00"/>
        <d v="2021-11-22T00:00:00"/>
        <d v="2021-11-23T00:00:00"/>
        <d v="2021-11-24T00:00:00"/>
        <d v="2021-11-25T00:00:00"/>
        <d v="2021-11-27T00:00:00"/>
        <d v="2021-11-29T00:00:00"/>
        <d v="2021-12-01T00:00:00"/>
        <d v="2021-12-02T00:00:00"/>
        <d v="2021-12-04T00:00:00"/>
        <d v="2021-12-05T00:00:00"/>
        <d v="2021-12-13T00:00:00"/>
        <d v="2021-12-17T00:00:00"/>
        <d v="2021-12-18T00:00:00"/>
        <d v="2021-12-20T00:00:00"/>
        <d v="2021-12-22T00:00:00"/>
        <d v="2021-12-24T00:00:00"/>
        <d v="2021-12-27T00:00:00"/>
        <d v="2021-12-29T00:00:00"/>
        <d v="2021-12-30T00:00:00"/>
        <d v="2022-01-01T00:00:00"/>
        <d v="2022-01-12T00:00:00"/>
        <d v="2022-01-13T00:00:00"/>
        <d v="2022-01-14T00:00:00"/>
        <d v="2022-01-17T00:00:00"/>
        <d v="2022-01-18T00:00:00"/>
        <d v="2022-01-25T00:00:00"/>
        <d v="2022-01-26T00:00:00"/>
        <d v="2022-01-28T00:00:00"/>
        <d v="2022-01-31T00:00:00"/>
        <d v="2022-02-05T00:00:00"/>
        <d v="2022-02-07T00:00:00"/>
        <d v="2022-02-09T00:00:00"/>
        <d v="2022-02-11T00:00:00"/>
        <d v="2022-02-12T00:00:00"/>
        <d v="2022-02-14T00:00:00"/>
        <d v="2022-02-18T00:00:00"/>
        <d v="2022-02-19T00:00:00"/>
        <d v="2022-02-21T00:00:00"/>
        <d v="2022-02-22T00:00:00"/>
        <d v="2022-02-23T00:00:00"/>
        <d v="2022-02-24T00:00:00"/>
        <d v="2022-02-26T00:00:00"/>
        <d v="2022-02-28T00:00:00"/>
        <d v="2022-03-01T00:00:00"/>
        <d v="2022-03-02T00:00:00"/>
        <d v="2022-03-05T00:00:00"/>
        <d v="2022-03-07T00:00:00"/>
        <d v="2022-03-10T00:00:00"/>
        <d v="2022-03-11T00:00:00"/>
        <d v="2022-03-12T00:00:00"/>
        <d v="2022-03-13T00:00:00"/>
        <d v="2022-03-17T00:00:00"/>
        <d v="2022-03-19T00:00:00"/>
        <d v="2022-03-22T00:00:00"/>
        <d v="2022-03-23T00:00:00"/>
        <d v="2022-03-24T00:00:00"/>
        <d v="2022-03-25T00:00:00"/>
        <d v="2022-03-27T00:00:00"/>
        <d v="2022-03-30T00:00:00"/>
        <d v="2022-03-31T00:00:00"/>
        <d v="2022-04-01T00:00:00"/>
        <d v="2022-04-02T00:00:00"/>
        <d v="2022-04-07T00:00:00"/>
        <d v="2022-04-09T00:00:00"/>
        <d v="2022-04-13T00:00:00"/>
        <d v="2022-04-14T00:00:00"/>
        <d v="2022-04-15T00:00:00"/>
        <d v="2022-04-18T00:00:00"/>
        <d v="2022-04-19T00:00:00"/>
        <d v="2022-04-20T00:00:00"/>
        <d v="2022-04-23T00:00:00"/>
        <d v="2022-04-25T00:00:00"/>
        <d v="2022-04-30T00:00:00"/>
        <d v="2022-05-03T00:00:00"/>
        <d v="2022-05-05T00:00:00"/>
        <d v="2022-05-07T00:00:00"/>
        <d v="2022-05-10T00:00:00"/>
        <d v="2022-05-13T00:00:00"/>
        <d v="2022-05-14T00:00:00"/>
        <d v="2022-05-17T00:00:00"/>
        <d v="2022-05-18T00:00:00"/>
        <d v="2022-05-19T00:00:00"/>
        <d v="2022-05-20T00:00:00"/>
        <d v="2022-05-24T00:00:00"/>
        <d v="2022-05-25T00:00:00"/>
        <d v="2022-05-27T00:00:00"/>
        <d v="2022-05-29T00:00:00"/>
        <d v="2022-06-05T00:00:00"/>
        <d v="2022-06-06T00:00:00"/>
        <d v="2022-06-08T00:00:00"/>
        <d v="2022-06-09T00:00:00"/>
        <d v="2022-06-10T00:00:00"/>
        <d v="2022-06-11T00:00:00"/>
        <d v="2022-06-13T00:00:00"/>
        <d v="2022-06-14T00:00:00"/>
        <d v="2022-06-15T00:00:00"/>
        <d v="2022-06-16T00:00:00"/>
        <d v="2022-06-18T00:00:00"/>
        <d v="2022-06-24T00:00:00"/>
        <d v="2022-06-25T00:00:00"/>
        <d v="2022-06-26T00:00:00"/>
        <d v="2022-06-29T00:00:00"/>
        <d v="2022-07-04T00:00:00"/>
        <d v="2022-07-05T00:00:00"/>
        <d v="2022-07-10T00:00:00"/>
        <d v="2022-07-11T00:00:00"/>
        <d v="2022-07-12T00:00:00"/>
        <d v="2022-07-14T00:00:00"/>
        <d v="2022-07-15T00:00:00"/>
        <d v="2022-07-16T00:00:00"/>
        <d v="2022-07-17T00:00:00"/>
        <d v="2022-07-18T00:00:00"/>
        <d v="2022-07-23T00:00:00"/>
        <d v="2022-07-25T00:00:00"/>
        <d v="2022-07-31T00:00:00"/>
        <d v="2022-08-02T00:00:00"/>
        <d v="2022-08-06T00:00:00"/>
        <d v="2022-08-08T00:00:00"/>
        <d v="2022-08-09T00:00:00"/>
        <d v="2022-08-11T00:00:00"/>
        <d v="2022-08-12T00:00:00"/>
        <d v="2022-08-22T00:00:00"/>
        <d v="2022-08-24T00:00:00"/>
        <d v="2022-08-30T00:00:00"/>
        <d v="2022-08-31T00:00:00"/>
        <d v="2022-09-01T00:00:00"/>
        <d v="2022-09-03T00:00:00"/>
        <d v="2022-09-04T00:00:00"/>
        <d v="2022-09-06T00:00:00"/>
        <d v="2022-09-08T00:00:00"/>
        <d v="2022-09-11T00:00:00"/>
        <d v="2022-09-12T00:00:00"/>
        <d v="2022-09-16T00:00:00"/>
        <d v="2022-09-17T00:00:00"/>
        <d v="2022-09-18T00:00:00"/>
        <d v="2022-09-20T00:00:00"/>
        <d v="2022-09-22T00:00:00"/>
        <d v="2022-09-23T00:00:00"/>
        <d v="2022-09-27T00:00:00"/>
        <d v="2022-09-29T00:00:00"/>
        <d v="2022-10-01T00:00:00"/>
        <d v="2022-10-03T00:00:00"/>
        <d v="2022-10-04T00:00:00"/>
        <d v="2022-10-05T00:00:00"/>
        <d v="2022-10-10T00:00:00"/>
        <d v="2022-10-12T00:00:00"/>
        <d v="2022-10-16T00:00:00"/>
        <d v="2021-01-02T00:00:00"/>
        <d v="2021-01-03T00:00:00"/>
        <d v="2021-01-04T00:00:00"/>
        <d v="2021-01-17T00:00:00"/>
        <d v="2021-01-19T00:00:00"/>
        <d v="2021-01-23T00:00:00"/>
        <d v="2021-01-27T00:00:00"/>
        <d v="2021-02-06T00:00:00"/>
        <d v="2021-02-16T00:00:00"/>
        <d v="2021-02-20T00:00:00"/>
        <d v="2021-02-21T00:00:00"/>
        <d v="2021-02-28T00:00:00"/>
        <d v="2021-03-04T00:00:00"/>
        <d v="2021-03-06T00:00:00"/>
        <d v="2021-03-14T00:00:00"/>
        <d v="2021-03-17T00:00:00"/>
        <d v="2021-03-24T00:00:00"/>
        <d v="2021-03-27T00:00:00"/>
        <d v="2021-03-28T00:00:00"/>
        <d v="2021-04-05T00:00:00"/>
        <d v="2021-04-06T00:00:00"/>
        <d v="2021-04-07T00:00:00"/>
        <d v="2021-04-13T00:00:00"/>
        <d v="2021-04-15T00:00:00"/>
        <d v="2021-04-23T00:00:00"/>
        <d v="2021-04-24T00:00:00"/>
        <d v="2021-04-29T00:00:00"/>
        <d v="2021-05-02T00:00:00"/>
        <d v="2021-05-06T00:00:00"/>
        <d v="2021-05-12T00:00:00"/>
        <d v="2021-05-21T00:00:00"/>
        <d v="2021-05-24T00:00:00"/>
        <d v="2021-05-25T00:00:00"/>
        <d v="2021-05-27T00:00:00"/>
        <d v="2021-05-30T00:00:00"/>
        <d v="2021-06-01T00:00:00"/>
        <d v="2021-06-02T00:00:00"/>
        <d v="2021-06-14T00:00:00"/>
        <d v="2021-06-15T00:00:00"/>
        <d v="2021-06-18T00:00:00"/>
        <d v="2021-06-25T00:00:00"/>
        <d v="2021-07-01T00:00:00"/>
        <d v="2021-07-03T00:00:00"/>
        <d v="2021-07-07T00:00:00"/>
        <d v="2021-07-16T00:00:00"/>
        <d v="2021-07-18T00:00:00"/>
        <d v="2021-07-19T00:00:00"/>
        <d v="2021-07-26T00:00:00"/>
        <d v="2021-07-28T00:00:00"/>
        <d v="2021-07-30T00:00:00"/>
        <d v="2021-08-01T00:00:00"/>
        <d v="2021-08-02T00:00:00"/>
        <d v="2021-08-03T00:00:00"/>
        <d v="2021-08-05T00:00:00"/>
        <d v="2021-08-07T00:00:00"/>
        <d v="2021-08-09T00:00:00"/>
        <d v="2021-08-14T00:00:00"/>
        <d v="2021-08-18T00:00:00"/>
        <d v="2021-09-14T00:00:00"/>
        <d v="2021-09-19T00:00:00"/>
        <d v="2021-09-20T00:00:00"/>
        <d v="2021-09-21T00:00:00"/>
        <d v="2021-09-23T00:00:00"/>
        <d v="2021-09-25T00:00:00"/>
        <d v="2021-09-29T00:00:00"/>
        <d v="2021-09-30T00:00:00"/>
        <d v="2021-10-02T00:00:00"/>
        <d v="2021-10-04T00:00:00"/>
        <d v="2021-10-05T00:00:00"/>
        <d v="2021-10-10T00:00:00"/>
        <d v="2021-10-11T00:00:00"/>
        <d v="2021-10-12T00:00:00"/>
        <d v="2021-10-13T00:00:00"/>
        <d v="2021-10-14T00:00:00"/>
        <d v="2021-10-20T00:00:00"/>
        <d v="2021-11-15T00:00:00"/>
        <d v="2021-11-17T00:00:00"/>
        <d v="2021-11-26T00:00:00"/>
        <d v="2021-11-28T00:00:00"/>
        <d v="2021-12-03T00:00:00"/>
        <d v="2021-12-07T00:00:00"/>
        <d v="2021-12-09T00:00:00"/>
        <d v="2021-12-10T00:00:00"/>
        <d v="2021-12-11T00:00:00"/>
        <d v="2021-12-12T00:00:00"/>
        <d v="2021-12-14T00:00:00"/>
        <d v="2021-12-15T00:00:00"/>
        <d v="2021-12-16T00:00:00"/>
        <d v="2021-12-23T00:00:00"/>
        <d v="2021-12-25T00:00:00"/>
        <d v="2021-12-26T00:00:00"/>
        <d v="2022-01-03T00:00:00"/>
        <d v="2022-01-05T00:00:00"/>
        <d v="2022-01-06T00:00:00"/>
        <d v="2022-01-07T00:00:00"/>
        <d v="2022-01-15T00:00:00"/>
        <d v="2022-01-21T00:00:00"/>
        <d v="2022-01-22T00:00:00"/>
        <d v="2022-01-27T00:00:00"/>
        <d v="2022-01-29T00:00:00"/>
        <d v="2022-02-01T00:00:00"/>
        <d v="2022-02-02T00:00:00"/>
        <d v="2022-02-04T00:00:00"/>
        <d v="2022-02-06T00:00:00"/>
        <d v="2022-02-15T00:00:00"/>
        <d v="2022-02-17T00:00:00"/>
        <d v="2022-02-20T00:00:00"/>
        <d v="2022-03-03T00:00:00"/>
        <d v="2022-03-04T00:00:00"/>
        <d v="2022-03-20T00:00:00"/>
        <d v="2022-03-26T00:00:00"/>
        <d v="2022-03-28T00:00:00"/>
        <d v="2022-04-04T00:00:00"/>
        <d v="2022-04-05T00:00:00"/>
        <d v="2022-04-06T00:00:00"/>
        <d v="2022-04-12T00:00:00"/>
        <d v="2022-04-21T00:00:00"/>
        <d v="2022-04-24T00:00:00"/>
        <d v="2022-04-26T00:00:00"/>
        <d v="2022-04-27T00:00:00"/>
        <d v="2022-05-01T00:00:00"/>
        <d v="2022-05-02T00:00:00"/>
        <d v="2022-05-09T00:00:00"/>
        <d v="2022-05-12T00:00:00"/>
        <d v="2022-05-16T00:00:00"/>
        <d v="2022-05-21T00:00:00"/>
        <d v="2022-05-22T00:00:00"/>
        <d v="2022-05-26T00:00:00"/>
        <d v="2022-05-30T00:00:00"/>
        <d v="2022-06-01T00:00:00"/>
        <d v="2022-06-02T00:00:00"/>
        <d v="2022-06-17T00:00:00"/>
        <d v="2022-06-28T00:00:00"/>
        <d v="2022-07-03T00:00:00"/>
        <d v="2022-07-20T00:00:00"/>
        <d v="2022-07-21T00:00:00"/>
        <d v="2022-08-05T00:00:00"/>
        <d v="2022-08-07T00:00:00"/>
        <d v="2022-08-14T00:00:00"/>
        <d v="2022-08-18T00:00:00"/>
        <d v="2022-08-19T00:00:00"/>
        <d v="2022-08-20T00:00:00"/>
        <d v="2022-08-21T00:00:00"/>
        <d v="2022-09-02T00:00:00"/>
        <d v="2022-09-19T00:00:00"/>
        <d v="2022-09-21T00:00:00"/>
        <d v="2022-09-25T00:00:00"/>
        <d v="2022-09-26T00:00:00"/>
        <d v="2022-10-02T00:00:00"/>
        <d v="2022-10-06T00:00:00"/>
        <d v="2022-10-09T00:00:00"/>
        <d v="2022-10-13T00:00:00"/>
        <d v="2021-01-01T00:00:00"/>
        <d v="2021-01-20T00:00:00"/>
        <d v="2021-01-21T00:00:00"/>
        <d v="2021-01-30T00:00:00"/>
        <d v="2021-02-07T00:00:00"/>
        <d v="2021-02-09T00:00:00"/>
        <d v="2021-02-10T00:00:00"/>
        <d v="2021-02-15T00:00:00"/>
        <d v="2021-02-22T00:00:00"/>
        <d v="2021-02-27T00:00:00"/>
        <d v="2021-03-03T00:00:00"/>
        <d v="2021-03-05T00:00:00"/>
        <d v="2021-03-07T00:00:00"/>
        <d v="2021-03-19T00:00:00"/>
        <d v="2021-03-21T00:00:00"/>
        <d v="2021-03-30T00:00:00"/>
        <d v="2021-04-08T00:00:00"/>
        <d v="2021-04-09T00:00:00"/>
        <d v="2021-04-30T00:00:00"/>
        <d v="2021-05-08T00:00:00"/>
        <d v="2021-05-10T00:00:00"/>
        <d v="2021-05-13T00:00:00"/>
        <d v="2021-05-28T00:00:00"/>
        <d v="2021-06-05T00:00:00"/>
        <d v="2021-06-06T00:00:00"/>
        <d v="2021-06-07T00:00:00"/>
        <d v="2021-06-10T00:00:00"/>
        <d v="2021-07-10T00:00:00"/>
        <d v="2021-07-29T00:00:00"/>
        <d v="2021-07-31T00:00:00"/>
        <d v="2021-08-13T00:00:00"/>
        <d v="2021-08-17T00:00:00"/>
        <d v="2021-08-23T00:00:00"/>
        <d v="2021-08-30T00:00:00"/>
        <d v="2021-09-06T00:00:00"/>
        <d v="2021-09-12T00:00:00"/>
        <d v="2021-09-17T00:00:00"/>
        <d v="2021-09-27T00:00:00"/>
        <d v="2021-10-07T00:00:00"/>
        <d v="2021-10-17T00:00:00"/>
        <d v="2021-10-19T00:00:00"/>
        <d v="2021-10-24T00:00:00"/>
        <d v="2021-10-25T00:00:00"/>
        <d v="2021-10-28T00:00:00"/>
        <d v="2021-11-01T00:00:00"/>
        <d v="2021-11-05T00:00:00"/>
        <d v="2021-11-11T00:00:00"/>
        <d v="2021-11-12T00:00:00"/>
        <d v="2021-11-13T00:00:00"/>
        <d v="2021-11-14T00:00:00"/>
        <d v="2021-11-18T00:00:00"/>
        <d v="2021-12-06T00:00:00"/>
        <d v="2021-12-31T00:00:00"/>
        <d v="2022-01-02T00:00:00"/>
        <d v="2022-01-10T00:00:00"/>
        <d v="2022-01-11T00:00:00"/>
        <d v="2022-01-16T00:00:00"/>
        <d v="2022-02-03T00:00:00"/>
        <d v="2022-02-10T00:00:00"/>
        <d v="2022-02-13T00:00:00"/>
        <d v="2022-02-16T00:00:00"/>
        <d v="2022-02-27T00:00:00"/>
        <d v="2022-03-09T00:00:00"/>
        <d v="2022-03-15T00:00:00"/>
        <d v="2022-03-21T00:00:00"/>
        <d v="2022-03-29T00:00:00"/>
        <d v="2022-04-10T00:00:00"/>
        <d v="2022-04-11T00:00:00"/>
        <d v="2022-05-08T00:00:00"/>
        <d v="2022-05-11T00:00:00"/>
        <d v="2022-05-15T00:00:00"/>
        <d v="2022-05-28T00:00:00"/>
        <d v="2022-06-19T00:00:00"/>
        <d v="2022-06-21T00:00:00"/>
        <d v="2022-06-22T00:00:00"/>
        <d v="2022-07-02T00:00:00"/>
        <d v="2022-07-07T00:00:00"/>
        <d v="2022-07-13T00:00:00"/>
        <d v="2022-07-22T00:00:00"/>
        <d v="2022-07-27T00:00:00"/>
        <d v="2022-07-28T00:00:00"/>
        <d v="2022-07-29T00:00:00"/>
        <d v="2022-07-30T00:00:00"/>
        <d v="2022-08-03T00:00:00"/>
        <d v="2022-08-04T00:00:00"/>
        <d v="2022-08-10T00:00:00"/>
        <d v="2022-08-13T00:00:00"/>
        <d v="2022-08-16T00:00:00"/>
        <d v="2022-08-17T00:00:00"/>
        <d v="2022-09-05T00:00:00"/>
        <d v="2022-09-07T00:00:00"/>
        <d v="2022-09-10T00:00:00"/>
        <d v="2022-09-13T00:00:00"/>
        <d v="2022-09-14T00:00:00"/>
        <d v="2022-09-15T00:00:00"/>
        <d v="2022-09-28T00:00:00"/>
        <d v="2022-10-08T00:00:00"/>
        <d v="2022-10-11T00:00:00"/>
        <d v="2022-10-14T00:00:00"/>
        <d v="2021-01-16T00:00:00"/>
        <d v="2021-02-12T00:00:00"/>
        <d v="2021-02-17T00:00:00"/>
        <d v="2021-02-18T00:00:00"/>
        <d v="2021-03-01T00:00:00"/>
        <d v="2021-03-02T00:00:00"/>
        <d v="2021-03-09T00:00:00"/>
        <d v="2021-03-22T00:00:00"/>
        <d v="2021-03-23T00:00:00"/>
        <d v="2021-03-29T00:00:00"/>
        <d v="2021-04-04T00:00:00"/>
        <d v="2021-04-16T00:00:00"/>
        <d v="2021-04-26T00:00:00"/>
        <d v="2021-05-11T00:00:00"/>
        <d v="2021-06-17T00:00:00"/>
        <d v="2021-06-20T00:00:00"/>
        <d v="2021-06-29T00:00:00"/>
        <d v="2021-07-04T00:00:00"/>
        <d v="2021-07-09T00:00:00"/>
        <d v="2021-07-20T00:00:00"/>
        <d v="2021-07-25T00:00:00"/>
        <d v="2021-08-04T00:00:00"/>
        <d v="2021-08-06T00:00:00"/>
        <d v="2021-08-24T00:00:00"/>
        <d v="2021-10-03T00:00:00"/>
        <d v="2021-11-02T00:00:00"/>
        <d v="2021-11-04T00:00:00"/>
        <d v="2021-11-06T00:00:00"/>
        <d v="2021-11-30T00:00:00"/>
        <d v="2021-12-19T00:00:00"/>
        <d v="2021-12-21T00:00:00"/>
        <d v="2022-01-04T00:00:00"/>
        <d v="2022-01-08T00:00:00"/>
        <d v="2022-01-09T00:00:00"/>
        <d v="2022-01-19T00:00:00"/>
        <d v="2022-01-20T00:00:00"/>
        <d v="2022-01-23T00:00:00"/>
        <d v="2022-01-24T00:00:00"/>
        <d v="2022-01-30T00:00:00"/>
        <d v="2022-02-08T00:00:00"/>
        <d v="2022-03-06T00:00:00"/>
        <d v="2022-03-14T00:00:00"/>
        <d v="2022-03-18T00:00:00"/>
        <d v="2022-04-03T00:00:00"/>
        <d v="2022-04-08T00:00:00"/>
        <d v="2022-04-22T00:00:00"/>
        <d v="2022-04-29T00:00:00"/>
        <d v="2022-05-23T00:00:00"/>
        <d v="2022-06-04T00:00:00"/>
        <d v="2022-06-12T00:00:00"/>
        <d v="2022-06-20T00:00:00"/>
        <d v="2022-06-23T00:00:00"/>
        <d v="2022-06-30T00:00:00"/>
        <d v="2022-07-06T00:00:00"/>
        <d v="2022-07-09T00:00:00"/>
        <d v="2022-07-19T00:00:00"/>
        <d v="2022-07-26T00:00:00"/>
        <d v="2022-08-01T00:00:00"/>
        <d v="2022-08-15T00:00:00"/>
        <d v="2022-08-23T00:00:00"/>
        <d v="2022-08-25T00:00:00"/>
        <d v="2022-08-29T00:00:00"/>
        <d v="2022-09-24T00:00:00"/>
        <d v="2022-10-07T00:00:00"/>
        <d v="2022-10-15T00:00:00"/>
        <d v="2021-01-06T00:00:00"/>
        <d v="2021-01-10T00:00:00"/>
        <d v="2021-01-14T00:00:00"/>
        <d v="2021-01-31T00:00:00"/>
        <d v="2021-02-01T00:00:00"/>
        <d v="2021-02-14T00:00:00"/>
        <d v="2021-03-10T00:00:00"/>
        <d v="2021-04-01T00:00:00"/>
        <d v="2021-04-03T00:00:00"/>
        <d v="2021-04-10T00:00:00"/>
        <d v="2021-04-11T00:00:00"/>
        <d v="2021-04-18T00:00:00"/>
        <d v="2021-04-27T00:00:00"/>
        <d v="2021-05-01T00:00:00"/>
        <d v="2021-05-04T00:00:00"/>
        <d v="2021-05-07T00:00:00"/>
        <d v="2021-05-14T00:00:00"/>
        <d v="2021-05-31T00:00:00"/>
        <d v="2021-06-23T00:00:00"/>
        <d v="2021-06-27T00:00:00"/>
        <d v="2021-07-02T00:00:00"/>
        <d v="2021-07-05T00:00:00"/>
        <d v="2021-07-12T00:00:00"/>
        <d v="2021-07-23T00:00:00"/>
        <d v="2021-08-15T00:00:00"/>
        <d v="2021-08-28T00:00:00"/>
        <d v="2021-09-02T00:00:00"/>
        <d v="2021-09-04T00:00:00"/>
        <d v="2021-09-16T00:00:00"/>
        <d v="2021-09-26T00:00:00"/>
        <d v="2021-10-21T00:00:00"/>
        <d v="2021-12-08T00:00:00"/>
        <d v="2021-12-28T00:00:00"/>
        <d v="2022-02-25T00:00:00"/>
        <d v="2022-03-08T00:00:00"/>
        <d v="2022-03-16T00:00:00"/>
        <d v="2022-04-16T00:00:00"/>
        <d v="2022-04-17T00:00:00"/>
        <d v="2022-04-28T00:00:00"/>
        <d v="2022-05-04T00:00:00"/>
        <d v="2022-05-06T00:00:00"/>
        <d v="2022-05-31T00:00:00"/>
        <d v="2022-06-03T00:00:00"/>
        <d v="2022-06-07T00:00:00"/>
        <d v="2022-06-27T00:00:00"/>
        <d v="2022-07-01T00:00:00"/>
        <d v="2022-07-08T00:00:00"/>
        <d v="2022-07-24T00:00:00"/>
        <d v="2022-08-26T00:00:00"/>
        <d v="2022-08-27T00:00:00"/>
        <d v="2022-08-28T00:00:00"/>
        <d v="2022-09-09T00:00:00"/>
        <d v="2022-09-30T00:00:00"/>
      </sharedItems>
      <fieldGroup par="14"/>
    </cacheField>
    <cacheField name="Customer ID" numFmtId="0">
      <sharedItems containsSemiMixedTypes="0" containsString="0" containsNumber="1" containsInteger="1" minValue="1" maxValue="20"/>
    </cacheField>
    <cacheField name="Customer Name" numFmtId="0">
      <sharedItems/>
    </cacheField>
    <cacheField name="Sales Person" numFmtId="0">
      <sharedItems count="8">
        <s v="Andrew James"/>
        <s v="Laura Larsen"/>
        <s v="Anna Weber"/>
        <s v="Michael Fox"/>
        <s v="Ben Wallace"/>
        <s v="Anne Lee"/>
        <s v="Oscar Knox"/>
        <s v="Kim Fishman"/>
      </sharedItems>
    </cacheField>
    <cacheField name="Manager" numFmtId="0">
      <sharedItems/>
    </cacheField>
    <cacheField name="Region" numFmtId="0">
      <sharedItems count="4">
        <s v="Arizona"/>
        <s v="California"/>
        <s v="Texas"/>
        <s v="New Mexico"/>
      </sharedItems>
    </cacheField>
    <cacheField name="Product_Type" numFmtId="0">
      <sharedItems count="5">
        <s v="Product 1"/>
        <s v="Product 5"/>
        <s v="Product 2"/>
        <s v="Product 4"/>
        <s v="Product 3"/>
      </sharedItems>
    </cacheField>
    <cacheField name="Price" numFmtId="0">
      <sharedItems containsSemiMixedTypes="0" containsString="0" containsNumber="1" containsInteger="1" minValue="69" maxValue="399"/>
    </cacheField>
    <cacheField name="Quantity" numFmtId="0">
      <sharedItems containsSemiMixedTypes="0" containsString="0" containsNumber="1" containsInteger="1" minValue="0" maxValue="9"/>
    </cacheField>
    <cacheField name="Revenue" numFmtId="0">
      <sharedItems containsSemiMixedTypes="0" containsString="0" containsNumber="1" containsInteger="1" minValue="0" maxValue="3591"/>
    </cacheField>
    <cacheField name="Tenure_IM" numFmtId="0">
      <sharedItems containsSemiMixedTypes="0" containsString="0" containsNumber="1" containsInteger="1" minValue="0" maxValue="8"/>
    </cacheField>
    <cacheField name="Months (Order Date)" numFmtId="0" databaseField="0">
      <fieldGroup base="1">
        <rangePr groupBy="months" startDate="2021-01-01T00:00:00" endDate="2022-10-17T00:00:00"/>
        <groupItems count="14">
          <s v="&lt;01-01-2021"/>
          <s v="Jan"/>
          <s v="Feb"/>
          <s v="Mar"/>
          <s v="Apr"/>
          <s v="May"/>
          <s v="Jun"/>
          <s v="Jul"/>
          <s v="Aug"/>
          <s v="Sep"/>
          <s v="Oct"/>
          <s v="Nov"/>
          <s v="Dec"/>
          <s v="&gt;17-10-2022"/>
        </groupItems>
      </fieldGroup>
    </cacheField>
    <cacheField name="Quarters (Order Date)" numFmtId="0" databaseField="0">
      <fieldGroup base="1">
        <rangePr groupBy="quarters" startDate="2021-01-01T00:00:00" endDate="2022-10-17T00:00:00"/>
        <groupItems count="6">
          <s v="&lt;01-01-2021"/>
          <s v="Qtr1"/>
          <s v="Qtr2"/>
          <s v="Qtr3"/>
          <s v="Qtr4"/>
          <s v="&gt;17-10-2022"/>
        </groupItems>
      </fieldGroup>
    </cacheField>
    <cacheField name="Years (Order Date)" numFmtId="0" databaseField="0">
      <fieldGroup base="1">
        <rangePr groupBy="years" startDate="2021-01-01T00:00:00" endDate="2022-10-17T00:00:00"/>
        <groupItems count="4">
          <s v="&lt;01-01-2021"/>
          <s v="2021"/>
          <s v="2022"/>
          <s v="&gt;17-10-2022"/>
        </groupItems>
      </fieldGroup>
    </cacheField>
  </cacheFields>
  <extLst>
    <ext xmlns:x14="http://schemas.microsoft.com/office/spreadsheetml/2009/9/main" uri="{725AE2AE-9491-48be-B2B4-4EB974FC3084}">
      <x14:pivotCacheDefinition pivotCacheId="21429798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76.643420370368" createdVersion="7" refreshedVersion="7" minRefreshableVersion="3" recordCount="2000" xr:uid="{24759E1D-9491-44F1-A211-206443B156D6}">
  <cacheSource type="worksheet">
    <worksheetSource ref="A1:L2001" sheet="Sales_Data"/>
  </cacheSource>
  <cacheFields count="12">
    <cacheField name="Order ID" numFmtId="2">
      <sharedItems/>
    </cacheField>
    <cacheField name="Order Date" numFmtId="14">
      <sharedItems containsSemiMixedTypes="0" containsNonDate="0" containsDate="1" containsString="0" minDate="2021-01-01T00:00:00" maxDate="2022-10-17T00:00:00" count="654">
        <d v="2021-01-05T00:00:00"/>
        <d v="2021-01-07T00:00:00"/>
        <d v="2021-01-08T00:00:00"/>
        <d v="2021-01-09T00:00:00"/>
        <d v="2021-01-11T00:00:00"/>
        <d v="2021-01-12T00:00:00"/>
        <d v="2021-01-13T00:00:00"/>
        <d v="2021-01-15T00:00:00"/>
        <d v="2021-01-18T00:00:00"/>
        <d v="2021-01-22T00:00:00"/>
        <d v="2021-01-24T00:00:00"/>
        <d v="2021-01-25T00:00:00"/>
        <d v="2021-01-26T00:00:00"/>
        <d v="2021-01-28T00:00:00"/>
        <d v="2021-01-29T00:00:00"/>
        <d v="2021-02-02T00:00:00"/>
        <d v="2021-02-03T00:00:00"/>
        <d v="2021-02-04T00:00:00"/>
        <d v="2021-02-05T00:00:00"/>
        <d v="2021-02-08T00:00:00"/>
        <d v="2021-02-11T00:00:00"/>
        <d v="2021-02-13T00:00:00"/>
        <d v="2021-02-19T00:00:00"/>
        <d v="2021-02-23T00:00:00"/>
        <d v="2021-02-24T00:00:00"/>
        <d v="2021-02-25T00:00:00"/>
        <d v="2021-02-26T00:00:00"/>
        <d v="2021-03-08T00:00:00"/>
        <d v="2021-03-11T00:00:00"/>
        <d v="2021-03-12T00:00:00"/>
        <d v="2021-03-13T00:00:00"/>
        <d v="2021-03-15T00:00:00"/>
        <d v="2021-03-16T00:00:00"/>
        <d v="2021-03-18T00:00:00"/>
        <d v="2021-03-20T00:00:00"/>
        <d v="2021-03-25T00:00:00"/>
        <d v="2021-03-26T00:00:00"/>
        <d v="2021-03-31T00:00:00"/>
        <d v="2021-04-02T00:00:00"/>
        <d v="2021-04-12T00:00:00"/>
        <d v="2021-04-14T00:00:00"/>
        <d v="2021-04-17T00:00:00"/>
        <d v="2021-04-19T00:00:00"/>
        <d v="2021-04-20T00:00:00"/>
        <d v="2021-04-21T00:00:00"/>
        <d v="2021-04-22T00:00:00"/>
        <d v="2021-04-25T00:00:00"/>
        <d v="2021-04-28T00:00:00"/>
        <d v="2021-05-03T00:00:00"/>
        <d v="2021-05-05T00:00:00"/>
        <d v="2021-05-09T00:00:00"/>
        <d v="2021-05-15T00:00:00"/>
        <d v="2021-05-16T00:00:00"/>
        <d v="2021-05-17T00:00:00"/>
        <d v="2021-05-18T00:00:00"/>
        <d v="2021-05-19T00:00:00"/>
        <d v="2021-05-20T00:00:00"/>
        <d v="2021-05-22T00:00:00"/>
        <d v="2021-05-23T00:00:00"/>
        <d v="2021-05-26T00:00:00"/>
        <d v="2021-05-29T00:00:00"/>
        <d v="2021-06-03T00:00:00"/>
        <d v="2021-06-04T00:00:00"/>
        <d v="2021-06-08T00:00:00"/>
        <d v="2021-06-09T00:00:00"/>
        <d v="2021-06-11T00:00:00"/>
        <d v="2021-06-12T00:00:00"/>
        <d v="2021-06-13T00:00:00"/>
        <d v="2021-06-16T00:00:00"/>
        <d v="2021-06-19T00:00:00"/>
        <d v="2021-06-21T00:00:00"/>
        <d v="2021-06-22T00:00:00"/>
        <d v="2021-06-24T00:00:00"/>
        <d v="2021-06-26T00:00:00"/>
        <d v="2021-06-28T00:00:00"/>
        <d v="2021-06-30T00:00:00"/>
        <d v="2021-07-06T00:00:00"/>
        <d v="2021-07-08T00:00:00"/>
        <d v="2021-07-11T00:00:00"/>
        <d v="2021-07-13T00:00:00"/>
        <d v="2021-07-14T00:00:00"/>
        <d v="2021-07-15T00:00:00"/>
        <d v="2021-07-17T00:00:00"/>
        <d v="2021-07-21T00:00:00"/>
        <d v="2021-07-22T00:00:00"/>
        <d v="2021-07-24T00:00:00"/>
        <d v="2021-07-27T00:00:00"/>
        <d v="2021-08-08T00:00:00"/>
        <d v="2021-08-10T00:00:00"/>
        <d v="2021-08-11T00:00:00"/>
        <d v="2021-08-12T00:00:00"/>
        <d v="2021-08-16T00:00:00"/>
        <d v="2021-08-19T00:00:00"/>
        <d v="2021-08-20T00:00:00"/>
        <d v="2021-08-21T00:00:00"/>
        <d v="2021-08-22T00:00:00"/>
        <d v="2021-08-25T00:00:00"/>
        <d v="2021-08-26T00:00:00"/>
        <d v="2021-08-27T00:00:00"/>
        <d v="2021-08-29T00:00:00"/>
        <d v="2021-08-31T00:00:00"/>
        <d v="2021-09-01T00:00:00"/>
        <d v="2021-09-03T00:00:00"/>
        <d v="2021-09-05T00:00:00"/>
        <d v="2021-09-07T00:00:00"/>
        <d v="2021-09-08T00:00:00"/>
        <d v="2021-09-09T00:00:00"/>
        <d v="2021-09-10T00:00:00"/>
        <d v="2021-09-11T00:00:00"/>
        <d v="2021-09-13T00:00:00"/>
        <d v="2021-09-15T00:00:00"/>
        <d v="2021-09-18T00:00:00"/>
        <d v="2021-09-22T00:00:00"/>
        <d v="2021-09-24T00:00:00"/>
        <d v="2021-09-28T00:00:00"/>
        <d v="2021-10-01T00:00:00"/>
        <d v="2021-10-06T00:00:00"/>
        <d v="2021-10-08T00:00:00"/>
        <d v="2021-10-09T00:00:00"/>
        <d v="2021-10-15T00:00:00"/>
        <d v="2021-10-16T00:00:00"/>
        <d v="2021-10-18T00:00:00"/>
        <d v="2021-10-22T00:00:00"/>
        <d v="2021-10-23T00:00:00"/>
        <d v="2021-10-26T00:00:00"/>
        <d v="2021-10-27T00:00:00"/>
        <d v="2021-10-29T00:00:00"/>
        <d v="2021-10-30T00:00:00"/>
        <d v="2021-10-31T00:00:00"/>
        <d v="2021-11-03T00:00:00"/>
        <d v="2021-11-07T00:00:00"/>
        <d v="2021-11-08T00:00:00"/>
        <d v="2021-11-09T00:00:00"/>
        <d v="2021-11-10T00:00:00"/>
        <d v="2021-11-16T00:00:00"/>
        <d v="2021-11-19T00:00:00"/>
        <d v="2021-11-20T00:00:00"/>
        <d v="2021-11-21T00:00:00"/>
        <d v="2021-11-22T00:00:00"/>
        <d v="2021-11-23T00:00:00"/>
        <d v="2021-11-24T00:00:00"/>
        <d v="2021-11-25T00:00:00"/>
        <d v="2021-11-27T00:00:00"/>
        <d v="2021-11-29T00:00:00"/>
        <d v="2021-12-01T00:00:00"/>
        <d v="2021-12-02T00:00:00"/>
        <d v="2021-12-04T00:00:00"/>
        <d v="2021-12-05T00:00:00"/>
        <d v="2021-12-13T00:00:00"/>
        <d v="2021-12-17T00:00:00"/>
        <d v="2021-12-18T00:00:00"/>
        <d v="2021-12-20T00:00:00"/>
        <d v="2021-12-22T00:00:00"/>
        <d v="2021-12-24T00:00:00"/>
        <d v="2021-12-27T00:00:00"/>
        <d v="2021-12-29T00:00:00"/>
        <d v="2021-12-30T00:00:00"/>
        <d v="2022-01-01T00:00:00"/>
        <d v="2022-01-12T00:00:00"/>
        <d v="2022-01-13T00:00:00"/>
        <d v="2022-01-14T00:00:00"/>
        <d v="2022-01-17T00:00:00"/>
        <d v="2022-01-18T00:00:00"/>
        <d v="2022-01-25T00:00:00"/>
        <d v="2022-01-26T00:00:00"/>
        <d v="2022-01-28T00:00:00"/>
        <d v="2022-01-31T00:00:00"/>
        <d v="2022-02-05T00:00:00"/>
        <d v="2022-02-07T00:00:00"/>
        <d v="2022-02-09T00:00:00"/>
        <d v="2022-02-11T00:00:00"/>
        <d v="2022-02-12T00:00:00"/>
        <d v="2022-02-14T00:00:00"/>
        <d v="2022-02-18T00:00:00"/>
        <d v="2022-02-19T00:00:00"/>
        <d v="2022-02-21T00:00:00"/>
        <d v="2022-02-22T00:00:00"/>
        <d v="2022-02-23T00:00:00"/>
        <d v="2022-02-24T00:00:00"/>
        <d v="2022-02-26T00:00:00"/>
        <d v="2022-02-28T00:00:00"/>
        <d v="2022-03-01T00:00:00"/>
        <d v="2022-03-02T00:00:00"/>
        <d v="2022-03-05T00:00:00"/>
        <d v="2022-03-07T00:00:00"/>
        <d v="2022-03-10T00:00:00"/>
        <d v="2022-03-11T00:00:00"/>
        <d v="2022-03-12T00:00:00"/>
        <d v="2022-03-13T00:00:00"/>
        <d v="2022-03-17T00:00:00"/>
        <d v="2022-03-19T00:00:00"/>
        <d v="2022-03-22T00:00:00"/>
        <d v="2022-03-23T00:00:00"/>
        <d v="2022-03-24T00:00:00"/>
        <d v="2022-03-25T00:00:00"/>
        <d v="2022-03-27T00:00:00"/>
        <d v="2022-03-30T00:00:00"/>
        <d v="2022-03-31T00:00:00"/>
        <d v="2022-04-01T00:00:00"/>
        <d v="2022-04-02T00:00:00"/>
        <d v="2022-04-07T00:00:00"/>
        <d v="2022-04-09T00:00:00"/>
        <d v="2022-04-13T00:00:00"/>
        <d v="2022-04-14T00:00:00"/>
        <d v="2022-04-15T00:00:00"/>
        <d v="2022-04-18T00:00:00"/>
        <d v="2022-04-19T00:00:00"/>
        <d v="2022-04-20T00:00:00"/>
        <d v="2022-04-23T00:00:00"/>
        <d v="2022-04-25T00:00:00"/>
        <d v="2022-04-30T00:00:00"/>
        <d v="2022-05-03T00:00:00"/>
        <d v="2022-05-05T00:00:00"/>
        <d v="2022-05-07T00:00:00"/>
        <d v="2022-05-10T00:00:00"/>
        <d v="2022-05-13T00:00:00"/>
        <d v="2022-05-14T00:00:00"/>
        <d v="2022-05-17T00:00:00"/>
        <d v="2022-05-18T00:00:00"/>
        <d v="2022-05-19T00:00:00"/>
        <d v="2022-05-20T00:00:00"/>
        <d v="2022-05-24T00:00:00"/>
        <d v="2022-05-25T00:00:00"/>
        <d v="2022-05-27T00:00:00"/>
        <d v="2022-05-29T00:00:00"/>
        <d v="2022-06-05T00:00:00"/>
        <d v="2022-06-06T00:00:00"/>
        <d v="2022-06-08T00:00:00"/>
        <d v="2022-06-09T00:00:00"/>
        <d v="2022-06-10T00:00:00"/>
        <d v="2022-06-11T00:00:00"/>
        <d v="2022-06-13T00:00:00"/>
        <d v="2022-06-14T00:00:00"/>
        <d v="2022-06-15T00:00:00"/>
        <d v="2022-06-16T00:00:00"/>
        <d v="2022-06-18T00:00:00"/>
        <d v="2022-06-24T00:00:00"/>
        <d v="2022-06-25T00:00:00"/>
        <d v="2022-06-26T00:00:00"/>
        <d v="2022-06-29T00:00:00"/>
        <d v="2022-07-04T00:00:00"/>
        <d v="2022-07-05T00:00:00"/>
        <d v="2022-07-10T00:00:00"/>
        <d v="2022-07-11T00:00:00"/>
        <d v="2022-07-12T00:00:00"/>
        <d v="2022-07-14T00:00:00"/>
        <d v="2022-07-15T00:00:00"/>
        <d v="2022-07-16T00:00:00"/>
        <d v="2022-07-17T00:00:00"/>
        <d v="2022-07-18T00:00:00"/>
        <d v="2022-07-23T00:00:00"/>
        <d v="2022-07-25T00:00:00"/>
        <d v="2022-07-31T00:00:00"/>
        <d v="2022-08-02T00:00:00"/>
        <d v="2022-08-06T00:00:00"/>
        <d v="2022-08-08T00:00:00"/>
        <d v="2022-08-09T00:00:00"/>
        <d v="2022-08-11T00:00:00"/>
        <d v="2022-08-12T00:00:00"/>
        <d v="2022-08-22T00:00:00"/>
        <d v="2022-08-24T00:00:00"/>
        <d v="2022-08-30T00:00:00"/>
        <d v="2022-08-31T00:00:00"/>
        <d v="2022-09-01T00:00:00"/>
        <d v="2022-09-03T00:00:00"/>
        <d v="2022-09-04T00:00:00"/>
        <d v="2022-09-06T00:00:00"/>
        <d v="2022-09-08T00:00:00"/>
        <d v="2022-09-11T00:00:00"/>
        <d v="2022-09-12T00:00:00"/>
        <d v="2022-09-16T00:00:00"/>
        <d v="2022-09-17T00:00:00"/>
        <d v="2022-09-18T00:00:00"/>
        <d v="2022-09-20T00:00:00"/>
        <d v="2022-09-22T00:00:00"/>
        <d v="2022-09-23T00:00:00"/>
        <d v="2022-09-27T00:00:00"/>
        <d v="2022-09-29T00:00:00"/>
        <d v="2022-10-01T00:00:00"/>
        <d v="2022-10-03T00:00:00"/>
        <d v="2022-10-04T00:00:00"/>
        <d v="2022-10-05T00:00:00"/>
        <d v="2022-10-10T00:00:00"/>
        <d v="2022-10-12T00:00:00"/>
        <d v="2022-10-16T00:00:00"/>
        <d v="2021-01-02T00:00:00"/>
        <d v="2021-01-03T00:00:00"/>
        <d v="2021-01-04T00:00:00"/>
        <d v="2021-01-17T00:00:00"/>
        <d v="2021-01-19T00:00:00"/>
        <d v="2021-01-23T00:00:00"/>
        <d v="2021-01-27T00:00:00"/>
        <d v="2021-02-06T00:00:00"/>
        <d v="2021-02-16T00:00:00"/>
        <d v="2021-02-20T00:00:00"/>
        <d v="2021-02-21T00:00:00"/>
        <d v="2021-02-28T00:00:00"/>
        <d v="2021-03-04T00:00:00"/>
        <d v="2021-03-06T00:00:00"/>
        <d v="2021-03-14T00:00:00"/>
        <d v="2021-03-17T00:00:00"/>
        <d v="2021-03-24T00:00:00"/>
        <d v="2021-03-27T00:00:00"/>
        <d v="2021-03-28T00:00:00"/>
        <d v="2021-04-05T00:00:00"/>
        <d v="2021-04-06T00:00:00"/>
        <d v="2021-04-07T00:00:00"/>
        <d v="2021-04-13T00:00:00"/>
        <d v="2021-04-15T00:00:00"/>
        <d v="2021-04-23T00:00:00"/>
        <d v="2021-04-24T00:00:00"/>
        <d v="2021-04-29T00:00:00"/>
        <d v="2021-05-02T00:00:00"/>
        <d v="2021-05-06T00:00:00"/>
        <d v="2021-05-12T00:00:00"/>
        <d v="2021-05-21T00:00:00"/>
        <d v="2021-05-24T00:00:00"/>
        <d v="2021-05-25T00:00:00"/>
        <d v="2021-05-27T00:00:00"/>
        <d v="2021-05-30T00:00:00"/>
        <d v="2021-06-01T00:00:00"/>
        <d v="2021-06-02T00:00:00"/>
        <d v="2021-06-14T00:00:00"/>
        <d v="2021-06-15T00:00:00"/>
        <d v="2021-06-18T00:00:00"/>
        <d v="2021-06-25T00:00:00"/>
        <d v="2021-07-01T00:00:00"/>
        <d v="2021-07-03T00:00:00"/>
        <d v="2021-07-07T00:00:00"/>
        <d v="2021-07-16T00:00:00"/>
        <d v="2021-07-18T00:00:00"/>
        <d v="2021-07-19T00:00:00"/>
        <d v="2021-07-26T00:00:00"/>
        <d v="2021-07-28T00:00:00"/>
        <d v="2021-07-30T00:00:00"/>
        <d v="2021-08-01T00:00:00"/>
        <d v="2021-08-02T00:00:00"/>
        <d v="2021-08-03T00:00:00"/>
        <d v="2021-08-05T00:00:00"/>
        <d v="2021-08-07T00:00:00"/>
        <d v="2021-08-09T00:00:00"/>
        <d v="2021-08-14T00:00:00"/>
        <d v="2021-08-18T00:00:00"/>
        <d v="2021-09-14T00:00:00"/>
        <d v="2021-09-19T00:00:00"/>
        <d v="2021-09-20T00:00:00"/>
        <d v="2021-09-21T00:00:00"/>
        <d v="2021-09-23T00:00:00"/>
        <d v="2021-09-25T00:00:00"/>
        <d v="2021-09-29T00:00:00"/>
        <d v="2021-09-30T00:00:00"/>
        <d v="2021-10-02T00:00:00"/>
        <d v="2021-10-04T00:00:00"/>
        <d v="2021-10-05T00:00:00"/>
        <d v="2021-10-10T00:00:00"/>
        <d v="2021-10-11T00:00:00"/>
        <d v="2021-10-12T00:00:00"/>
        <d v="2021-10-13T00:00:00"/>
        <d v="2021-10-14T00:00:00"/>
        <d v="2021-10-20T00:00:00"/>
        <d v="2021-11-15T00:00:00"/>
        <d v="2021-11-17T00:00:00"/>
        <d v="2021-11-26T00:00:00"/>
        <d v="2021-11-28T00:00:00"/>
        <d v="2021-12-03T00:00:00"/>
        <d v="2021-12-07T00:00:00"/>
        <d v="2021-12-09T00:00:00"/>
        <d v="2021-12-10T00:00:00"/>
        <d v="2021-12-11T00:00:00"/>
        <d v="2021-12-12T00:00:00"/>
        <d v="2021-12-14T00:00:00"/>
        <d v="2021-12-15T00:00:00"/>
        <d v="2021-12-16T00:00:00"/>
        <d v="2021-12-23T00:00:00"/>
        <d v="2021-12-25T00:00:00"/>
        <d v="2021-12-26T00:00:00"/>
        <d v="2022-01-03T00:00:00"/>
        <d v="2022-01-05T00:00:00"/>
        <d v="2022-01-06T00:00:00"/>
        <d v="2022-01-07T00:00:00"/>
        <d v="2022-01-15T00:00:00"/>
        <d v="2022-01-21T00:00:00"/>
        <d v="2022-01-22T00:00:00"/>
        <d v="2022-01-27T00:00:00"/>
        <d v="2022-01-29T00:00:00"/>
        <d v="2022-02-01T00:00:00"/>
        <d v="2022-02-02T00:00:00"/>
        <d v="2022-02-04T00:00:00"/>
        <d v="2022-02-06T00:00:00"/>
        <d v="2022-02-15T00:00:00"/>
        <d v="2022-02-17T00:00:00"/>
        <d v="2022-02-20T00:00:00"/>
        <d v="2022-03-03T00:00:00"/>
        <d v="2022-03-04T00:00:00"/>
        <d v="2022-03-20T00:00:00"/>
        <d v="2022-03-26T00:00:00"/>
        <d v="2022-03-28T00:00:00"/>
        <d v="2022-04-04T00:00:00"/>
        <d v="2022-04-05T00:00:00"/>
        <d v="2022-04-06T00:00:00"/>
        <d v="2022-04-12T00:00:00"/>
        <d v="2022-04-21T00:00:00"/>
        <d v="2022-04-24T00:00:00"/>
        <d v="2022-04-26T00:00:00"/>
        <d v="2022-04-27T00:00:00"/>
        <d v="2022-05-01T00:00:00"/>
        <d v="2022-05-02T00:00:00"/>
        <d v="2022-05-09T00:00:00"/>
        <d v="2022-05-12T00:00:00"/>
        <d v="2022-05-16T00:00:00"/>
        <d v="2022-05-21T00:00:00"/>
        <d v="2022-05-22T00:00:00"/>
        <d v="2022-05-26T00:00:00"/>
        <d v="2022-05-30T00:00:00"/>
        <d v="2022-06-01T00:00:00"/>
        <d v="2022-06-02T00:00:00"/>
        <d v="2022-06-17T00:00:00"/>
        <d v="2022-06-28T00:00:00"/>
        <d v="2022-07-03T00:00:00"/>
        <d v="2022-07-20T00:00:00"/>
        <d v="2022-07-21T00:00:00"/>
        <d v="2022-08-05T00:00:00"/>
        <d v="2022-08-07T00:00:00"/>
        <d v="2022-08-14T00:00:00"/>
        <d v="2022-08-18T00:00:00"/>
        <d v="2022-08-19T00:00:00"/>
        <d v="2022-08-20T00:00:00"/>
        <d v="2022-08-21T00:00:00"/>
        <d v="2022-09-02T00:00:00"/>
        <d v="2022-09-19T00:00:00"/>
        <d v="2022-09-21T00:00:00"/>
        <d v="2022-09-25T00:00:00"/>
        <d v="2022-09-26T00:00:00"/>
        <d v="2022-10-02T00:00:00"/>
        <d v="2022-10-06T00:00:00"/>
        <d v="2022-10-09T00:00:00"/>
        <d v="2022-10-13T00:00:00"/>
        <d v="2021-01-01T00:00:00"/>
        <d v="2021-01-20T00:00:00"/>
        <d v="2021-01-21T00:00:00"/>
        <d v="2021-01-30T00:00:00"/>
        <d v="2021-02-07T00:00:00"/>
        <d v="2021-02-09T00:00:00"/>
        <d v="2021-02-10T00:00:00"/>
        <d v="2021-02-15T00:00:00"/>
        <d v="2021-02-22T00:00:00"/>
        <d v="2021-02-27T00:00:00"/>
        <d v="2021-03-03T00:00:00"/>
        <d v="2021-03-05T00:00:00"/>
        <d v="2021-03-07T00:00:00"/>
        <d v="2021-03-19T00:00:00"/>
        <d v="2021-03-21T00:00:00"/>
        <d v="2021-03-30T00:00:00"/>
        <d v="2021-04-08T00:00:00"/>
        <d v="2021-04-09T00:00:00"/>
        <d v="2021-04-30T00:00:00"/>
        <d v="2021-05-08T00:00:00"/>
        <d v="2021-05-10T00:00:00"/>
        <d v="2021-05-13T00:00:00"/>
        <d v="2021-05-28T00:00:00"/>
        <d v="2021-06-05T00:00:00"/>
        <d v="2021-06-06T00:00:00"/>
        <d v="2021-06-07T00:00:00"/>
        <d v="2021-06-10T00:00:00"/>
        <d v="2021-07-10T00:00:00"/>
        <d v="2021-07-29T00:00:00"/>
        <d v="2021-07-31T00:00:00"/>
        <d v="2021-08-13T00:00:00"/>
        <d v="2021-08-17T00:00:00"/>
        <d v="2021-08-23T00:00:00"/>
        <d v="2021-08-30T00:00:00"/>
        <d v="2021-09-06T00:00:00"/>
        <d v="2021-09-12T00:00:00"/>
        <d v="2021-09-17T00:00:00"/>
        <d v="2021-09-27T00:00:00"/>
        <d v="2021-10-07T00:00:00"/>
        <d v="2021-10-17T00:00:00"/>
        <d v="2021-10-19T00:00:00"/>
        <d v="2021-10-24T00:00:00"/>
        <d v="2021-10-25T00:00:00"/>
        <d v="2021-10-28T00:00:00"/>
        <d v="2021-11-01T00:00:00"/>
        <d v="2021-11-05T00:00:00"/>
        <d v="2021-11-11T00:00:00"/>
        <d v="2021-11-12T00:00:00"/>
        <d v="2021-11-13T00:00:00"/>
        <d v="2021-11-14T00:00:00"/>
        <d v="2021-11-18T00:00:00"/>
        <d v="2021-12-06T00:00:00"/>
        <d v="2021-12-31T00:00:00"/>
        <d v="2022-01-02T00:00:00"/>
        <d v="2022-01-10T00:00:00"/>
        <d v="2022-01-11T00:00:00"/>
        <d v="2022-01-16T00:00:00"/>
        <d v="2022-02-03T00:00:00"/>
        <d v="2022-02-10T00:00:00"/>
        <d v="2022-02-13T00:00:00"/>
        <d v="2022-02-16T00:00:00"/>
        <d v="2022-02-27T00:00:00"/>
        <d v="2022-03-09T00:00:00"/>
        <d v="2022-03-15T00:00:00"/>
        <d v="2022-03-21T00:00:00"/>
        <d v="2022-03-29T00:00:00"/>
        <d v="2022-04-10T00:00:00"/>
        <d v="2022-04-11T00:00:00"/>
        <d v="2022-05-08T00:00:00"/>
        <d v="2022-05-11T00:00:00"/>
        <d v="2022-05-15T00:00:00"/>
        <d v="2022-05-28T00:00:00"/>
        <d v="2022-06-19T00:00:00"/>
        <d v="2022-06-21T00:00:00"/>
        <d v="2022-06-22T00:00:00"/>
        <d v="2022-07-02T00:00:00"/>
        <d v="2022-07-07T00:00:00"/>
        <d v="2022-07-13T00:00:00"/>
        <d v="2022-07-22T00:00:00"/>
        <d v="2022-07-27T00:00:00"/>
        <d v="2022-07-28T00:00:00"/>
        <d v="2022-07-29T00:00:00"/>
        <d v="2022-07-30T00:00:00"/>
        <d v="2022-08-03T00:00:00"/>
        <d v="2022-08-04T00:00:00"/>
        <d v="2022-08-10T00:00:00"/>
        <d v="2022-08-13T00:00:00"/>
        <d v="2022-08-16T00:00:00"/>
        <d v="2022-08-17T00:00:00"/>
        <d v="2022-09-05T00:00:00"/>
        <d v="2022-09-07T00:00:00"/>
        <d v="2022-09-10T00:00:00"/>
        <d v="2022-09-13T00:00:00"/>
        <d v="2022-09-14T00:00:00"/>
        <d v="2022-09-15T00:00:00"/>
        <d v="2022-09-28T00:00:00"/>
        <d v="2022-10-08T00:00:00"/>
        <d v="2022-10-11T00:00:00"/>
        <d v="2022-10-14T00:00:00"/>
        <d v="2021-01-16T00:00:00"/>
        <d v="2021-02-12T00:00:00"/>
        <d v="2021-02-17T00:00:00"/>
        <d v="2021-02-18T00:00:00"/>
        <d v="2021-03-01T00:00:00"/>
        <d v="2021-03-02T00:00:00"/>
        <d v="2021-03-09T00:00:00"/>
        <d v="2021-03-22T00:00:00"/>
        <d v="2021-03-23T00:00:00"/>
        <d v="2021-03-29T00:00:00"/>
        <d v="2021-04-04T00:00:00"/>
        <d v="2021-04-16T00:00:00"/>
        <d v="2021-04-26T00:00:00"/>
        <d v="2021-05-11T00:00:00"/>
        <d v="2021-06-17T00:00:00"/>
        <d v="2021-06-20T00:00:00"/>
        <d v="2021-06-29T00:00:00"/>
        <d v="2021-07-04T00:00:00"/>
        <d v="2021-07-09T00:00:00"/>
        <d v="2021-07-20T00:00:00"/>
        <d v="2021-07-25T00:00:00"/>
        <d v="2021-08-04T00:00:00"/>
        <d v="2021-08-06T00:00:00"/>
        <d v="2021-08-24T00:00:00"/>
        <d v="2021-10-03T00:00:00"/>
        <d v="2021-11-02T00:00:00"/>
        <d v="2021-11-04T00:00:00"/>
        <d v="2021-11-06T00:00:00"/>
        <d v="2021-11-30T00:00:00"/>
        <d v="2021-12-19T00:00:00"/>
        <d v="2021-12-21T00:00:00"/>
        <d v="2022-01-04T00:00:00"/>
        <d v="2022-01-08T00:00:00"/>
        <d v="2022-01-09T00:00:00"/>
        <d v="2022-01-19T00:00:00"/>
        <d v="2022-01-20T00:00:00"/>
        <d v="2022-01-23T00:00:00"/>
        <d v="2022-01-24T00:00:00"/>
        <d v="2022-01-30T00:00:00"/>
        <d v="2022-02-08T00:00:00"/>
        <d v="2022-03-06T00:00:00"/>
        <d v="2022-03-14T00:00:00"/>
        <d v="2022-03-18T00:00:00"/>
        <d v="2022-04-03T00:00:00"/>
        <d v="2022-04-08T00:00:00"/>
        <d v="2022-04-22T00:00:00"/>
        <d v="2022-04-29T00:00:00"/>
        <d v="2022-05-23T00:00:00"/>
        <d v="2022-06-04T00:00:00"/>
        <d v="2022-06-12T00:00:00"/>
        <d v="2022-06-20T00:00:00"/>
        <d v="2022-06-23T00:00:00"/>
        <d v="2022-06-30T00:00:00"/>
        <d v="2022-07-06T00:00:00"/>
        <d v="2022-07-09T00:00:00"/>
        <d v="2022-07-19T00:00:00"/>
        <d v="2022-07-26T00:00:00"/>
        <d v="2022-08-01T00:00:00"/>
        <d v="2022-08-15T00:00:00"/>
        <d v="2022-08-23T00:00:00"/>
        <d v="2022-08-25T00:00:00"/>
        <d v="2022-08-29T00:00:00"/>
        <d v="2022-09-24T00:00:00"/>
        <d v="2022-10-07T00:00:00"/>
        <d v="2022-10-15T00:00:00"/>
        <d v="2021-01-06T00:00:00"/>
        <d v="2021-01-10T00:00:00"/>
        <d v="2021-01-14T00:00:00"/>
        <d v="2021-01-31T00:00:00"/>
        <d v="2021-02-01T00:00:00"/>
        <d v="2021-02-14T00:00:00"/>
        <d v="2021-03-10T00:00:00"/>
        <d v="2021-04-01T00:00:00"/>
        <d v="2021-04-03T00:00:00"/>
        <d v="2021-04-10T00:00:00"/>
        <d v="2021-04-11T00:00:00"/>
        <d v="2021-04-18T00:00:00"/>
        <d v="2021-04-27T00:00:00"/>
        <d v="2021-05-01T00:00:00"/>
        <d v="2021-05-04T00:00:00"/>
        <d v="2021-05-07T00:00:00"/>
        <d v="2021-05-14T00:00:00"/>
        <d v="2021-05-31T00:00:00"/>
        <d v="2021-06-23T00:00:00"/>
        <d v="2021-06-27T00:00:00"/>
        <d v="2021-07-02T00:00:00"/>
        <d v="2021-07-05T00:00:00"/>
        <d v="2021-07-12T00:00:00"/>
        <d v="2021-07-23T00:00:00"/>
        <d v="2021-08-15T00:00:00"/>
        <d v="2021-08-28T00:00:00"/>
        <d v="2021-09-02T00:00:00"/>
        <d v="2021-09-04T00:00:00"/>
        <d v="2021-09-16T00:00:00"/>
        <d v="2021-09-26T00:00:00"/>
        <d v="2021-10-21T00:00:00"/>
        <d v="2021-12-08T00:00:00"/>
        <d v="2021-12-28T00:00:00"/>
        <d v="2022-02-25T00:00:00"/>
        <d v="2022-03-08T00:00:00"/>
        <d v="2022-03-16T00:00:00"/>
        <d v="2022-04-16T00:00:00"/>
        <d v="2022-04-17T00:00:00"/>
        <d v="2022-04-28T00:00:00"/>
        <d v="2022-05-04T00:00:00"/>
        <d v="2022-05-06T00:00:00"/>
        <d v="2022-05-31T00:00:00"/>
        <d v="2022-06-03T00:00:00"/>
        <d v="2022-06-07T00:00:00"/>
        <d v="2022-06-27T00:00:00"/>
        <d v="2022-07-01T00:00:00"/>
        <d v="2022-07-08T00:00:00"/>
        <d v="2022-07-24T00:00:00"/>
        <d v="2022-08-26T00:00:00"/>
        <d v="2022-08-27T00:00:00"/>
        <d v="2022-08-28T00:00:00"/>
        <d v="2022-09-09T00:00:00"/>
        <d v="2022-09-30T00:00:00"/>
      </sharedItems>
    </cacheField>
    <cacheField name="Customer ID" numFmtId="0">
      <sharedItems containsSemiMixedTypes="0" containsString="0" containsNumber="1" containsInteger="1" minValue="1" maxValue="20"/>
    </cacheField>
    <cacheField name="Customer Name" numFmtId="0">
      <sharedItems/>
    </cacheField>
    <cacheField name="Sales Person" numFmtId="0">
      <sharedItems count="8">
        <s v="Andrew James"/>
        <s v="Laura Larsen"/>
        <s v="Anna Weber"/>
        <s v="Michael Fox"/>
        <s v="Ben Wallace"/>
        <s v="Anne Lee"/>
        <s v="Oscar Knox"/>
        <s v="Kim Fishman"/>
      </sharedItems>
    </cacheField>
    <cacheField name="Manager" numFmtId="0">
      <sharedItems count="4">
        <s v="Jeff"/>
        <s v="Steve"/>
        <s v="Sara"/>
        <s v="Philip"/>
      </sharedItems>
    </cacheField>
    <cacheField name="Region" numFmtId="0">
      <sharedItems/>
    </cacheField>
    <cacheField name="Product_Type" numFmtId="0">
      <sharedItems count="5">
        <s v="Product 1"/>
        <s v="Product 5"/>
        <s v="Product 2"/>
        <s v="Product 4"/>
        <s v="Product 3"/>
      </sharedItems>
    </cacheField>
    <cacheField name="Price" numFmtId="0">
      <sharedItems containsSemiMixedTypes="0" containsString="0" containsNumber="1" containsInteger="1" minValue="69" maxValue="399"/>
    </cacheField>
    <cacheField name="Quantity" numFmtId="0">
      <sharedItems containsSemiMixedTypes="0" containsString="0" containsNumber="1" containsInteger="1" minValue="0" maxValue="9"/>
    </cacheField>
    <cacheField name="Revenue" numFmtId="0">
      <sharedItems containsSemiMixedTypes="0" containsString="0" containsNumber="1" containsInteger="1" minValue="0" maxValue="3591"/>
    </cacheField>
    <cacheField name="Tenure_X" numFmtId="0">
      <sharedItems containsSemiMixedTypes="0" containsString="0" containsNumber="1" containsInteger="1" minValue="2" maxValue="8"/>
    </cacheField>
  </cacheFields>
  <extLst>
    <ext xmlns:x14="http://schemas.microsoft.com/office/spreadsheetml/2009/9/main" uri="{725AE2AE-9491-48be-B2B4-4EB974FC3084}">
      <x14:pivotCacheDefinition pivotCacheId="198469983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5676.68820034722" createdVersion="7" refreshedVersion="7" minRefreshableVersion="3" recordCount="2000" xr:uid="{BA3932D4-284C-46AE-BA37-FA6012FC0A97}">
  <cacheSource type="worksheet">
    <worksheetSource ref="A1:L2001" sheet="Sales_Data"/>
  </cacheSource>
  <cacheFields count="12">
    <cacheField name="Order ID" numFmtId="2">
      <sharedItems/>
    </cacheField>
    <cacheField name="Order Date" numFmtId="14">
      <sharedItems containsSemiMixedTypes="0" containsNonDate="0" containsDate="1" containsString="0" minDate="2021-01-01T00:00:00" maxDate="2022-10-17T00:00:00"/>
    </cacheField>
    <cacheField name="Customer ID" numFmtId="0">
      <sharedItems containsSemiMixedTypes="0" containsString="0" containsNumber="1" containsInteger="1" minValue="1" maxValue="20"/>
    </cacheField>
    <cacheField name="Customer Name" numFmtId="0">
      <sharedItems/>
    </cacheField>
    <cacheField name="Sales Person" numFmtId="0">
      <sharedItems count="8">
        <s v="Andrew James"/>
        <s v="Laura Larsen"/>
        <s v="Anna Weber"/>
        <s v="Michael Fox"/>
        <s v="Ben Wallace"/>
        <s v="Anne Lee"/>
        <s v="Oscar Knox"/>
        <s v="Kim Fishman"/>
      </sharedItems>
    </cacheField>
    <cacheField name="Manager" numFmtId="0">
      <sharedItems count="4">
        <s v="Jeff"/>
        <s v="Steve"/>
        <s v="Sara"/>
        <s v="Philip"/>
      </sharedItems>
    </cacheField>
    <cacheField name="Region" numFmtId="0">
      <sharedItems/>
    </cacheField>
    <cacheField name="Product_Type" numFmtId="0">
      <sharedItems count="5">
        <s v="Product 1"/>
        <s v="Product 5"/>
        <s v="Product 2"/>
        <s v="Product 4"/>
        <s v="Product 3"/>
      </sharedItems>
    </cacheField>
    <cacheField name="Price" numFmtId="0">
      <sharedItems containsSemiMixedTypes="0" containsString="0" containsNumber="1" containsInteger="1" minValue="69" maxValue="399"/>
    </cacheField>
    <cacheField name="Quantity" numFmtId="0">
      <sharedItems containsSemiMixedTypes="0" containsString="0" containsNumber="1" containsInteger="1" minValue="0" maxValue="9"/>
    </cacheField>
    <cacheField name="Revenue" numFmtId="0">
      <sharedItems containsSemiMixedTypes="0" containsString="0" containsNumber="1" containsInteger="1" minValue="0" maxValue="3591"/>
    </cacheField>
    <cacheField name="Tenure_X" numFmtId="0">
      <sharedItems containsSemiMixedTypes="0" containsString="0" containsNumber="1" containsInteger="1" minValue="2" maxValue="8"/>
    </cacheField>
  </cacheFields>
  <extLst>
    <ext xmlns:x14="http://schemas.microsoft.com/office/spreadsheetml/2009/9/main" uri="{725AE2AE-9491-48be-B2B4-4EB974FC3084}">
      <x14:pivotCacheDefinition pivotCacheId="17682473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9"/>
    <x v="0"/>
    <n v="20"/>
    <s v="Company T"/>
    <x v="0"/>
    <s v="Jeff"/>
    <x v="0"/>
    <x v="0"/>
    <n v="399"/>
    <n v="5"/>
    <n v="1995"/>
    <n v="3"/>
  </r>
  <r>
    <s v="0012"/>
    <x v="0"/>
    <n v="6"/>
    <s v="Company F"/>
    <x v="1"/>
    <s v="Steve"/>
    <x v="1"/>
    <x v="0"/>
    <n v="399"/>
    <n v="6"/>
    <n v="2394"/>
    <n v="4"/>
  </r>
  <r>
    <s v="0014"/>
    <x v="0"/>
    <n v="4"/>
    <s v="Company D"/>
    <x v="2"/>
    <s v="Jeff"/>
    <x v="2"/>
    <x v="0"/>
    <n v="399"/>
    <n v="4"/>
    <n v="1596"/>
    <n v="2"/>
  </r>
  <r>
    <s v="0020"/>
    <x v="1"/>
    <n v="5"/>
    <s v="Company E"/>
    <x v="2"/>
    <s v="Jeff"/>
    <x v="2"/>
    <x v="0"/>
    <n v="399"/>
    <n v="3"/>
    <n v="1197"/>
    <n v="5"/>
  </r>
  <r>
    <s v="0024"/>
    <x v="1"/>
    <n v="12"/>
    <s v="Company L"/>
    <x v="3"/>
    <s v="Sara"/>
    <x v="3"/>
    <x v="0"/>
    <n v="399"/>
    <n v="2"/>
    <n v="798"/>
    <n v="2"/>
  </r>
  <r>
    <s v="0025"/>
    <x v="2"/>
    <n v="3"/>
    <s v="Company C"/>
    <x v="4"/>
    <s v="Sara"/>
    <x v="2"/>
    <x v="0"/>
    <n v="399"/>
    <n v="0"/>
    <n v="0"/>
    <n v="6"/>
  </r>
  <r>
    <s v="0028"/>
    <x v="2"/>
    <n v="19"/>
    <s v="Company S"/>
    <x v="0"/>
    <s v="Jeff"/>
    <x v="0"/>
    <x v="0"/>
    <n v="399"/>
    <n v="7"/>
    <n v="2793"/>
    <n v="5"/>
  </r>
  <r>
    <s v="0032"/>
    <x v="3"/>
    <n v="6"/>
    <s v="Company F"/>
    <x v="1"/>
    <s v="Steve"/>
    <x v="1"/>
    <x v="0"/>
    <n v="399"/>
    <n v="3"/>
    <n v="1197"/>
    <n v="8"/>
  </r>
  <r>
    <s v="0037"/>
    <x v="4"/>
    <n v="13"/>
    <s v="Company M"/>
    <x v="5"/>
    <s v="Steve"/>
    <x v="3"/>
    <x v="0"/>
    <n v="399"/>
    <n v="4"/>
    <n v="1596"/>
    <n v="0"/>
  </r>
  <r>
    <s v="0038"/>
    <x v="5"/>
    <n v="20"/>
    <s v="Company T"/>
    <x v="6"/>
    <s v="Jeff"/>
    <x v="0"/>
    <x v="0"/>
    <n v="399"/>
    <n v="3"/>
    <n v="1197"/>
    <n v="0"/>
  </r>
  <r>
    <s v="0041"/>
    <x v="6"/>
    <n v="9"/>
    <s v="Company I"/>
    <x v="7"/>
    <s v="Philip"/>
    <x v="1"/>
    <x v="0"/>
    <n v="399"/>
    <n v="4"/>
    <n v="1596"/>
    <n v="0"/>
  </r>
  <r>
    <s v="0044"/>
    <x v="6"/>
    <n v="7"/>
    <s v="Company G"/>
    <x v="1"/>
    <s v="Steve"/>
    <x v="1"/>
    <x v="0"/>
    <n v="399"/>
    <n v="5"/>
    <n v="1995"/>
    <n v="0"/>
  </r>
  <r>
    <s v="0051"/>
    <x v="6"/>
    <n v="19"/>
    <s v="Company S"/>
    <x v="0"/>
    <s v="Jeff"/>
    <x v="0"/>
    <x v="0"/>
    <n v="399"/>
    <n v="6"/>
    <n v="2394"/>
    <n v="0"/>
  </r>
  <r>
    <s v="0055"/>
    <x v="7"/>
    <n v="7"/>
    <s v="Company G"/>
    <x v="1"/>
    <s v="Steve"/>
    <x v="1"/>
    <x v="0"/>
    <n v="399"/>
    <n v="0"/>
    <n v="0"/>
    <n v="0"/>
  </r>
  <r>
    <s v="0059"/>
    <x v="7"/>
    <n v="9"/>
    <s v="Company I"/>
    <x v="7"/>
    <s v="Philip"/>
    <x v="1"/>
    <x v="0"/>
    <n v="399"/>
    <n v="7"/>
    <n v="2793"/>
    <n v="0"/>
  </r>
  <r>
    <s v="0064"/>
    <x v="8"/>
    <n v="9"/>
    <s v="Company I"/>
    <x v="1"/>
    <s v="Steve"/>
    <x v="1"/>
    <x v="0"/>
    <n v="399"/>
    <n v="1"/>
    <n v="399"/>
    <n v="0"/>
  </r>
  <r>
    <s v="0072"/>
    <x v="9"/>
    <n v="15"/>
    <s v="Company O"/>
    <x v="5"/>
    <s v="Steve"/>
    <x v="3"/>
    <x v="0"/>
    <n v="399"/>
    <n v="4"/>
    <n v="1596"/>
    <n v="0"/>
  </r>
  <r>
    <s v="0081"/>
    <x v="10"/>
    <n v="7"/>
    <s v="Company G"/>
    <x v="1"/>
    <s v="Steve"/>
    <x v="1"/>
    <x v="0"/>
    <n v="399"/>
    <n v="6"/>
    <n v="2394"/>
    <n v="0"/>
  </r>
  <r>
    <s v="0084"/>
    <x v="11"/>
    <n v="18"/>
    <s v="Company R"/>
    <x v="0"/>
    <s v="Jeff"/>
    <x v="0"/>
    <x v="0"/>
    <n v="399"/>
    <n v="1"/>
    <n v="399"/>
    <n v="0"/>
  </r>
  <r>
    <s v="0085"/>
    <x v="12"/>
    <n v="4"/>
    <s v="Company D"/>
    <x v="4"/>
    <s v="Sara"/>
    <x v="2"/>
    <x v="0"/>
    <n v="399"/>
    <n v="9"/>
    <n v="3591"/>
    <n v="0"/>
  </r>
  <r>
    <s v="0086"/>
    <x v="12"/>
    <n v="12"/>
    <s v="Company L"/>
    <x v="3"/>
    <s v="Sara"/>
    <x v="3"/>
    <x v="0"/>
    <n v="399"/>
    <n v="2"/>
    <n v="798"/>
    <n v="0"/>
  </r>
  <r>
    <s v="0092"/>
    <x v="13"/>
    <n v="20"/>
    <s v="Company T"/>
    <x v="6"/>
    <s v="Jeff"/>
    <x v="0"/>
    <x v="0"/>
    <n v="399"/>
    <n v="6"/>
    <n v="2394"/>
    <n v="0"/>
  </r>
  <r>
    <s v="0093"/>
    <x v="14"/>
    <n v="7"/>
    <s v="Company G"/>
    <x v="7"/>
    <s v="Philip"/>
    <x v="1"/>
    <x v="0"/>
    <n v="399"/>
    <n v="1"/>
    <n v="399"/>
    <n v="0"/>
  </r>
  <r>
    <s v="0104"/>
    <x v="15"/>
    <n v="4"/>
    <s v="Company D"/>
    <x v="4"/>
    <s v="Sara"/>
    <x v="2"/>
    <x v="0"/>
    <n v="399"/>
    <n v="1"/>
    <n v="399"/>
    <n v="0"/>
  </r>
  <r>
    <s v="0108"/>
    <x v="15"/>
    <n v="15"/>
    <s v="Company O"/>
    <x v="5"/>
    <s v="Steve"/>
    <x v="3"/>
    <x v="0"/>
    <n v="399"/>
    <n v="2"/>
    <n v="798"/>
    <n v="0"/>
  </r>
  <r>
    <s v="0111"/>
    <x v="16"/>
    <n v="19"/>
    <s v="Company S"/>
    <x v="0"/>
    <s v="Jeff"/>
    <x v="0"/>
    <x v="0"/>
    <n v="399"/>
    <n v="6"/>
    <n v="2394"/>
    <n v="0"/>
  </r>
  <r>
    <s v="0112"/>
    <x v="17"/>
    <n v="1"/>
    <s v="Company A"/>
    <x v="2"/>
    <s v="Jeff"/>
    <x v="2"/>
    <x v="0"/>
    <n v="399"/>
    <n v="2"/>
    <n v="798"/>
    <n v="0"/>
  </r>
  <r>
    <s v="0113"/>
    <x v="18"/>
    <n v="17"/>
    <s v="Company Q"/>
    <x v="6"/>
    <s v="Jeff"/>
    <x v="0"/>
    <x v="0"/>
    <n v="399"/>
    <n v="5"/>
    <n v="1995"/>
    <n v="0"/>
  </r>
  <r>
    <s v="0117"/>
    <x v="18"/>
    <n v="14"/>
    <s v="Company N"/>
    <x v="3"/>
    <s v="Sara"/>
    <x v="3"/>
    <x v="0"/>
    <n v="399"/>
    <n v="7"/>
    <n v="2793"/>
    <n v="0"/>
  </r>
  <r>
    <s v="0126"/>
    <x v="19"/>
    <n v="18"/>
    <s v="Company R"/>
    <x v="6"/>
    <s v="Jeff"/>
    <x v="0"/>
    <x v="0"/>
    <n v="399"/>
    <n v="4"/>
    <n v="1596"/>
    <n v="0"/>
  </r>
  <r>
    <s v="0131"/>
    <x v="20"/>
    <n v="10"/>
    <s v="Company J"/>
    <x v="7"/>
    <s v="Philip"/>
    <x v="1"/>
    <x v="0"/>
    <n v="399"/>
    <n v="3"/>
    <n v="1197"/>
    <n v="0"/>
  </r>
  <r>
    <s v="0133"/>
    <x v="20"/>
    <n v="12"/>
    <s v="Company L"/>
    <x v="3"/>
    <s v="Sara"/>
    <x v="3"/>
    <x v="0"/>
    <n v="399"/>
    <n v="9"/>
    <n v="3591"/>
    <n v="0"/>
  </r>
  <r>
    <s v="0137"/>
    <x v="21"/>
    <n v="12"/>
    <s v="Company L"/>
    <x v="5"/>
    <s v="Steve"/>
    <x v="3"/>
    <x v="0"/>
    <n v="399"/>
    <n v="3"/>
    <n v="1197"/>
    <n v="0"/>
  </r>
  <r>
    <s v="0138"/>
    <x v="21"/>
    <n v="14"/>
    <s v="Company N"/>
    <x v="5"/>
    <s v="Steve"/>
    <x v="3"/>
    <x v="0"/>
    <n v="399"/>
    <n v="3"/>
    <n v="1197"/>
    <n v="0"/>
  </r>
  <r>
    <s v="0140"/>
    <x v="21"/>
    <n v="15"/>
    <s v="Company O"/>
    <x v="5"/>
    <s v="Steve"/>
    <x v="3"/>
    <x v="0"/>
    <n v="399"/>
    <n v="8"/>
    <n v="3192"/>
    <n v="0"/>
  </r>
  <r>
    <s v="0148"/>
    <x v="21"/>
    <n v="2"/>
    <s v="Company B"/>
    <x v="4"/>
    <s v="Sara"/>
    <x v="2"/>
    <x v="0"/>
    <n v="399"/>
    <n v="2"/>
    <n v="798"/>
    <n v="0"/>
  </r>
  <r>
    <s v="0171"/>
    <x v="22"/>
    <n v="8"/>
    <s v="Company H"/>
    <x v="1"/>
    <s v="Steve"/>
    <x v="1"/>
    <x v="0"/>
    <n v="399"/>
    <n v="6"/>
    <n v="2394"/>
    <n v="0"/>
  </r>
  <r>
    <s v="0173"/>
    <x v="22"/>
    <n v="2"/>
    <s v="Company B"/>
    <x v="4"/>
    <s v="Sara"/>
    <x v="2"/>
    <x v="0"/>
    <n v="399"/>
    <n v="1"/>
    <n v="399"/>
    <n v="0"/>
  </r>
  <r>
    <s v="0174"/>
    <x v="22"/>
    <n v="6"/>
    <s v="Company F"/>
    <x v="1"/>
    <s v="Steve"/>
    <x v="1"/>
    <x v="0"/>
    <n v="399"/>
    <n v="6"/>
    <n v="2394"/>
    <n v="0"/>
  </r>
  <r>
    <s v="0185"/>
    <x v="23"/>
    <n v="4"/>
    <s v="Company D"/>
    <x v="4"/>
    <s v="Sara"/>
    <x v="2"/>
    <x v="0"/>
    <n v="399"/>
    <n v="5"/>
    <n v="1995"/>
    <n v="0"/>
  </r>
  <r>
    <s v="0187"/>
    <x v="24"/>
    <n v="17"/>
    <s v="Company Q"/>
    <x v="6"/>
    <s v="Jeff"/>
    <x v="0"/>
    <x v="0"/>
    <n v="399"/>
    <n v="9"/>
    <n v="3591"/>
    <n v="0"/>
  </r>
  <r>
    <s v="0189"/>
    <x v="25"/>
    <n v="20"/>
    <s v="Company T"/>
    <x v="6"/>
    <s v="Jeff"/>
    <x v="0"/>
    <x v="0"/>
    <n v="399"/>
    <n v="8"/>
    <n v="3192"/>
    <n v="0"/>
  </r>
  <r>
    <s v="0192"/>
    <x v="26"/>
    <n v="12"/>
    <s v="Company L"/>
    <x v="5"/>
    <s v="Steve"/>
    <x v="3"/>
    <x v="0"/>
    <n v="399"/>
    <n v="0"/>
    <n v="0"/>
    <n v="0"/>
  </r>
  <r>
    <s v="0206"/>
    <x v="27"/>
    <n v="5"/>
    <s v="Company E"/>
    <x v="4"/>
    <s v="Sara"/>
    <x v="2"/>
    <x v="0"/>
    <n v="399"/>
    <n v="6"/>
    <n v="2394"/>
    <n v="0"/>
  </r>
  <r>
    <s v="0210"/>
    <x v="27"/>
    <n v="14"/>
    <s v="Company N"/>
    <x v="3"/>
    <s v="Sara"/>
    <x v="3"/>
    <x v="0"/>
    <n v="399"/>
    <n v="8"/>
    <n v="3192"/>
    <n v="0"/>
  </r>
  <r>
    <s v="0224"/>
    <x v="28"/>
    <n v="9"/>
    <s v="Company I"/>
    <x v="7"/>
    <s v="Philip"/>
    <x v="1"/>
    <x v="0"/>
    <n v="399"/>
    <n v="6"/>
    <n v="2394"/>
    <n v="0"/>
  </r>
  <r>
    <s v="0225"/>
    <x v="28"/>
    <n v="2"/>
    <s v="Company B"/>
    <x v="2"/>
    <s v="Jeff"/>
    <x v="2"/>
    <x v="0"/>
    <n v="399"/>
    <n v="9"/>
    <n v="3591"/>
    <n v="0"/>
  </r>
  <r>
    <s v="0226"/>
    <x v="29"/>
    <n v="14"/>
    <s v="Company N"/>
    <x v="3"/>
    <s v="Sara"/>
    <x v="3"/>
    <x v="0"/>
    <n v="399"/>
    <n v="1"/>
    <n v="399"/>
    <n v="0"/>
  </r>
  <r>
    <s v="0227"/>
    <x v="30"/>
    <n v="14"/>
    <s v="Company N"/>
    <x v="3"/>
    <s v="Sara"/>
    <x v="3"/>
    <x v="0"/>
    <n v="399"/>
    <n v="1"/>
    <n v="399"/>
    <n v="0"/>
  </r>
  <r>
    <s v="0230"/>
    <x v="31"/>
    <n v="3"/>
    <s v="Company C"/>
    <x v="2"/>
    <s v="Jeff"/>
    <x v="2"/>
    <x v="0"/>
    <n v="399"/>
    <n v="6"/>
    <n v="2394"/>
    <n v="0"/>
  </r>
  <r>
    <s v="0232"/>
    <x v="31"/>
    <n v="7"/>
    <s v="Company G"/>
    <x v="1"/>
    <s v="Steve"/>
    <x v="1"/>
    <x v="0"/>
    <n v="399"/>
    <n v="9"/>
    <n v="3591"/>
    <n v="0"/>
  </r>
  <r>
    <s v="0239"/>
    <x v="32"/>
    <n v="16"/>
    <s v="Company P"/>
    <x v="0"/>
    <s v="Jeff"/>
    <x v="0"/>
    <x v="0"/>
    <n v="399"/>
    <n v="9"/>
    <n v="3591"/>
    <n v="0"/>
  </r>
  <r>
    <s v="0249"/>
    <x v="33"/>
    <n v="19"/>
    <s v="Company S"/>
    <x v="6"/>
    <s v="Jeff"/>
    <x v="0"/>
    <x v="0"/>
    <n v="399"/>
    <n v="3"/>
    <n v="1197"/>
    <n v="0"/>
  </r>
  <r>
    <s v="0251"/>
    <x v="33"/>
    <n v="2"/>
    <s v="Company B"/>
    <x v="4"/>
    <s v="Sara"/>
    <x v="2"/>
    <x v="0"/>
    <n v="399"/>
    <n v="9"/>
    <n v="3591"/>
    <n v="0"/>
  </r>
  <r>
    <s v="0253"/>
    <x v="33"/>
    <n v="16"/>
    <s v="Company P"/>
    <x v="6"/>
    <s v="Jeff"/>
    <x v="0"/>
    <x v="0"/>
    <n v="399"/>
    <n v="5"/>
    <n v="1995"/>
    <n v="0"/>
  </r>
  <r>
    <s v="0258"/>
    <x v="34"/>
    <n v="17"/>
    <s v="Company Q"/>
    <x v="0"/>
    <s v="Jeff"/>
    <x v="0"/>
    <x v="0"/>
    <n v="399"/>
    <n v="5"/>
    <n v="1995"/>
    <n v="0"/>
  </r>
  <r>
    <s v="0270"/>
    <x v="35"/>
    <n v="14"/>
    <s v="Company N"/>
    <x v="5"/>
    <s v="Steve"/>
    <x v="3"/>
    <x v="0"/>
    <n v="399"/>
    <n v="9"/>
    <n v="3591"/>
    <n v="0"/>
  </r>
  <r>
    <s v="0278"/>
    <x v="36"/>
    <n v="6"/>
    <s v="Company F"/>
    <x v="7"/>
    <s v="Philip"/>
    <x v="1"/>
    <x v="0"/>
    <n v="399"/>
    <n v="8"/>
    <n v="3192"/>
    <n v="0"/>
  </r>
  <r>
    <s v="0297"/>
    <x v="37"/>
    <n v="14"/>
    <s v="Company N"/>
    <x v="3"/>
    <s v="Sara"/>
    <x v="3"/>
    <x v="0"/>
    <n v="399"/>
    <n v="5"/>
    <n v="1995"/>
    <n v="0"/>
  </r>
  <r>
    <s v="0301"/>
    <x v="38"/>
    <n v="10"/>
    <s v="Company J"/>
    <x v="7"/>
    <s v="Philip"/>
    <x v="1"/>
    <x v="0"/>
    <n v="399"/>
    <n v="9"/>
    <n v="3591"/>
    <n v="0"/>
  </r>
  <r>
    <s v="0321"/>
    <x v="39"/>
    <n v="9"/>
    <s v="Company I"/>
    <x v="7"/>
    <s v="Philip"/>
    <x v="1"/>
    <x v="0"/>
    <n v="399"/>
    <n v="1"/>
    <n v="399"/>
    <n v="0"/>
  </r>
  <r>
    <s v="0325"/>
    <x v="40"/>
    <n v="14"/>
    <s v="Company N"/>
    <x v="5"/>
    <s v="Steve"/>
    <x v="3"/>
    <x v="0"/>
    <n v="399"/>
    <n v="3"/>
    <n v="1197"/>
    <n v="0"/>
  </r>
  <r>
    <s v="0330"/>
    <x v="40"/>
    <n v="7"/>
    <s v="Company G"/>
    <x v="1"/>
    <s v="Steve"/>
    <x v="1"/>
    <x v="0"/>
    <n v="399"/>
    <n v="8"/>
    <n v="3192"/>
    <n v="0"/>
  </r>
  <r>
    <s v="0331"/>
    <x v="40"/>
    <n v="10"/>
    <s v="Company J"/>
    <x v="1"/>
    <s v="Steve"/>
    <x v="1"/>
    <x v="0"/>
    <n v="399"/>
    <n v="9"/>
    <n v="3591"/>
    <n v="0"/>
  </r>
  <r>
    <s v="0333"/>
    <x v="40"/>
    <n v="18"/>
    <s v="Company R"/>
    <x v="6"/>
    <s v="Jeff"/>
    <x v="0"/>
    <x v="0"/>
    <n v="399"/>
    <n v="4"/>
    <n v="1596"/>
    <n v="0"/>
  </r>
  <r>
    <s v="0338"/>
    <x v="41"/>
    <n v="13"/>
    <s v="Company M"/>
    <x v="3"/>
    <s v="Sara"/>
    <x v="3"/>
    <x v="0"/>
    <n v="399"/>
    <n v="8"/>
    <n v="3192"/>
    <n v="0"/>
  </r>
  <r>
    <s v="0350"/>
    <x v="42"/>
    <n v="3"/>
    <s v="Company C"/>
    <x v="2"/>
    <s v="Jeff"/>
    <x v="2"/>
    <x v="0"/>
    <n v="399"/>
    <n v="1"/>
    <n v="399"/>
    <n v="0"/>
  </r>
  <r>
    <s v="0353"/>
    <x v="43"/>
    <n v="4"/>
    <s v="Company D"/>
    <x v="2"/>
    <s v="Jeff"/>
    <x v="2"/>
    <x v="0"/>
    <n v="399"/>
    <n v="1"/>
    <n v="399"/>
    <n v="0"/>
  </r>
  <r>
    <s v="0355"/>
    <x v="43"/>
    <n v="17"/>
    <s v="Company Q"/>
    <x v="6"/>
    <s v="Jeff"/>
    <x v="0"/>
    <x v="0"/>
    <n v="399"/>
    <n v="6"/>
    <n v="2394"/>
    <n v="0"/>
  </r>
  <r>
    <s v="0357"/>
    <x v="44"/>
    <n v="3"/>
    <s v="Company C"/>
    <x v="4"/>
    <s v="Sara"/>
    <x v="2"/>
    <x v="0"/>
    <n v="399"/>
    <n v="2"/>
    <n v="798"/>
    <n v="0"/>
  </r>
  <r>
    <s v="0359"/>
    <x v="45"/>
    <n v="1"/>
    <s v="Company A"/>
    <x v="4"/>
    <s v="Sara"/>
    <x v="2"/>
    <x v="0"/>
    <n v="399"/>
    <n v="5"/>
    <n v="1995"/>
    <n v="0"/>
  </r>
  <r>
    <s v="0362"/>
    <x v="45"/>
    <n v="5"/>
    <s v="Company E"/>
    <x v="2"/>
    <s v="Jeff"/>
    <x v="2"/>
    <x v="0"/>
    <n v="399"/>
    <n v="2"/>
    <n v="798"/>
    <n v="0"/>
  </r>
  <r>
    <s v="0374"/>
    <x v="46"/>
    <n v="5"/>
    <s v="Company E"/>
    <x v="2"/>
    <s v="Jeff"/>
    <x v="2"/>
    <x v="0"/>
    <n v="399"/>
    <n v="3"/>
    <n v="1197"/>
    <n v="0"/>
  </r>
  <r>
    <s v="0378"/>
    <x v="46"/>
    <n v="11"/>
    <s v="Company K"/>
    <x v="3"/>
    <s v="Sara"/>
    <x v="3"/>
    <x v="0"/>
    <n v="399"/>
    <n v="3"/>
    <n v="1197"/>
    <n v="0"/>
  </r>
  <r>
    <s v="0386"/>
    <x v="47"/>
    <n v="3"/>
    <s v="Company C"/>
    <x v="2"/>
    <s v="Jeff"/>
    <x v="2"/>
    <x v="0"/>
    <n v="399"/>
    <n v="2"/>
    <n v="798"/>
    <n v="0"/>
  </r>
  <r>
    <s v="0399"/>
    <x v="48"/>
    <n v="5"/>
    <s v="Company E"/>
    <x v="4"/>
    <s v="Sara"/>
    <x v="2"/>
    <x v="0"/>
    <n v="399"/>
    <n v="7"/>
    <n v="2793"/>
    <n v="0"/>
  </r>
  <r>
    <s v="0403"/>
    <x v="49"/>
    <n v="12"/>
    <s v="Company L"/>
    <x v="5"/>
    <s v="Steve"/>
    <x v="3"/>
    <x v="0"/>
    <n v="399"/>
    <n v="6"/>
    <n v="2394"/>
    <n v="0"/>
  </r>
  <r>
    <s v="0417"/>
    <x v="50"/>
    <n v="2"/>
    <s v="Company B"/>
    <x v="2"/>
    <s v="Jeff"/>
    <x v="2"/>
    <x v="0"/>
    <n v="399"/>
    <n v="1"/>
    <n v="399"/>
    <n v="0"/>
  </r>
  <r>
    <s v="0432"/>
    <x v="51"/>
    <n v="2"/>
    <s v="Company B"/>
    <x v="2"/>
    <s v="Jeff"/>
    <x v="2"/>
    <x v="0"/>
    <n v="399"/>
    <n v="3"/>
    <n v="1197"/>
    <n v="0"/>
  </r>
  <r>
    <s v="0442"/>
    <x v="51"/>
    <n v="1"/>
    <s v="Company A"/>
    <x v="2"/>
    <s v="Jeff"/>
    <x v="2"/>
    <x v="0"/>
    <n v="399"/>
    <n v="1"/>
    <n v="399"/>
    <n v="0"/>
  </r>
  <r>
    <s v="0447"/>
    <x v="52"/>
    <n v="16"/>
    <s v="Company P"/>
    <x v="0"/>
    <s v="Jeff"/>
    <x v="0"/>
    <x v="0"/>
    <n v="399"/>
    <n v="5"/>
    <n v="1995"/>
    <n v="0"/>
  </r>
  <r>
    <s v="0453"/>
    <x v="52"/>
    <n v="6"/>
    <s v="Company F"/>
    <x v="1"/>
    <s v="Steve"/>
    <x v="1"/>
    <x v="0"/>
    <n v="399"/>
    <n v="3"/>
    <n v="1197"/>
    <n v="0"/>
  </r>
  <r>
    <s v="0456"/>
    <x v="53"/>
    <n v="3"/>
    <s v="Company C"/>
    <x v="2"/>
    <s v="Jeff"/>
    <x v="2"/>
    <x v="0"/>
    <n v="399"/>
    <n v="7"/>
    <n v="2793"/>
    <n v="0"/>
  </r>
  <r>
    <s v="0461"/>
    <x v="54"/>
    <n v="7"/>
    <s v="Company G"/>
    <x v="1"/>
    <s v="Steve"/>
    <x v="1"/>
    <x v="0"/>
    <n v="399"/>
    <n v="0"/>
    <n v="0"/>
    <n v="0"/>
  </r>
  <r>
    <s v="0462"/>
    <x v="54"/>
    <n v="1"/>
    <s v="Company A"/>
    <x v="2"/>
    <s v="Jeff"/>
    <x v="2"/>
    <x v="0"/>
    <n v="399"/>
    <n v="3"/>
    <n v="1197"/>
    <n v="0"/>
  </r>
  <r>
    <s v="0463"/>
    <x v="55"/>
    <n v="10"/>
    <s v="Company J"/>
    <x v="7"/>
    <s v="Philip"/>
    <x v="1"/>
    <x v="0"/>
    <n v="399"/>
    <n v="9"/>
    <n v="3591"/>
    <n v="0"/>
  </r>
  <r>
    <s v="0470"/>
    <x v="56"/>
    <n v="14"/>
    <s v="Company N"/>
    <x v="3"/>
    <s v="Sara"/>
    <x v="3"/>
    <x v="0"/>
    <n v="399"/>
    <n v="9"/>
    <n v="3591"/>
    <n v="0"/>
  </r>
  <r>
    <s v="0472"/>
    <x v="57"/>
    <n v="5"/>
    <s v="Company E"/>
    <x v="2"/>
    <s v="Jeff"/>
    <x v="2"/>
    <x v="0"/>
    <n v="399"/>
    <n v="3"/>
    <n v="1197"/>
    <n v="0"/>
  </r>
  <r>
    <s v="0474"/>
    <x v="58"/>
    <n v="18"/>
    <s v="Company R"/>
    <x v="0"/>
    <s v="Jeff"/>
    <x v="0"/>
    <x v="0"/>
    <n v="399"/>
    <n v="3"/>
    <n v="1197"/>
    <n v="0"/>
  </r>
  <r>
    <s v="0493"/>
    <x v="59"/>
    <n v="9"/>
    <s v="Company I"/>
    <x v="1"/>
    <s v="Steve"/>
    <x v="1"/>
    <x v="0"/>
    <n v="399"/>
    <n v="2"/>
    <n v="798"/>
    <n v="0"/>
  </r>
  <r>
    <s v="0507"/>
    <x v="60"/>
    <n v="2"/>
    <s v="Company B"/>
    <x v="4"/>
    <s v="Sara"/>
    <x v="2"/>
    <x v="0"/>
    <n v="399"/>
    <n v="9"/>
    <n v="3591"/>
    <n v="0"/>
  </r>
  <r>
    <s v="0508"/>
    <x v="60"/>
    <n v="19"/>
    <s v="Company S"/>
    <x v="0"/>
    <s v="Jeff"/>
    <x v="0"/>
    <x v="0"/>
    <n v="399"/>
    <n v="6"/>
    <n v="2394"/>
    <n v="0"/>
  </r>
  <r>
    <s v="0520"/>
    <x v="61"/>
    <n v="18"/>
    <s v="Company R"/>
    <x v="6"/>
    <s v="Jeff"/>
    <x v="0"/>
    <x v="0"/>
    <n v="399"/>
    <n v="7"/>
    <n v="2793"/>
    <n v="0"/>
  </r>
  <r>
    <s v="0530"/>
    <x v="61"/>
    <n v="16"/>
    <s v="Company P"/>
    <x v="0"/>
    <s v="Jeff"/>
    <x v="0"/>
    <x v="0"/>
    <n v="399"/>
    <n v="7"/>
    <n v="2793"/>
    <n v="0"/>
  </r>
  <r>
    <s v="0532"/>
    <x v="62"/>
    <n v="11"/>
    <s v="Company K"/>
    <x v="5"/>
    <s v="Steve"/>
    <x v="3"/>
    <x v="0"/>
    <n v="399"/>
    <n v="8"/>
    <n v="3192"/>
    <n v="0"/>
  </r>
  <r>
    <s v="0542"/>
    <x v="63"/>
    <n v="9"/>
    <s v="Company I"/>
    <x v="1"/>
    <s v="Steve"/>
    <x v="1"/>
    <x v="0"/>
    <n v="399"/>
    <n v="5"/>
    <n v="1995"/>
    <n v="0"/>
  </r>
  <r>
    <s v="0545"/>
    <x v="64"/>
    <n v="14"/>
    <s v="Company N"/>
    <x v="5"/>
    <s v="Steve"/>
    <x v="3"/>
    <x v="0"/>
    <n v="399"/>
    <n v="0"/>
    <n v="0"/>
    <n v="0"/>
  </r>
  <r>
    <s v="0553"/>
    <x v="65"/>
    <n v="11"/>
    <s v="Company K"/>
    <x v="3"/>
    <s v="Sara"/>
    <x v="3"/>
    <x v="0"/>
    <n v="399"/>
    <n v="0"/>
    <n v="0"/>
    <n v="0"/>
  </r>
  <r>
    <s v="0556"/>
    <x v="66"/>
    <n v="10"/>
    <s v="Company J"/>
    <x v="1"/>
    <s v="Steve"/>
    <x v="1"/>
    <x v="0"/>
    <n v="399"/>
    <n v="0"/>
    <n v="0"/>
    <n v="0"/>
  </r>
  <r>
    <s v="0558"/>
    <x v="67"/>
    <n v="14"/>
    <s v="Company N"/>
    <x v="5"/>
    <s v="Steve"/>
    <x v="3"/>
    <x v="0"/>
    <n v="399"/>
    <n v="9"/>
    <n v="3591"/>
    <n v="0"/>
  </r>
  <r>
    <s v="0563"/>
    <x v="68"/>
    <n v="13"/>
    <s v="Company M"/>
    <x v="3"/>
    <s v="Sara"/>
    <x v="3"/>
    <x v="0"/>
    <n v="399"/>
    <n v="0"/>
    <n v="0"/>
    <n v="0"/>
  </r>
  <r>
    <s v="0564"/>
    <x v="68"/>
    <n v="15"/>
    <s v="Company O"/>
    <x v="3"/>
    <s v="Sara"/>
    <x v="3"/>
    <x v="0"/>
    <n v="399"/>
    <n v="6"/>
    <n v="2394"/>
    <n v="0"/>
  </r>
  <r>
    <s v="0568"/>
    <x v="68"/>
    <n v="14"/>
    <s v="Company N"/>
    <x v="5"/>
    <s v="Steve"/>
    <x v="3"/>
    <x v="0"/>
    <n v="399"/>
    <n v="0"/>
    <n v="0"/>
    <n v="0"/>
  </r>
  <r>
    <s v="0573"/>
    <x v="69"/>
    <n v="20"/>
    <s v="Company T"/>
    <x v="6"/>
    <s v="Jeff"/>
    <x v="0"/>
    <x v="0"/>
    <n v="399"/>
    <n v="5"/>
    <n v="1995"/>
    <n v="0"/>
  </r>
  <r>
    <s v="0578"/>
    <x v="70"/>
    <n v="14"/>
    <s v="Company N"/>
    <x v="3"/>
    <s v="Sara"/>
    <x v="3"/>
    <x v="0"/>
    <n v="399"/>
    <n v="9"/>
    <n v="3591"/>
    <n v="0"/>
  </r>
  <r>
    <s v="0579"/>
    <x v="71"/>
    <n v="7"/>
    <s v="Company G"/>
    <x v="7"/>
    <s v="Philip"/>
    <x v="1"/>
    <x v="0"/>
    <n v="399"/>
    <n v="0"/>
    <n v="0"/>
    <n v="0"/>
  </r>
  <r>
    <s v="0582"/>
    <x v="71"/>
    <n v="15"/>
    <s v="Company O"/>
    <x v="5"/>
    <s v="Steve"/>
    <x v="3"/>
    <x v="0"/>
    <n v="399"/>
    <n v="4"/>
    <n v="1596"/>
    <n v="0"/>
  </r>
  <r>
    <s v="0583"/>
    <x v="71"/>
    <n v="10"/>
    <s v="Company J"/>
    <x v="1"/>
    <s v="Steve"/>
    <x v="1"/>
    <x v="0"/>
    <n v="399"/>
    <n v="3"/>
    <n v="1197"/>
    <n v="0"/>
  </r>
  <r>
    <s v="0589"/>
    <x v="72"/>
    <n v="5"/>
    <s v="Company E"/>
    <x v="2"/>
    <s v="Jeff"/>
    <x v="2"/>
    <x v="0"/>
    <n v="399"/>
    <n v="3"/>
    <n v="1197"/>
    <n v="0"/>
  </r>
  <r>
    <s v="0596"/>
    <x v="73"/>
    <n v="11"/>
    <s v="Company K"/>
    <x v="5"/>
    <s v="Steve"/>
    <x v="3"/>
    <x v="0"/>
    <n v="399"/>
    <n v="9"/>
    <n v="3591"/>
    <n v="0"/>
  </r>
  <r>
    <s v="0598"/>
    <x v="74"/>
    <n v="10"/>
    <s v="Company J"/>
    <x v="7"/>
    <s v="Philip"/>
    <x v="1"/>
    <x v="0"/>
    <n v="399"/>
    <n v="9"/>
    <n v="3591"/>
    <n v="0"/>
  </r>
  <r>
    <s v="0607"/>
    <x v="75"/>
    <n v="20"/>
    <s v="Company T"/>
    <x v="6"/>
    <s v="Jeff"/>
    <x v="0"/>
    <x v="0"/>
    <n v="399"/>
    <n v="7"/>
    <n v="2793"/>
    <n v="0"/>
  </r>
  <r>
    <s v="0618"/>
    <x v="76"/>
    <n v="19"/>
    <s v="Company S"/>
    <x v="0"/>
    <s v="Jeff"/>
    <x v="0"/>
    <x v="0"/>
    <n v="399"/>
    <n v="0"/>
    <n v="0"/>
    <n v="0"/>
  </r>
  <r>
    <s v="0625"/>
    <x v="77"/>
    <n v="17"/>
    <s v="Company Q"/>
    <x v="6"/>
    <s v="Jeff"/>
    <x v="0"/>
    <x v="0"/>
    <n v="399"/>
    <n v="8"/>
    <n v="3192"/>
    <n v="0"/>
  </r>
  <r>
    <s v="0628"/>
    <x v="77"/>
    <n v="14"/>
    <s v="Company N"/>
    <x v="3"/>
    <s v="Sara"/>
    <x v="3"/>
    <x v="0"/>
    <n v="399"/>
    <n v="5"/>
    <n v="1995"/>
    <n v="0"/>
  </r>
  <r>
    <s v="0634"/>
    <x v="78"/>
    <n v="5"/>
    <s v="Company E"/>
    <x v="2"/>
    <s v="Jeff"/>
    <x v="2"/>
    <x v="0"/>
    <n v="399"/>
    <n v="0"/>
    <n v="0"/>
    <n v="0"/>
  </r>
  <r>
    <s v="0639"/>
    <x v="79"/>
    <n v="16"/>
    <s v="Company P"/>
    <x v="6"/>
    <s v="Jeff"/>
    <x v="0"/>
    <x v="0"/>
    <n v="399"/>
    <n v="3"/>
    <n v="1197"/>
    <n v="0"/>
  </r>
  <r>
    <s v="0641"/>
    <x v="80"/>
    <n v="10"/>
    <s v="Company J"/>
    <x v="1"/>
    <s v="Steve"/>
    <x v="1"/>
    <x v="0"/>
    <n v="399"/>
    <n v="7"/>
    <n v="2793"/>
    <n v="0"/>
  </r>
  <r>
    <s v="0642"/>
    <x v="81"/>
    <n v="10"/>
    <s v="Company J"/>
    <x v="1"/>
    <s v="Steve"/>
    <x v="1"/>
    <x v="0"/>
    <n v="399"/>
    <n v="9"/>
    <n v="3591"/>
    <n v="0"/>
  </r>
  <r>
    <s v="0643"/>
    <x v="81"/>
    <n v="13"/>
    <s v="Company M"/>
    <x v="3"/>
    <s v="Sara"/>
    <x v="3"/>
    <x v="0"/>
    <n v="399"/>
    <n v="8"/>
    <n v="3192"/>
    <n v="0"/>
  </r>
  <r>
    <s v="0649"/>
    <x v="82"/>
    <n v="8"/>
    <s v="Company H"/>
    <x v="1"/>
    <s v="Steve"/>
    <x v="1"/>
    <x v="0"/>
    <n v="399"/>
    <n v="5"/>
    <n v="1995"/>
    <n v="0"/>
  </r>
  <r>
    <s v="0664"/>
    <x v="83"/>
    <n v="14"/>
    <s v="Company N"/>
    <x v="5"/>
    <s v="Steve"/>
    <x v="3"/>
    <x v="0"/>
    <n v="399"/>
    <n v="5"/>
    <n v="1995"/>
    <n v="0"/>
  </r>
  <r>
    <s v="0665"/>
    <x v="84"/>
    <n v="1"/>
    <s v="Company A"/>
    <x v="2"/>
    <s v="Jeff"/>
    <x v="2"/>
    <x v="0"/>
    <n v="399"/>
    <n v="8"/>
    <n v="3192"/>
    <n v="0"/>
  </r>
  <r>
    <s v="0669"/>
    <x v="85"/>
    <n v="9"/>
    <s v="Company I"/>
    <x v="7"/>
    <s v="Philip"/>
    <x v="1"/>
    <x v="0"/>
    <n v="399"/>
    <n v="6"/>
    <n v="2394"/>
    <n v="0"/>
  </r>
  <r>
    <s v="0671"/>
    <x v="85"/>
    <n v="13"/>
    <s v="Company M"/>
    <x v="3"/>
    <s v="Sara"/>
    <x v="3"/>
    <x v="0"/>
    <n v="399"/>
    <n v="1"/>
    <n v="399"/>
    <n v="0"/>
  </r>
  <r>
    <s v="0690"/>
    <x v="86"/>
    <n v="5"/>
    <s v="Company E"/>
    <x v="2"/>
    <s v="Jeff"/>
    <x v="2"/>
    <x v="0"/>
    <n v="399"/>
    <n v="5"/>
    <n v="1995"/>
    <n v="0"/>
  </r>
  <r>
    <s v="0723"/>
    <x v="87"/>
    <n v="8"/>
    <s v="Company H"/>
    <x v="1"/>
    <s v="Steve"/>
    <x v="1"/>
    <x v="0"/>
    <n v="399"/>
    <n v="2"/>
    <n v="798"/>
    <n v="0"/>
  </r>
  <r>
    <s v="0730"/>
    <x v="88"/>
    <n v="18"/>
    <s v="Company R"/>
    <x v="0"/>
    <s v="Jeff"/>
    <x v="0"/>
    <x v="0"/>
    <n v="399"/>
    <n v="4"/>
    <n v="1596"/>
    <n v="0"/>
  </r>
  <r>
    <s v="0731"/>
    <x v="88"/>
    <n v="13"/>
    <s v="Company M"/>
    <x v="3"/>
    <s v="Sara"/>
    <x v="3"/>
    <x v="0"/>
    <n v="399"/>
    <n v="4"/>
    <n v="1596"/>
    <n v="0"/>
  </r>
  <r>
    <s v="0735"/>
    <x v="89"/>
    <n v="3"/>
    <s v="Company C"/>
    <x v="4"/>
    <s v="Sara"/>
    <x v="2"/>
    <x v="0"/>
    <n v="399"/>
    <n v="0"/>
    <n v="0"/>
    <n v="0"/>
  </r>
  <r>
    <s v="0738"/>
    <x v="90"/>
    <n v="8"/>
    <s v="Company H"/>
    <x v="7"/>
    <s v="Philip"/>
    <x v="1"/>
    <x v="0"/>
    <n v="399"/>
    <n v="7"/>
    <n v="2793"/>
    <n v="0"/>
  </r>
  <r>
    <s v="0745"/>
    <x v="91"/>
    <n v="8"/>
    <s v="Company H"/>
    <x v="7"/>
    <s v="Philip"/>
    <x v="1"/>
    <x v="0"/>
    <n v="399"/>
    <n v="0"/>
    <n v="0"/>
    <n v="0"/>
  </r>
  <r>
    <s v="0752"/>
    <x v="92"/>
    <n v="8"/>
    <s v="Company H"/>
    <x v="1"/>
    <s v="Steve"/>
    <x v="1"/>
    <x v="0"/>
    <n v="399"/>
    <n v="1"/>
    <n v="399"/>
    <n v="0"/>
  </r>
  <r>
    <s v="0753"/>
    <x v="92"/>
    <n v="5"/>
    <s v="Company E"/>
    <x v="2"/>
    <s v="Jeff"/>
    <x v="2"/>
    <x v="0"/>
    <n v="399"/>
    <n v="6"/>
    <n v="2394"/>
    <n v="0"/>
  </r>
  <r>
    <s v="0756"/>
    <x v="93"/>
    <n v="17"/>
    <s v="Company Q"/>
    <x v="6"/>
    <s v="Jeff"/>
    <x v="0"/>
    <x v="0"/>
    <n v="399"/>
    <n v="6"/>
    <n v="2394"/>
    <n v="0"/>
  </r>
  <r>
    <s v="0758"/>
    <x v="93"/>
    <n v="10"/>
    <s v="Company J"/>
    <x v="1"/>
    <s v="Steve"/>
    <x v="1"/>
    <x v="0"/>
    <n v="399"/>
    <n v="4"/>
    <n v="1596"/>
    <n v="0"/>
  </r>
  <r>
    <s v="0760"/>
    <x v="94"/>
    <n v="19"/>
    <s v="Company S"/>
    <x v="0"/>
    <s v="Jeff"/>
    <x v="0"/>
    <x v="0"/>
    <n v="399"/>
    <n v="6"/>
    <n v="2394"/>
    <n v="0"/>
  </r>
  <r>
    <s v="0764"/>
    <x v="95"/>
    <n v="8"/>
    <s v="Company H"/>
    <x v="1"/>
    <s v="Steve"/>
    <x v="1"/>
    <x v="0"/>
    <n v="399"/>
    <n v="2"/>
    <n v="798"/>
    <n v="0"/>
  </r>
  <r>
    <s v="0766"/>
    <x v="95"/>
    <n v="14"/>
    <s v="Company N"/>
    <x v="5"/>
    <s v="Steve"/>
    <x v="3"/>
    <x v="0"/>
    <n v="399"/>
    <n v="9"/>
    <n v="3591"/>
    <n v="0"/>
  </r>
  <r>
    <s v="0769"/>
    <x v="96"/>
    <n v="7"/>
    <s v="Company G"/>
    <x v="7"/>
    <s v="Philip"/>
    <x v="1"/>
    <x v="0"/>
    <n v="399"/>
    <n v="6"/>
    <n v="2394"/>
    <n v="0"/>
  </r>
  <r>
    <s v="0770"/>
    <x v="96"/>
    <n v="11"/>
    <s v="Company K"/>
    <x v="3"/>
    <s v="Sara"/>
    <x v="3"/>
    <x v="0"/>
    <n v="399"/>
    <n v="0"/>
    <n v="0"/>
    <n v="0"/>
  </r>
  <r>
    <s v="0775"/>
    <x v="97"/>
    <n v="13"/>
    <s v="Company M"/>
    <x v="5"/>
    <s v="Steve"/>
    <x v="3"/>
    <x v="0"/>
    <n v="399"/>
    <n v="1"/>
    <n v="399"/>
    <n v="0"/>
  </r>
  <r>
    <s v="0776"/>
    <x v="98"/>
    <n v="17"/>
    <s v="Company Q"/>
    <x v="0"/>
    <s v="Jeff"/>
    <x v="0"/>
    <x v="0"/>
    <n v="399"/>
    <n v="2"/>
    <n v="798"/>
    <n v="0"/>
  </r>
  <r>
    <s v="0777"/>
    <x v="98"/>
    <n v="4"/>
    <s v="Company D"/>
    <x v="4"/>
    <s v="Sara"/>
    <x v="2"/>
    <x v="0"/>
    <n v="399"/>
    <n v="3"/>
    <n v="1197"/>
    <n v="0"/>
  </r>
  <r>
    <s v="0780"/>
    <x v="98"/>
    <n v="7"/>
    <s v="Company G"/>
    <x v="7"/>
    <s v="Philip"/>
    <x v="1"/>
    <x v="0"/>
    <n v="399"/>
    <n v="8"/>
    <n v="3192"/>
    <n v="0"/>
  </r>
  <r>
    <s v="0783"/>
    <x v="99"/>
    <n v="8"/>
    <s v="Company H"/>
    <x v="7"/>
    <s v="Philip"/>
    <x v="1"/>
    <x v="0"/>
    <n v="399"/>
    <n v="3"/>
    <n v="1197"/>
    <n v="0"/>
  </r>
  <r>
    <s v="0785"/>
    <x v="99"/>
    <n v="5"/>
    <s v="Company E"/>
    <x v="4"/>
    <s v="Sara"/>
    <x v="2"/>
    <x v="0"/>
    <n v="399"/>
    <n v="6"/>
    <n v="2394"/>
    <n v="0"/>
  </r>
  <r>
    <s v="0791"/>
    <x v="100"/>
    <n v="18"/>
    <s v="Company R"/>
    <x v="6"/>
    <s v="Jeff"/>
    <x v="0"/>
    <x v="0"/>
    <n v="399"/>
    <n v="3"/>
    <n v="1197"/>
    <n v="0"/>
  </r>
  <r>
    <s v="0793"/>
    <x v="101"/>
    <n v="10"/>
    <s v="Company J"/>
    <x v="1"/>
    <s v="Steve"/>
    <x v="1"/>
    <x v="0"/>
    <n v="399"/>
    <n v="3"/>
    <n v="1197"/>
    <n v="0"/>
  </r>
  <r>
    <s v="0799"/>
    <x v="102"/>
    <n v="16"/>
    <s v="Company P"/>
    <x v="0"/>
    <s v="Jeff"/>
    <x v="0"/>
    <x v="0"/>
    <n v="399"/>
    <n v="5"/>
    <n v="1995"/>
    <n v="0"/>
  </r>
  <r>
    <s v="0802"/>
    <x v="102"/>
    <n v="6"/>
    <s v="Company F"/>
    <x v="1"/>
    <s v="Steve"/>
    <x v="1"/>
    <x v="0"/>
    <n v="399"/>
    <n v="8"/>
    <n v="3192"/>
    <n v="0"/>
  </r>
  <r>
    <s v="0805"/>
    <x v="103"/>
    <n v="19"/>
    <s v="Company S"/>
    <x v="0"/>
    <s v="Jeff"/>
    <x v="0"/>
    <x v="0"/>
    <n v="399"/>
    <n v="7"/>
    <n v="2793"/>
    <n v="0"/>
  </r>
  <r>
    <s v="0806"/>
    <x v="103"/>
    <n v="5"/>
    <s v="Company E"/>
    <x v="2"/>
    <s v="Jeff"/>
    <x v="2"/>
    <x v="0"/>
    <n v="399"/>
    <n v="6"/>
    <n v="2394"/>
    <n v="0"/>
  </r>
  <r>
    <s v="0812"/>
    <x v="104"/>
    <n v="16"/>
    <s v="Company P"/>
    <x v="0"/>
    <s v="Jeff"/>
    <x v="0"/>
    <x v="0"/>
    <n v="399"/>
    <n v="1"/>
    <n v="399"/>
    <n v="0"/>
  </r>
  <r>
    <s v="0816"/>
    <x v="105"/>
    <n v="15"/>
    <s v="Company O"/>
    <x v="5"/>
    <s v="Steve"/>
    <x v="3"/>
    <x v="0"/>
    <n v="399"/>
    <n v="4"/>
    <n v="1596"/>
    <n v="0"/>
  </r>
  <r>
    <s v="0818"/>
    <x v="106"/>
    <n v="13"/>
    <s v="Company M"/>
    <x v="3"/>
    <s v="Sara"/>
    <x v="3"/>
    <x v="0"/>
    <n v="399"/>
    <n v="3"/>
    <n v="1197"/>
    <n v="0"/>
  </r>
  <r>
    <s v="0822"/>
    <x v="107"/>
    <n v="19"/>
    <s v="Company S"/>
    <x v="6"/>
    <s v="Jeff"/>
    <x v="0"/>
    <x v="0"/>
    <n v="399"/>
    <n v="4"/>
    <n v="1596"/>
    <n v="0"/>
  </r>
  <r>
    <s v="0825"/>
    <x v="108"/>
    <n v="20"/>
    <s v="Company T"/>
    <x v="0"/>
    <s v="Jeff"/>
    <x v="0"/>
    <x v="0"/>
    <n v="399"/>
    <n v="9"/>
    <n v="3591"/>
    <n v="0"/>
  </r>
  <r>
    <s v="0830"/>
    <x v="109"/>
    <n v="1"/>
    <s v="Company A"/>
    <x v="2"/>
    <s v="Jeff"/>
    <x v="2"/>
    <x v="0"/>
    <n v="399"/>
    <n v="6"/>
    <n v="2394"/>
    <n v="0"/>
  </r>
  <r>
    <s v="0833"/>
    <x v="110"/>
    <n v="16"/>
    <s v="Company P"/>
    <x v="0"/>
    <s v="Jeff"/>
    <x v="0"/>
    <x v="0"/>
    <n v="399"/>
    <n v="9"/>
    <n v="3591"/>
    <n v="0"/>
  </r>
  <r>
    <s v="0835"/>
    <x v="110"/>
    <n v="19"/>
    <s v="Company S"/>
    <x v="0"/>
    <s v="Jeff"/>
    <x v="0"/>
    <x v="0"/>
    <n v="399"/>
    <n v="2"/>
    <n v="798"/>
    <n v="0"/>
  </r>
  <r>
    <s v="0838"/>
    <x v="111"/>
    <n v="7"/>
    <s v="Company G"/>
    <x v="1"/>
    <s v="Steve"/>
    <x v="1"/>
    <x v="0"/>
    <n v="399"/>
    <n v="3"/>
    <n v="1197"/>
    <n v="0"/>
  </r>
  <r>
    <s v="0852"/>
    <x v="112"/>
    <n v="6"/>
    <s v="Company F"/>
    <x v="1"/>
    <s v="Steve"/>
    <x v="1"/>
    <x v="0"/>
    <n v="399"/>
    <n v="9"/>
    <n v="3591"/>
    <n v="0"/>
  </r>
  <r>
    <s v="0853"/>
    <x v="112"/>
    <n v="14"/>
    <s v="Company N"/>
    <x v="5"/>
    <s v="Steve"/>
    <x v="3"/>
    <x v="0"/>
    <n v="399"/>
    <n v="4"/>
    <n v="1596"/>
    <n v="0"/>
  </r>
  <r>
    <s v="0861"/>
    <x v="113"/>
    <n v="14"/>
    <s v="Company N"/>
    <x v="3"/>
    <s v="Sara"/>
    <x v="3"/>
    <x v="0"/>
    <n v="399"/>
    <n v="2"/>
    <n v="798"/>
    <n v="0"/>
  </r>
  <r>
    <s v="0869"/>
    <x v="114"/>
    <n v="14"/>
    <s v="Company N"/>
    <x v="5"/>
    <s v="Steve"/>
    <x v="3"/>
    <x v="0"/>
    <n v="399"/>
    <n v="3"/>
    <n v="1197"/>
    <n v="0"/>
  </r>
  <r>
    <s v="0881"/>
    <x v="115"/>
    <n v="9"/>
    <s v="Company I"/>
    <x v="7"/>
    <s v="Philip"/>
    <x v="1"/>
    <x v="0"/>
    <n v="399"/>
    <n v="7"/>
    <n v="2793"/>
    <n v="0"/>
  </r>
  <r>
    <s v="0897"/>
    <x v="116"/>
    <n v="4"/>
    <s v="Company D"/>
    <x v="2"/>
    <s v="Jeff"/>
    <x v="2"/>
    <x v="0"/>
    <n v="399"/>
    <n v="0"/>
    <n v="0"/>
    <n v="0"/>
  </r>
  <r>
    <s v="0901"/>
    <x v="117"/>
    <n v="15"/>
    <s v="Company O"/>
    <x v="3"/>
    <s v="Sara"/>
    <x v="3"/>
    <x v="0"/>
    <n v="399"/>
    <n v="7"/>
    <n v="2793"/>
    <n v="0"/>
  </r>
  <r>
    <s v="0902"/>
    <x v="118"/>
    <n v="13"/>
    <s v="Company M"/>
    <x v="3"/>
    <s v="Sara"/>
    <x v="3"/>
    <x v="0"/>
    <n v="399"/>
    <n v="4"/>
    <n v="1596"/>
    <n v="0"/>
  </r>
  <r>
    <s v="0919"/>
    <x v="119"/>
    <n v="14"/>
    <s v="Company N"/>
    <x v="5"/>
    <s v="Steve"/>
    <x v="3"/>
    <x v="0"/>
    <n v="399"/>
    <n v="9"/>
    <n v="3591"/>
    <n v="0"/>
  </r>
  <r>
    <s v="0921"/>
    <x v="120"/>
    <n v="17"/>
    <s v="Company Q"/>
    <x v="6"/>
    <s v="Jeff"/>
    <x v="0"/>
    <x v="0"/>
    <n v="399"/>
    <n v="6"/>
    <n v="2394"/>
    <n v="0"/>
  </r>
  <r>
    <s v="0931"/>
    <x v="121"/>
    <n v="17"/>
    <s v="Company Q"/>
    <x v="0"/>
    <s v="Jeff"/>
    <x v="0"/>
    <x v="0"/>
    <n v="399"/>
    <n v="0"/>
    <n v="0"/>
    <n v="0"/>
  </r>
  <r>
    <s v="0938"/>
    <x v="122"/>
    <n v="10"/>
    <s v="Company J"/>
    <x v="7"/>
    <s v="Philip"/>
    <x v="1"/>
    <x v="0"/>
    <n v="399"/>
    <n v="0"/>
    <n v="0"/>
    <n v="0"/>
  </r>
  <r>
    <s v="0942"/>
    <x v="122"/>
    <n v="1"/>
    <s v="Company A"/>
    <x v="2"/>
    <s v="Jeff"/>
    <x v="2"/>
    <x v="0"/>
    <n v="399"/>
    <n v="8"/>
    <n v="3192"/>
    <n v="0"/>
  </r>
  <r>
    <s v="0944"/>
    <x v="123"/>
    <n v="4"/>
    <s v="Company D"/>
    <x v="4"/>
    <s v="Sara"/>
    <x v="2"/>
    <x v="0"/>
    <n v="399"/>
    <n v="1"/>
    <n v="399"/>
    <n v="0"/>
  </r>
  <r>
    <s v="0949"/>
    <x v="124"/>
    <n v="6"/>
    <s v="Company F"/>
    <x v="1"/>
    <s v="Steve"/>
    <x v="1"/>
    <x v="0"/>
    <n v="399"/>
    <n v="5"/>
    <n v="1995"/>
    <n v="0"/>
  </r>
  <r>
    <s v="0952"/>
    <x v="125"/>
    <n v="6"/>
    <s v="Company F"/>
    <x v="1"/>
    <s v="Steve"/>
    <x v="1"/>
    <x v="0"/>
    <n v="399"/>
    <n v="7"/>
    <n v="2793"/>
    <n v="0"/>
  </r>
  <r>
    <s v="0958"/>
    <x v="126"/>
    <n v="9"/>
    <s v="Company I"/>
    <x v="7"/>
    <s v="Philip"/>
    <x v="1"/>
    <x v="0"/>
    <n v="399"/>
    <n v="2"/>
    <n v="798"/>
    <n v="0"/>
  </r>
  <r>
    <s v="0964"/>
    <x v="126"/>
    <n v="7"/>
    <s v="Company G"/>
    <x v="7"/>
    <s v="Philip"/>
    <x v="1"/>
    <x v="0"/>
    <n v="399"/>
    <n v="2"/>
    <n v="798"/>
    <n v="0"/>
  </r>
  <r>
    <s v="0967"/>
    <x v="127"/>
    <n v="14"/>
    <s v="Company N"/>
    <x v="5"/>
    <s v="Steve"/>
    <x v="3"/>
    <x v="0"/>
    <n v="399"/>
    <n v="1"/>
    <n v="399"/>
    <n v="0"/>
  </r>
  <r>
    <s v="0970"/>
    <x v="128"/>
    <n v="7"/>
    <s v="Company G"/>
    <x v="1"/>
    <s v="Steve"/>
    <x v="1"/>
    <x v="0"/>
    <n v="399"/>
    <n v="0"/>
    <n v="0"/>
    <n v="0"/>
  </r>
  <r>
    <s v="0973"/>
    <x v="129"/>
    <n v="13"/>
    <s v="Company M"/>
    <x v="3"/>
    <s v="Sara"/>
    <x v="3"/>
    <x v="0"/>
    <n v="399"/>
    <n v="0"/>
    <n v="0"/>
    <n v="0"/>
  </r>
  <r>
    <s v="0981"/>
    <x v="130"/>
    <n v="2"/>
    <s v="Company B"/>
    <x v="2"/>
    <s v="Jeff"/>
    <x v="2"/>
    <x v="0"/>
    <n v="399"/>
    <n v="4"/>
    <n v="1596"/>
    <n v="0"/>
  </r>
  <r>
    <s v="0983"/>
    <x v="131"/>
    <n v="18"/>
    <s v="Company R"/>
    <x v="0"/>
    <s v="Jeff"/>
    <x v="0"/>
    <x v="0"/>
    <n v="399"/>
    <n v="9"/>
    <n v="3591"/>
    <n v="0"/>
  </r>
  <r>
    <s v="0991"/>
    <x v="132"/>
    <n v="18"/>
    <s v="Company R"/>
    <x v="6"/>
    <s v="Jeff"/>
    <x v="0"/>
    <x v="0"/>
    <n v="399"/>
    <n v="9"/>
    <n v="3591"/>
    <n v="0"/>
  </r>
  <r>
    <s v="0993"/>
    <x v="133"/>
    <n v="10"/>
    <s v="Company J"/>
    <x v="1"/>
    <s v="Steve"/>
    <x v="1"/>
    <x v="0"/>
    <n v="399"/>
    <n v="6"/>
    <n v="2394"/>
    <n v="0"/>
  </r>
  <r>
    <s v="1009"/>
    <x v="134"/>
    <n v="8"/>
    <s v="Company H"/>
    <x v="7"/>
    <s v="Philip"/>
    <x v="1"/>
    <x v="0"/>
    <n v="399"/>
    <n v="0"/>
    <n v="0"/>
    <n v="0"/>
  </r>
  <r>
    <s v="1015"/>
    <x v="135"/>
    <n v="5"/>
    <s v="Company E"/>
    <x v="2"/>
    <s v="Jeff"/>
    <x v="2"/>
    <x v="0"/>
    <n v="399"/>
    <n v="2"/>
    <n v="798"/>
    <n v="0"/>
  </r>
  <r>
    <s v="1018"/>
    <x v="135"/>
    <n v="5"/>
    <s v="Company E"/>
    <x v="4"/>
    <s v="Sara"/>
    <x v="2"/>
    <x v="0"/>
    <n v="399"/>
    <n v="1"/>
    <n v="399"/>
    <n v="0"/>
  </r>
  <r>
    <s v="1019"/>
    <x v="136"/>
    <n v="5"/>
    <s v="Company E"/>
    <x v="4"/>
    <s v="Sara"/>
    <x v="2"/>
    <x v="0"/>
    <n v="399"/>
    <n v="8"/>
    <n v="3192"/>
    <n v="0"/>
  </r>
  <r>
    <s v="1021"/>
    <x v="137"/>
    <n v="16"/>
    <s v="Company P"/>
    <x v="6"/>
    <s v="Jeff"/>
    <x v="0"/>
    <x v="0"/>
    <n v="399"/>
    <n v="3"/>
    <n v="1197"/>
    <n v="0"/>
  </r>
  <r>
    <s v="1023"/>
    <x v="138"/>
    <n v="5"/>
    <s v="Company E"/>
    <x v="4"/>
    <s v="Sara"/>
    <x v="2"/>
    <x v="0"/>
    <n v="399"/>
    <n v="6"/>
    <n v="2394"/>
    <n v="0"/>
  </r>
  <r>
    <s v="1029"/>
    <x v="138"/>
    <n v="8"/>
    <s v="Company H"/>
    <x v="7"/>
    <s v="Philip"/>
    <x v="1"/>
    <x v="0"/>
    <n v="399"/>
    <n v="9"/>
    <n v="3591"/>
    <n v="0"/>
  </r>
  <r>
    <s v="1030"/>
    <x v="138"/>
    <n v="7"/>
    <s v="Company G"/>
    <x v="7"/>
    <s v="Philip"/>
    <x v="1"/>
    <x v="0"/>
    <n v="399"/>
    <n v="5"/>
    <n v="1995"/>
    <n v="0"/>
  </r>
  <r>
    <s v="1031"/>
    <x v="138"/>
    <n v="10"/>
    <s v="Company J"/>
    <x v="1"/>
    <s v="Steve"/>
    <x v="1"/>
    <x v="0"/>
    <n v="399"/>
    <n v="0"/>
    <n v="0"/>
    <n v="0"/>
  </r>
  <r>
    <s v="1034"/>
    <x v="139"/>
    <n v="3"/>
    <s v="Company C"/>
    <x v="2"/>
    <s v="Jeff"/>
    <x v="2"/>
    <x v="0"/>
    <n v="399"/>
    <n v="2"/>
    <n v="798"/>
    <n v="0"/>
  </r>
  <r>
    <s v="1035"/>
    <x v="139"/>
    <n v="4"/>
    <s v="Company D"/>
    <x v="2"/>
    <s v="Jeff"/>
    <x v="2"/>
    <x v="0"/>
    <n v="399"/>
    <n v="6"/>
    <n v="2394"/>
    <n v="0"/>
  </r>
  <r>
    <s v="1036"/>
    <x v="139"/>
    <n v="13"/>
    <s v="Company M"/>
    <x v="3"/>
    <s v="Sara"/>
    <x v="3"/>
    <x v="0"/>
    <n v="399"/>
    <n v="9"/>
    <n v="3591"/>
    <n v="0"/>
  </r>
  <r>
    <s v="1044"/>
    <x v="140"/>
    <n v="9"/>
    <s v="Company I"/>
    <x v="1"/>
    <s v="Steve"/>
    <x v="1"/>
    <x v="0"/>
    <n v="399"/>
    <n v="1"/>
    <n v="399"/>
    <n v="0"/>
  </r>
  <r>
    <s v="1045"/>
    <x v="140"/>
    <n v="11"/>
    <s v="Company K"/>
    <x v="5"/>
    <s v="Steve"/>
    <x v="3"/>
    <x v="0"/>
    <n v="399"/>
    <n v="3"/>
    <n v="1197"/>
    <n v="0"/>
  </r>
  <r>
    <s v="1046"/>
    <x v="141"/>
    <n v="4"/>
    <s v="Company D"/>
    <x v="4"/>
    <s v="Sara"/>
    <x v="2"/>
    <x v="0"/>
    <n v="399"/>
    <n v="5"/>
    <n v="1995"/>
    <n v="0"/>
  </r>
  <r>
    <s v="1049"/>
    <x v="142"/>
    <n v="2"/>
    <s v="Company B"/>
    <x v="2"/>
    <s v="Jeff"/>
    <x v="2"/>
    <x v="0"/>
    <n v="399"/>
    <n v="8"/>
    <n v="3192"/>
    <n v="0"/>
  </r>
  <r>
    <s v="1050"/>
    <x v="142"/>
    <n v="4"/>
    <s v="Company D"/>
    <x v="4"/>
    <s v="Sara"/>
    <x v="2"/>
    <x v="0"/>
    <n v="399"/>
    <n v="6"/>
    <n v="2394"/>
    <n v="0"/>
  </r>
  <r>
    <s v="1058"/>
    <x v="143"/>
    <n v="9"/>
    <s v="Company I"/>
    <x v="1"/>
    <s v="Steve"/>
    <x v="1"/>
    <x v="0"/>
    <n v="399"/>
    <n v="6"/>
    <n v="2394"/>
    <n v="0"/>
  </r>
  <r>
    <s v="1061"/>
    <x v="144"/>
    <n v="8"/>
    <s v="Company H"/>
    <x v="1"/>
    <s v="Steve"/>
    <x v="1"/>
    <x v="0"/>
    <n v="399"/>
    <n v="5"/>
    <n v="1995"/>
    <n v="0"/>
  </r>
  <r>
    <s v="1063"/>
    <x v="145"/>
    <n v="7"/>
    <s v="Company G"/>
    <x v="1"/>
    <s v="Steve"/>
    <x v="1"/>
    <x v="0"/>
    <n v="399"/>
    <n v="3"/>
    <n v="1197"/>
    <n v="0"/>
  </r>
  <r>
    <s v="1067"/>
    <x v="146"/>
    <n v="16"/>
    <s v="Company P"/>
    <x v="0"/>
    <s v="Jeff"/>
    <x v="0"/>
    <x v="0"/>
    <n v="399"/>
    <n v="0"/>
    <n v="0"/>
    <n v="0"/>
  </r>
  <r>
    <s v="1068"/>
    <x v="147"/>
    <n v="5"/>
    <s v="Company E"/>
    <x v="4"/>
    <s v="Sara"/>
    <x v="2"/>
    <x v="0"/>
    <n v="399"/>
    <n v="4"/>
    <n v="1596"/>
    <n v="0"/>
  </r>
  <r>
    <s v="1089"/>
    <x v="148"/>
    <n v="1"/>
    <s v="Company A"/>
    <x v="2"/>
    <s v="Jeff"/>
    <x v="2"/>
    <x v="0"/>
    <n v="399"/>
    <n v="1"/>
    <n v="399"/>
    <n v="0"/>
  </r>
  <r>
    <s v="1096"/>
    <x v="149"/>
    <n v="12"/>
    <s v="Company L"/>
    <x v="3"/>
    <s v="Sara"/>
    <x v="3"/>
    <x v="0"/>
    <n v="399"/>
    <n v="5"/>
    <n v="1995"/>
    <n v="0"/>
  </r>
  <r>
    <s v="1102"/>
    <x v="150"/>
    <n v="12"/>
    <s v="Company L"/>
    <x v="3"/>
    <s v="Sara"/>
    <x v="3"/>
    <x v="0"/>
    <n v="399"/>
    <n v="3"/>
    <n v="1197"/>
    <n v="0"/>
  </r>
  <r>
    <s v="1103"/>
    <x v="150"/>
    <n v="5"/>
    <s v="Company E"/>
    <x v="4"/>
    <s v="Sara"/>
    <x v="2"/>
    <x v="0"/>
    <n v="399"/>
    <n v="0"/>
    <n v="0"/>
    <n v="0"/>
  </r>
  <r>
    <s v="1108"/>
    <x v="150"/>
    <n v="14"/>
    <s v="Company N"/>
    <x v="3"/>
    <s v="Sara"/>
    <x v="3"/>
    <x v="0"/>
    <n v="399"/>
    <n v="5"/>
    <n v="1995"/>
    <n v="0"/>
  </r>
  <r>
    <s v="1111"/>
    <x v="151"/>
    <n v="4"/>
    <s v="Company D"/>
    <x v="2"/>
    <s v="Jeff"/>
    <x v="2"/>
    <x v="0"/>
    <n v="399"/>
    <n v="8"/>
    <n v="3192"/>
    <n v="0"/>
  </r>
  <r>
    <s v="1118"/>
    <x v="151"/>
    <n v="18"/>
    <s v="Company R"/>
    <x v="6"/>
    <s v="Jeff"/>
    <x v="0"/>
    <x v="0"/>
    <n v="399"/>
    <n v="7"/>
    <n v="2793"/>
    <n v="0"/>
  </r>
  <r>
    <s v="1121"/>
    <x v="152"/>
    <n v="14"/>
    <s v="Company N"/>
    <x v="5"/>
    <s v="Steve"/>
    <x v="3"/>
    <x v="0"/>
    <n v="399"/>
    <n v="7"/>
    <n v="2793"/>
    <n v="0"/>
  </r>
  <r>
    <s v="1128"/>
    <x v="153"/>
    <n v="9"/>
    <s v="Company I"/>
    <x v="1"/>
    <s v="Steve"/>
    <x v="1"/>
    <x v="0"/>
    <n v="399"/>
    <n v="2"/>
    <n v="798"/>
    <n v="0"/>
  </r>
  <r>
    <s v="1142"/>
    <x v="154"/>
    <n v="16"/>
    <s v="Company P"/>
    <x v="6"/>
    <s v="Jeff"/>
    <x v="0"/>
    <x v="0"/>
    <n v="399"/>
    <n v="8"/>
    <n v="3192"/>
    <n v="0"/>
  </r>
  <r>
    <s v="1144"/>
    <x v="155"/>
    <n v="11"/>
    <s v="Company K"/>
    <x v="3"/>
    <s v="Sara"/>
    <x v="3"/>
    <x v="0"/>
    <n v="399"/>
    <n v="2"/>
    <n v="798"/>
    <n v="0"/>
  </r>
  <r>
    <s v="1145"/>
    <x v="156"/>
    <n v="12"/>
    <s v="Company L"/>
    <x v="3"/>
    <s v="Sara"/>
    <x v="3"/>
    <x v="0"/>
    <n v="399"/>
    <n v="8"/>
    <n v="3192"/>
    <n v="0"/>
  </r>
  <r>
    <s v="1147"/>
    <x v="157"/>
    <n v="20"/>
    <s v="Company T"/>
    <x v="0"/>
    <s v="Jeff"/>
    <x v="0"/>
    <x v="0"/>
    <n v="399"/>
    <n v="4"/>
    <n v="1596"/>
    <n v="0"/>
  </r>
  <r>
    <s v="1178"/>
    <x v="158"/>
    <n v="19"/>
    <s v="Company S"/>
    <x v="6"/>
    <s v="Jeff"/>
    <x v="0"/>
    <x v="0"/>
    <n v="399"/>
    <n v="5"/>
    <n v="1995"/>
    <n v="0"/>
  </r>
  <r>
    <s v="1179"/>
    <x v="158"/>
    <n v="10"/>
    <s v="Company J"/>
    <x v="1"/>
    <s v="Steve"/>
    <x v="1"/>
    <x v="0"/>
    <n v="399"/>
    <n v="7"/>
    <n v="2793"/>
    <n v="0"/>
  </r>
  <r>
    <s v="1181"/>
    <x v="158"/>
    <n v="11"/>
    <s v="Company K"/>
    <x v="5"/>
    <s v="Steve"/>
    <x v="3"/>
    <x v="0"/>
    <n v="399"/>
    <n v="4"/>
    <n v="1596"/>
    <n v="0"/>
  </r>
  <r>
    <s v="1183"/>
    <x v="159"/>
    <n v="3"/>
    <s v="Company C"/>
    <x v="4"/>
    <s v="Sara"/>
    <x v="2"/>
    <x v="0"/>
    <n v="399"/>
    <n v="7"/>
    <n v="2793"/>
    <n v="0"/>
  </r>
  <r>
    <s v="1187"/>
    <x v="159"/>
    <n v="4"/>
    <s v="Company D"/>
    <x v="4"/>
    <s v="Sara"/>
    <x v="2"/>
    <x v="0"/>
    <n v="399"/>
    <n v="2"/>
    <n v="798"/>
    <n v="0"/>
  </r>
  <r>
    <s v="1190"/>
    <x v="159"/>
    <n v="2"/>
    <s v="Company B"/>
    <x v="2"/>
    <s v="Jeff"/>
    <x v="2"/>
    <x v="0"/>
    <n v="399"/>
    <n v="4"/>
    <n v="1596"/>
    <n v="0"/>
  </r>
  <r>
    <s v="1191"/>
    <x v="159"/>
    <n v="18"/>
    <s v="Company R"/>
    <x v="0"/>
    <s v="Jeff"/>
    <x v="0"/>
    <x v="0"/>
    <n v="399"/>
    <n v="1"/>
    <n v="399"/>
    <n v="0"/>
  </r>
  <r>
    <s v="1195"/>
    <x v="160"/>
    <n v="19"/>
    <s v="Company S"/>
    <x v="6"/>
    <s v="Jeff"/>
    <x v="0"/>
    <x v="0"/>
    <n v="399"/>
    <n v="8"/>
    <n v="3192"/>
    <n v="0"/>
  </r>
  <r>
    <s v="1203"/>
    <x v="161"/>
    <n v="14"/>
    <s v="Company N"/>
    <x v="3"/>
    <s v="Sara"/>
    <x v="3"/>
    <x v="0"/>
    <n v="399"/>
    <n v="2"/>
    <n v="798"/>
    <n v="0"/>
  </r>
  <r>
    <s v="1208"/>
    <x v="162"/>
    <n v="7"/>
    <s v="Company G"/>
    <x v="7"/>
    <s v="Philip"/>
    <x v="1"/>
    <x v="0"/>
    <n v="399"/>
    <n v="6"/>
    <n v="2394"/>
    <n v="0"/>
  </r>
  <r>
    <s v="1209"/>
    <x v="162"/>
    <n v="12"/>
    <s v="Company L"/>
    <x v="5"/>
    <s v="Steve"/>
    <x v="3"/>
    <x v="0"/>
    <n v="399"/>
    <n v="3"/>
    <n v="1197"/>
    <n v="0"/>
  </r>
  <r>
    <s v="1223"/>
    <x v="163"/>
    <n v="18"/>
    <s v="Company R"/>
    <x v="0"/>
    <s v="Jeff"/>
    <x v="0"/>
    <x v="0"/>
    <n v="399"/>
    <n v="9"/>
    <n v="3591"/>
    <n v="0"/>
  </r>
  <r>
    <s v="1225"/>
    <x v="164"/>
    <n v="7"/>
    <s v="Company G"/>
    <x v="1"/>
    <s v="Steve"/>
    <x v="1"/>
    <x v="0"/>
    <n v="399"/>
    <n v="8"/>
    <n v="3192"/>
    <n v="0"/>
  </r>
  <r>
    <s v="1226"/>
    <x v="164"/>
    <n v="1"/>
    <s v="Company A"/>
    <x v="4"/>
    <s v="Sara"/>
    <x v="2"/>
    <x v="0"/>
    <n v="399"/>
    <n v="4"/>
    <n v="1596"/>
    <n v="0"/>
  </r>
  <r>
    <s v="1227"/>
    <x v="164"/>
    <n v="10"/>
    <s v="Company J"/>
    <x v="7"/>
    <s v="Philip"/>
    <x v="1"/>
    <x v="0"/>
    <n v="399"/>
    <n v="4"/>
    <n v="1596"/>
    <n v="0"/>
  </r>
  <r>
    <s v="1230"/>
    <x v="165"/>
    <n v="3"/>
    <s v="Company C"/>
    <x v="2"/>
    <s v="Jeff"/>
    <x v="2"/>
    <x v="0"/>
    <n v="399"/>
    <n v="5"/>
    <n v="1995"/>
    <n v="0"/>
  </r>
  <r>
    <s v="1237"/>
    <x v="166"/>
    <n v="2"/>
    <s v="Company B"/>
    <x v="4"/>
    <s v="Sara"/>
    <x v="2"/>
    <x v="0"/>
    <n v="399"/>
    <n v="7"/>
    <n v="2793"/>
    <n v="0"/>
  </r>
  <r>
    <s v="1249"/>
    <x v="167"/>
    <n v="9"/>
    <s v="Company I"/>
    <x v="1"/>
    <s v="Steve"/>
    <x v="1"/>
    <x v="0"/>
    <n v="399"/>
    <n v="7"/>
    <n v="2793"/>
    <n v="0"/>
  </r>
  <r>
    <s v="1255"/>
    <x v="168"/>
    <n v="14"/>
    <s v="Company N"/>
    <x v="3"/>
    <s v="Sara"/>
    <x v="3"/>
    <x v="0"/>
    <n v="399"/>
    <n v="4"/>
    <n v="1596"/>
    <n v="0"/>
  </r>
  <r>
    <s v="1256"/>
    <x v="168"/>
    <n v="8"/>
    <s v="Company H"/>
    <x v="7"/>
    <s v="Philip"/>
    <x v="1"/>
    <x v="0"/>
    <n v="399"/>
    <n v="9"/>
    <n v="3591"/>
    <n v="0"/>
  </r>
  <r>
    <s v="1259"/>
    <x v="169"/>
    <n v="7"/>
    <s v="Company G"/>
    <x v="7"/>
    <s v="Philip"/>
    <x v="1"/>
    <x v="0"/>
    <n v="399"/>
    <n v="5"/>
    <n v="1995"/>
    <n v="0"/>
  </r>
  <r>
    <s v="1263"/>
    <x v="170"/>
    <n v="20"/>
    <s v="Company T"/>
    <x v="6"/>
    <s v="Jeff"/>
    <x v="0"/>
    <x v="0"/>
    <n v="399"/>
    <n v="2"/>
    <n v="798"/>
    <n v="0"/>
  </r>
  <r>
    <s v="1264"/>
    <x v="171"/>
    <n v="10"/>
    <s v="Company J"/>
    <x v="7"/>
    <s v="Philip"/>
    <x v="1"/>
    <x v="0"/>
    <n v="399"/>
    <n v="5"/>
    <n v="1995"/>
    <n v="0"/>
  </r>
  <r>
    <s v="1269"/>
    <x v="172"/>
    <n v="13"/>
    <s v="Company M"/>
    <x v="3"/>
    <s v="Sara"/>
    <x v="3"/>
    <x v="0"/>
    <n v="399"/>
    <n v="6"/>
    <n v="2394"/>
    <n v="0"/>
  </r>
  <r>
    <s v="1275"/>
    <x v="173"/>
    <n v="8"/>
    <s v="Company H"/>
    <x v="1"/>
    <s v="Steve"/>
    <x v="1"/>
    <x v="0"/>
    <n v="399"/>
    <n v="7"/>
    <n v="2793"/>
    <n v="0"/>
  </r>
  <r>
    <s v="1276"/>
    <x v="173"/>
    <n v="14"/>
    <s v="Company N"/>
    <x v="5"/>
    <s v="Steve"/>
    <x v="3"/>
    <x v="0"/>
    <n v="399"/>
    <n v="9"/>
    <n v="3591"/>
    <n v="0"/>
  </r>
  <r>
    <s v="1277"/>
    <x v="174"/>
    <n v="9"/>
    <s v="Company I"/>
    <x v="7"/>
    <s v="Philip"/>
    <x v="1"/>
    <x v="0"/>
    <n v="399"/>
    <n v="5"/>
    <n v="1995"/>
    <n v="0"/>
  </r>
  <r>
    <s v="1278"/>
    <x v="174"/>
    <n v="3"/>
    <s v="Company C"/>
    <x v="4"/>
    <s v="Sara"/>
    <x v="2"/>
    <x v="0"/>
    <n v="399"/>
    <n v="7"/>
    <n v="2793"/>
    <n v="0"/>
  </r>
  <r>
    <s v="1283"/>
    <x v="174"/>
    <n v="7"/>
    <s v="Company G"/>
    <x v="7"/>
    <s v="Philip"/>
    <x v="1"/>
    <x v="0"/>
    <n v="399"/>
    <n v="3"/>
    <n v="1197"/>
    <n v="0"/>
  </r>
  <r>
    <s v="1287"/>
    <x v="174"/>
    <n v="16"/>
    <s v="Company P"/>
    <x v="6"/>
    <s v="Jeff"/>
    <x v="0"/>
    <x v="0"/>
    <n v="399"/>
    <n v="7"/>
    <n v="2793"/>
    <n v="0"/>
  </r>
  <r>
    <s v="1295"/>
    <x v="175"/>
    <n v="18"/>
    <s v="Company R"/>
    <x v="6"/>
    <s v="Jeff"/>
    <x v="0"/>
    <x v="0"/>
    <n v="399"/>
    <n v="3"/>
    <n v="1197"/>
    <n v="0"/>
  </r>
  <r>
    <s v="1298"/>
    <x v="176"/>
    <n v="3"/>
    <s v="Company C"/>
    <x v="4"/>
    <s v="Sara"/>
    <x v="2"/>
    <x v="0"/>
    <n v="399"/>
    <n v="3"/>
    <n v="1197"/>
    <n v="0"/>
  </r>
  <r>
    <s v="1304"/>
    <x v="177"/>
    <n v="8"/>
    <s v="Company H"/>
    <x v="7"/>
    <s v="Philip"/>
    <x v="1"/>
    <x v="0"/>
    <n v="399"/>
    <n v="5"/>
    <n v="1995"/>
    <n v="0"/>
  </r>
  <r>
    <s v="1307"/>
    <x v="177"/>
    <n v="3"/>
    <s v="Company C"/>
    <x v="4"/>
    <s v="Sara"/>
    <x v="2"/>
    <x v="0"/>
    <n v="399"/>
    <n v="8"/>
    <n v="3192"/>
    <n v="0"/>
  </r>
  <r>
    <s v="1308"/>
    <x v="178"/>
    <n v="4"/>
    <s v="Company D"/>
    <x v="2"/>
    <s v="Jeff"/>
    <x v="2"/>
    <x v="0"/>
    <n v="399"/>
    <n v="2"/>
    <n v="798"/>
    <n v="0"/>
  </r>
  <r>
    <s v="1309"/>
    <x v="178"/>
    <n v="2"/>
    <s v="Company B"/>
    <x v="4"/>
    <s v="Sara"/>
    <x v="2"/>
    <x v="0"/>
    <n v="399"/>
    <n v="6"/>
    <n v="2394"/>
    <n v="0"/>
  </r>
  <r>
    <s v="1318"/>
    <x v="179"/>
    <n v="14"/>
    <s v="Company N"/>
    <x v="3"/>
    <s v="Sara"/>
    <x v="3"/>
    <x v="0"/>
    <n v="399"/>
    <n v="2"/>
    <n v="798"/>
    <n v="0"/>
  </r>
  <r>
    <s v="1322"/>
    <x v="180"/>
    <n v="19"/>
    <s v="Company S"/>
    <x v="6"/>
    <s v="Jeff"/>
    <x v="0"/>
    <x v="0"/>
    <n v="399"/>
    <n v="9"/>
    <n v="3591"/>
    <n v="0"/>
  </r>
  <r>
    <s v="1325"/>
    <x v="181"/>
    <n v="8"/>
    <s v="Company H"/>
    <x v="7"/>
    <s v="Philip"/>
    <x v="1"/>
    <x v="0"/>
    <n v="399"/>
    <n v="3"/>
    <n v="1197"/>
    <n v="0"/>
  </r>
  <r>
    <s v="1330"/>
    <x v="182"/>
    <n v="7"/>
    <s v="Company G"/>
    <x v="7"/>
    <s v="Philip"/>
    <x v="1"/>
    <x v="0"/>
    <n v="399"/>
    <n v="7"/>
    <n v="2793"/>
    <n v="0"/>
  </r>
  <r>
    <s v="1334"/>
    <x v="183"/>
    <n v="12"/>
    <s v="Company L"/>
    <x v="3"/>
    <s v="Sara"/>
    <x v="3"/>
    <x v="0"/>
    <n v="399"/>
    <n v="1"/>
    <n v="399"/>
    <n v="0"/>
  </r>
  <r>
    <s v="1338"/>
    <x v="184"/>
    <n v="9"/>
    <s v="Company I"/>
    <x v="1"/>
    <s v="Steve"/>
    <x v="1"/>
    <x v="0"/>
    <n v="399"/>
    <n v="0"/>
    <n v="0"/>
    <n v="0"/>
  </r>
  <r>
    <s v="1354"/>
    <x v="185"/>
    <n v="19"/>
    <s v="Company S"/>
    <x v="6"/>
    <s v="Jeff"/>
    <x v="0"/>
    <x v="0"/>
    <n v="399"/>
    <n v="3"/>
    <n v="1197"/>
    <n v="0"/>
  </r>
  <r>
    <s v="1360"/>
    <x v="186"/>
    <n v="17"/>
    <s v="Company Q"/>
    <x v="6"/>
    <s v="Jeff"/>
    <x v="0"/>
    <x v="0"/>
    <n v="399"/>
    <n v="6"/>
    <n v="2394"/>
    <n v="0"/>
  </r>
  <r>
    <s v="1362"/>
    <x v="186"/>
    <n v="9"/>
    <s v="Company I"/>
    <x v="7"/>
    <s v="Philip"/>
    <x v="1"/>
    <x v="0"/>
    <n v="399"/>
    <n v="5"/>
    <n v="1995"/>
    <n v="0"/>
  </r>
  <r>
    <s v="1368"/>
    <x v="187"/>
    <n v="19"/>
    <s v="Company S"/>
    <x v="0"/>
    <s v="Jeff"/>
    <x v="0"/>
    <x v="0"/>
    <n v="399"/>
    <n v="9"/>
    <n v="3591"/>
    <n v="0"/>
  </r>
  <r>
    <s v="1370"/>
    <x v="188"/>
    <n v="19"/>
    <s v="Company S"/>
    <x v="6"/>
    <s v="Jeff"/>
    <x v="0"/>
    <x v="0"/>
    <n v="399"/>
    <n v="2"/>
    <n v="798"/>
    <n v="0"/>
  </r>
  <r>
    <s v="1371"/>
    <x v="188"/>
    <n v="15"/>
    <s v="Company O"/>
    <x v="3"/>
    <s v="Sara"/>
    <x v="3"/>
    <x v="0"/>
    <n v="399"/>
    <n v="9"/>
    <n v="3591"/>
    <n v="0"/>
  </r>
  <r>
    <s v="1376"/>
    <x v="189"/>
    <n v="7"/>
    <s v="Company G"/>
    <x v="1"/>
    <s v="Steve"/>
    <x v="1"/>
    <x v="0"/>
    <n v="399"/>
    <n v="6"/>
    <n v="2394"/>
    <n v="0"/>
  </r>
  <r>
    <s v="1378"/>
    <x v="189"/>
    <n v="14"/>
    <s v="Company N"/>
    <x v="3"/>
    <s v="Sara"/>
    <x v="3"/>
    <x v="0"/>
    <n v="399"/>
    <n v="7"/>
    <n v="2793"/>
    <n v="0"/>
  </r>
  <r>
    <s v="1383"/>
    <x v="190"/>
    <n v="14"/>
    <s v="Company N"/>
    <x v="5"/>
    <s v="Steve"/>
    <x v="3"/>
    <x v="0"/>
    <n v="399"/>
    <n v="8"/>
    <n v="3192"/>
    <n v="0"/>
  </r>
  <r>
    <s v="1385"/>
    <x v="190"/>
    <n v="17"/>
    <s v="Company Q"/>
    <x v="6"/>
    <s v="Jeff"/>
    <x v="0"/>
    <x v="0"/>
    <n v="399"/>
    <n v="5"/>
    <n v="1995"/>
    <n v="0"/>
  </r>
  <r>
    <s v="1388"/>
    <x v="190"/>
    <n v="9"/>
    <s v="Company I"/>
    <x v="1"/>
    <s v="Steve"/>
    <x v="1"/>
    <x v="0"/>
    <n v="399"/>
    <n v="9"/>
    <n v="3591"/>
    <n v="0"/>
  </r>
  <r>
    <s v="1391"/>
    <x v="190"/>
    <n v="10"/>
    <s v="Company J"/>
    <x v="1"/>
    <s v="Steve"/>
    <x v="1"/>
    <x v="0"/>
    <n v="399"/>
    <n v="0"/>
    <n v="0"/>
    <n v="0"/>
  </r>
  <r>
    <s v="1396"/>
    <x v="191"/>
    <n v="11"/>
    <s v="Company K"/>
    <x v="3"/>
    <s v="Sara"/>
    <x v="3"/>
    <x v="0"/>
    <n v="399"/>
    <n v="9"/>
    <n v="3591"/>
    <n v="0"/>
  </r>
  <r>
    <s v="1400"/>
    <x v="192"/>
    <n v="5"/>
    <s v="Company E"/>
    <x v="4"/>
    <s v="Sara"/>
    <x v="2"/>
    <x v="0"/>
    <n v="399"/>
    <n v="1"/>
    <n v="399"/>
    <n v="0"/>
  </r>
  <r>
    <s v="1403"/>
    <x v="192"/>
    <n v="9"/>
    <s v="Company I"/>
    <x v="7"/>
    <s v="Philip"/>
    <x v="1"/>
    <x v="0"/>
    <n v="399"/>
    <n v="9"/>
    <n v="3591"/>
    <n v="0"/>
  </r>
  <r>
    <s v="1407"/>
    <x v="193"/>
    <n v="12"/>
    <s v="Company L"/>
    <x v="5"/>
    <s v="Steve"/>
    <x v="3"/>
    <x v="0"/>
    <n v="399"/>
    <n v="8"/>
    <n v="3192"/>
    <n v="0"/>
  </r>
  <r>
    <s v="1408"/>
    <x v="194"/>
    <n v="3"/>
    <s v="Company C"/>
    <x v="2"/>
    <s v="Jeff"/>
    <x v="2"/>
    <x v="0"/>
    <n v="399"/>
    <n v="9"/>
    <n v="3591"/>
    <n v="0"/>
  </r>
  <r>
    <s v="1409"/>
    <x v="194"/>
    <n v="18"/>
    <s v="Company R"/>
    <x v="0"/>
    <s v="Jeff"/>
    <x v="0"/>
    <x v="0"/>
    <n v="399"/>
    <n v="3"/>
    <n v="1197"/>
    <n v="0"/>
  </r>
  <r>
    <s v="1413"/>
    <x v="195"/>
    <n v="4"/>
    <s v="Company D"/>
    <x v="2"/>
    <s v="Jeff"/>
    <x v="2"/>
    <x v="0"/>
    <n v="399"/>
    <n v="6"/>
    <n v="2394"/>
    <n v="0"/>
  </r>
  <r>
    <s v="1423"/>
    <x v="196"/>
    <n v="7"/>
    <s v="Company G"/>
    <x v="7"/>
    <s v="Philip"/>
    <x v="1"/>
    <x v="0"/>
    <n v="399"/>
    <n v="2"/>
    <n v="798"/>
    <n v="0"/>
  </r>
  <r>
    <s v="1426"/>
    <x v="197"/>
    <n v="13"/>
    <s v="Company M"/>
    <x v="5"/>
    <s v="Steve"/>
    <x v="3"/>
    <x v="0"/>
    <n v="399"/>
    <n v="0"/>
    <n v="0"/>
    <n v="0"/>
  </r>
  <r>
    <s v="1427"/>
    <x v="197"/>
    <n v="10"/>
    <s v="Company J"/>
    <x v="1"/>
    <s v="Steve"/>
    <x v="1"/>
    <x v="0"/>
    <n v="399"/>
    <n v="8"/>
    <n v="3192"/>
    <n v="0"/>
  </r>
  <r>
    <s v="1429"/>
    <x v="198"/>
    <n v="1"/>
    <s v="Company A"/>
    <x v="4"/>
    <s v="Sara"/>
    <x v="2"/>
    <x v="0"/>
    <n v="399"/>
    <n v="4"/>
    <n v="1596"/>
    <n v="0"/>
  </r>
  <r>
    <s v="1431"/>
    <x v="199"/>
    <n v="8"/>
    <s v="Company H"/>
    <x v="7"/>
    <s v="Philip"/>
    <x v="1"/>
    <x v="0"/>
    <n v="399"/>
    <n v="0"/>
    <n v="0"/>
    <n v="0"/>
  </r>
  <r>
    <s v="1446"/>
    <x v="200"/>
    <n v="12"/>
    <s v="Company L"/>
    <x v="5"/>
    <s v="Steve"/>
    <x v="3"/>
    <x v="0"/>
    <n v="399"/>
    <n v="5"/>
    <n v="1995"/>
    <n v="0"/>
  </r>
  <r>
    <s v="1452"/>
    <x v="201"/>
    <n v="9"/>
    <s v="Company I"/>
    <x v="1"/>
    <s v="Steve"/>
    <x v="1"/>
    <x v="0"/>
    <n v="399"/>
    <n v="5"/>
    <n v="1995"/>
    <n v="0"/>
  </r>
  <r>
    <s v="1465"/>
    <x v="202"/>
    <n v="13"/>
    <s v="Company M"/>
    <x v="5"/>
    <s v="Steve"/>
    <x v="3"/>
    <x v="0"/>
    <n v="399"/>
    <n v="0"/>
    <n v="0"/>
    <n v="0"/>
  </r>
  <r>
    <s v="1466"/>
    <x v="203"/>
    <n v="9"/>
    <s v="Company I"/>
    <x v="7"/>
    <s v="Philip"/>
    <x v="1"/>
    <x v="0"/>
    <n v="399"/>
    <n v="7"/>
    <n v="2793"/>
    <n v="0"/>
  </r>
  <r>
    <s v="1468"/>
    <x v="204"/>
    <n v="6"/>
    <s v="Company F"/>
    <x v="7"/>
    <s v="Philip"/>
    <x v="1"/>
    <x v="0"/>
    <n v="399"/>
    <n v="0"/>
    <n v="0"/>
    <n v="0"/>
  </r>
  <r>
    <s v="1471"/>
    <x v="205"/>
    <n v="5"/>
    <s v="Company E"/>
    <x v="4"/>
    <s v="Sara"/>
    <x v="2"/>
    <x v="0"/>
    <n v="399"/>
    <n v="8"/>
    <n v="3192"/>
    <n v="0"/>
  </r>
  <r>
    <s v="1475"/>
    <x v="205"/>
    <n v="13"/>
    <s v="Company M"/>
    <x v="3"/>
    <s v="Sara"/>
    <x v="3"/>
    <x v="0"/>
    <n v="399"/>
    <n v="5"/>
    <n v="1995"/>
    <n v="0"/>
  </r>
  <r>
    <s v="1477"/>
    <x v="206"/>
    <n v="4"/>
    <s v="Company D"/>
    <x v="2"/>
    <s v="Jeff"/>
    <x v="2"/>
    <x v="0"/>
    <n v="399"/>
    <n v="7"/>
    <n v="2793"/>
    <n v="0"/>
  </r>
  <r>
    <s v="1478"/>
    <x v="206"/>
    <n v="4"/>
    <s v="Company D"/>
    <x v="4"/>
    <s v="Sara"/>
    <x v="2"/>
    <x v="0"/>
    <n v="399"/>
    <n v="9"/>
    <n v="3591"/>
    <n v="0"/>
  </r>
  <r>
    <s v="1479"/>
    <x v="206"/>
    <n v="10"/>
    <s v="Company J"/>
    <x v="7"/>
    <s v="Philip"/>
    <x v="1"/>
    <x v="0"/>
    <n v="399"/>
    <n v="4"/>
    <n v="1596"/>
    <n v="0"/>
  </r>
  <r>
    <s v="1480"/>
    <x v="207"/>
    <n v="6"/>
    <s v="Company F"/>
    <x v="7"/>
    <s v="Philip"/>
    <x v="1"/>
    <x v="0"/>
    <n v="399"/>
    <n v="6"/>
    <n v="2394"/>
    <n v="0"/>
  </r>
  <r>
    <s v="1483"/>
    <x v="207"/>
    <n v="20"/>
    <s v="Company T"/>
    <x v="0"/>
    <s v="Jeff"/>
    <x v="0"/>
    <x v="0"/>
    <n v="399"/>
    <n v="9"/>
    <n v="3591"/>
    <n v="0"/>
  </r>
  <r>
    <s v="1490"/>
    <x v="208"/>
    <n v="19"/>
    <s v="Company S"/>
    <x v="6"/>
    <s v="Jeff"/>
    <x v="0"/>
    <x v="0"/>
    <n v="399"/>
    <n v="1"/>
    <n v="399"/>
    <n v="0"/>
  </r>
  <r>
    <s v="1491"/>
    <x v="208"/>
    <n v="5"/>
    <s v="Company E"/>
    <x v="2"/>
    <s v="Jeff"/>
    <x v="2"/>
    <x v="0"/>
    <n v="399"/>
    <n v="8"/>
    <n v="3192"/>
    <n v="0"/>
  </r>
  <r>
    <s v="1492"/>
    <x v="208"/>
    <n v="11"/>
    <s v="Company K"/>
    <x v="5"/>
    <s v="Steve"/>
    <x v="3"/>
    <x v="0"/>
    <n v="399"/>
    <n v="6"/>
    <n v="2394"/>
    <n v="0"/>
  </r>
  <r>
    <s v="1493"/>
    <x v="208"/>
    <n v="8"/>
    <s v="Company H"/>
    <x v="1"/>
    <s v="Steve"/>
    <x v="1"/>
    <x v="0"/>
    <n v="399"/>
    <n v="2"/>
    <n v="798"/>
    <n v="0"/>
  </r>
  <r>
    <s v="1496"/>
    <x v="209"/>
    <n v="10"/>
    <s v="Company J"/>
    <x v="7"/>
    <s v="Philip"/>
    <x v="1"/>
    <x v="0"/>
    <n v="399"/>
    <n v="5"/>
    <n v="1995"/>
    <n v="0"/>
  </r>
  <r>
    <s v="1504"/>
    <x v="210"/>
    <n v="11"/>
    <s v="Company K"/>
    <x v="3"/>
    <s v="Sara"/>
    <x v="3"/>
    <x v="0"/>
    <n v="399"/>
    <n v="5"/>
    <n v="1995"/>
    <n v="0"/>
  </r>
  <r>
    <s v="1511"/>
    <x v="211"/>
    <n v="16"/>
    <s v="Company P"/>
    <x v="0"/>
    <s v="Jeff"/>
    <x v="0"/>
    <x v="0"/>
    <n v="399"/>
    <n v="3"/>
    <n v="1197"/>
    <n v="0"/>
  </r>
  <r>
    <s v="1515"/>
    <x v="211"/>
    <n v="18"/>
    <s v="Company R"/>
    <x v="6"/>
    <s v="Jeff"/>
    <x v="0"/>
    <x v="0"/>
    <n v="399"/>
    <n v="6"/>
    <n v="2394"/>
    <n v="0"/>
  </r>
  <r>
    <s v="1521"/>
    <x v="212"/>
    <n v="19"/>
    <s v="Company S"/>
    <x v="6"/>
    <s v="Jeff"/>
    <x v="0"/>
    <x v="0"/>
    <n v="399"/>
    <n v="5"/>
    <n v="1995"/>
    <n v="0"/>
  </r>
  <r>
    <s v="1530"/>
    <x v="213"/>
    <n v="15"/>
    <s v="Company O"/>
    <x v="3"/>
    <s v="Sara"/>
    <x v="3"/>
    <x v="0"/>
    <n v="399"/>
    <n v="0"/>
    <n v="0"/>
    <n v="0"/>
  </r>
  <r>
    <s v="1537"/>
    <x v="214"/>
    <n v="17"/>
    <s v="Company Q"/>
    <x v="6"/>
    <s v="Jeff"/>
    <x v="0"/>
    <x v="0"/>
    <n v="399"/>
    <n v="1"/>
    <n v="399"/>
    <n v="0"/>
  </r>
  <r>
    <s v="1543"/>
    <x v="215"/>
    <n v="11"/>
    <s v="Company K"/>
    <x v="5"/>
    <s v="Steve"/>
    <x v="3"/>
    <x v="0"/>
    <n v="399"/>
    <n v="2"/>
    <n v="798"/>
    <n v="0"/>
  </r>
  <r>
    <s v="1545"/>
    <x v="216"/>
    <n v="11"/>
    <s v="Company K"/>
    <x v="3"/>
    <s v="Sara"/>
    <x v="3"/>
    <x v="0"/>
    <n v="399"/>
    <n v="6"/>
    <n v="2394"/>
    <n v="0"/>
  </r>
  <r>
    <s v="1551"/>
    <x v="217"/>
    <n v="1"/>
    <s v="Company A"/>
    <x v="4"/>
    <s v="Sara"/>
    <x v="2"/>
    <x v="0"/>
    <n v="399"/>
    <n v="7"/>
    <n v="2793"/>
    <n v="0"/>
  </r>
  <r>
    <s v="1558"/>
    <x v="218"/>
    <n v="2"/>
    <s v="Company B"/>
    <x v="4"/>
    <s v="Sara"/>
    <x v="2"/>
    <x v="0"/>
    <n v="399"/>
    <n v="4"/>
    <n v="1596"/>
    <n v="0"/>
  </r>
  <r>
    <s v="1559"/>
    <x v="219"/>
    <n v="10"/>
    <s v="Company J"/>
    <x v="7"/>
    <s v="Philip"/>
    <x v="1"/>
    <x v="0"/>
    <n v="399"/>
    <n v="1"/>
    <n v="399"/>
    <n v="0"/>
  </r>
  <r>
    <s v="1563"/>
    <x v="220"/>
    <n v="19"/>
    <s v="Company S"/>
    <x v="0"/>
    <s v="Jeff"/>
    <x v="0"/>
    <x v="0"/>
    <n v="399"/>
    <n v="8"/>
    <n v="3192"/>
    <n v="0"/>
  </r>
  <r>
    <s v="1572"/>
    <x v="221"/>
    <n v="14"/>
    <s v="Company N"/>
    <x v="5"/>
    <s v="Steve"/>
    <x v="3"/>
    <x v="0"/>
    <n v="399"/>
    <n v="4"/>
    <n v="1596"/>
    <n v="0"/>
  </r>
  <r>
    <s v="1576"/>
    <x v="222"/>
    <n v="12"/>
    <s v="Company L"/>
    <x v="5"/>
    <s v="Steve"/>
    <x v="3"/>
    <x v="0"/>
    <n v="399"/>
    <n v="2"/>
    <n v="798"/>
    <n v="0"/>
  </r>
  <r>
    <s v="1594"/>
    <x v="223"/>
    <n v="11"/>
    <s v="Company K"/>
    <x v="5"/>
    <s v="Steve"/>
    <x v="3"/>
    <x v="0"/>
    <n v="399"/>
    <n v="0"/>
    <n v="0"/>
    <n v="0"/>
  </r>
  <r>
    <s v="1601"/>
    <x v="224"/>
    <n v="17"/>
    <s v="Company Q"/>
    <x v="6"/>
    <s v="Jeff"/>
    <x v="0"/>
    <x v="0"/>
    <n v="399"/>
    <n v="2"/>
    <n v="798"/>
    <n v="0"/>
  </r>
  <r>
    <s v="1620"/>
    <x v="225"/>
    <n v="9"/>
    <s v="Company I"/>
    <x v="1"/>
    <s v="Steve"/>
    <x v="1"/>
    <x v="0"/>
    <n v="399"/>
    <n v="0"/>
    <n v="0"/>
    <n v="0"/>
  </r>
  <r>
    <s v="1627"/>
    <x v="226"/>
    <n v="5"/>
    <s v="Company E"/>
    <x v="4"/>
    <s v="Sara"/>
    <x v="2"/>
    <x v="0"/>
    <n v="399"/>
    <n v="6"/>
    <n v="2394"/>
    <n v="0"/>
  </r>
  <r>
    <s v="1629"/>
    <x v="226"/>
    <n v="9"/>
    <s v="Company I"/>
    <x v="1"/>
    <s v="Steve"/>
    <x v="1"/>
    <x v="0"/>
    <n v="399"/>
    <n v="0"/>
    <n v="0"/>
    <n v="0"/>
  </r>
  <r>
    <s v="1632"/>
    <x v="226"/>
    <n v="1"/>
    <s v="Company A"/>
    <x v="4"/>
    <s v="Sara"/>
    <x v="2"/>
    <x v="0"/>
    <n v="399"/>
    <n v="0"/>
    <n v="0"/>
    <n v="0"/>
  </r>
  <r>
    <s v="1637"/>
    <x v="227"/>
    <n v="10"/>
    <s v="Company J"/>
    <x v="1"/>
    <s v="Steve"/>
    <x v="1"/>
    <x v="0"/>
    <n v="399"/>
    <n v="5"/>
    <n v="1995"/>
    <n v="0"/>
  </r>
  <r>
    <s v="1639"/>
    <x v="227"/>
    <n v="20"/>
    <s v="Company T"/>
    <x v="6"/>
    <s v="Jeff"/>
    <x v="0"/>
    <x v="0"/>
    <n v="399"/>
    <n v="6"/>
    <n v="2394"/>
    <n v="0"/>
  </r>
  <r>
    <s v="1642"/>
    <x v="227"/>
    <n v="17"/>
    <s v="Company Q"/>
    <x v="6"/>
    <s v="Jeff"/>
    <x v="0"/>
    <x v="0"/>
    <n v="399"/>
    <n v="9"/>
    <n v="3591"/>
    <n v="0"/>
  </r>
  <r>
    <s v="1644"/>
    <x v="228"/>
    <n v="4"/>
    <s v="Company D"/>
    <x v="2"/>
    <s v="Jeff"/>
    <x v="2"/>
    <x v="0"/>
    <n v="399"/>
    <n v="6"/>
    <n v="2394"/>
    <n v="0"/>
  </r>
  <r>
    <s v="1645"/>
    <x v="228"/>
    <n v="11"/>
    <s v="Company K"/>
    <x v="3"/>
    <s v="Sara"/>
    <x v="3"/>
    <x v="0"/>
    <n v="399"/>
    <n v="3"/>
    <n v="1197"/>
    <n v="0"/>
  </r>
  <r>
    <s v="1648"/>
    <x v="229"/>
    <n v="1"/>
    <s v="Company A"/>
    <x v="4"/>
    <s v="Sara"/>
    <x v="2"/>
    <x v="0"/>
    <n v="399"/>
    <n v="2"/>
    <n v="798"/>
    <n v="0"/>
  </r>
  <r>
    <s v="1650"/>
    <x v="230"/>
    <n v="9"/>
    <s v="Company I"/>
    <x v="7"/>
    <s v="Philip"/>
    <x v="1"/>
    <x v="0"/>
    <n v="399"/>
    <n v="3"/>
    <n v="1197"/>
    <n v="0"/>
  </r>
  <r>
    <s v="1654"/>
    <x v="231"/>
    <n v="3"/>
    <s v="Company C"/>
    <x v="2"/>
    <s v="Jeff"/>
    <x v="2"/>
    <x v="0"/>
    <n v="399"/>
    <n v="5"/>
    <n v="1995"/>
    <n v="0"/>
  </r>
  <r>
    <s v="1657"/>
    <x v="232"/>
    <n v="10"/>
    <s v="Company J"/>
    <x v="1"/>
    <s v="Steve"/>
    <x v="1"/>
    <x v="0"/>
    <n v="399"/>
    <n v="8"/>
    <n v="3192"/>
    <n v="0"/>
  </r>
  <r>
    <s v="1658"/>
    <x v="232"/>
    <n v="3"/>
    <s v="Company C"/>
    <x v="2"/>
    <s v="Jeff"/>
    <x v="2"/>
    <x v="0"/>
    <n v="399"/>
    <n v="8"/>
    <n v="3192"/>
    <n v="0"/>
  </r>
  <r>
    <s v="1664"/>
    <x v="233"/>
    <n v="13"/>
    <s v="Company M"/>
    <x v="5"/>
    <s v="Steve"/>
    <x v="3"/>
    <x v="0"/>
    <n v="399"/>
    <n v="7"/>
    <n v="2793"/>
    <n v="0"/>
  </r>
  <r>
    <s v="1667"/>
    <x v="234"/>
    <n v="8"/>
    <s v="Company H"/>
    <x v="1"/>
    <s v="Steve"/>
    <x v="1"/>
    <x v="0"/>
    <n v="399"/>
    <n v="2"/>
    <n v="798"/>
    <n v="0"/>
  </r>
  <r>
    <s v="1674"/>
    <x v="235"/>
    <n v="17"/>
    <s v="Company Q"/>
    <x v="0"/>
    <s v="Jeff"/>
    <x v="0"/>
    <x v="0"/>
    <n v="399"/>
    <n v="3"/>
    <n v="1197"/>
    <n v="0"/>
  </r>
  <r>
    <s v="1688"/>
    <x v="236"/>
    <n v="13"/>
    <s v="Company M"/>
    <x v="3"/>
    <s v="Sara"/>
    <x v="3"/>
    <x v="0"/>
    <n v="399"/>
    <n v="5"/>
    <n v="1995"/>
    <n v="0"/>
  </r>
  <r>
    <s v="1689"/>
    <x v="237"/>
    <n v="16"/>
    <s v="Company P"/>
    <x v="0"/>
    <s v="Jeff"/>
    <x v="0"/>
    <x v="0"/>
    <n v="399"/>
    <n v="6"/>
    <n v="2394"/>
    <n v="0"/>
  </r>
  <r>
    <s v="1690"/>
    <x v="238"/>
    <n v="7"/>
    <s v="Company G"/>
    <x v="1"/>
    <s v="Steve"/>
    <x v="1"/>
    <x v="0"/>
    <n v="399"/>
    <n v="4"/>
    <n v="1596"/>
    <n v="0"/>
  </r>
  <r>
    <s v="1694"/>
    <x v="239"/>
    <n v="9"/>
    <s v="Company I"/>
    <x v="7"/>
    <s v="Philip"/>
    <x v="1"/>
    <x v="0"/>
    <n v="399"/>
    <n v="5"/>
    <n v="1995"/>
    <n v="0"/>
  </r>
  <r>
    <s v="1701"/>
    <x v="240"/>
    <n v="16"/>
    <s v="Company P"/>
    <x v="0"/>
    <s v="Jeff"/>
    <x v="0"/>
    <x v="0"/>
    <n v="399"/>
    <n v="4"/>
    <n v="1596"/>
    <n v="0"/>
  </r>
  <r>
    <s v="1703"/>
    <x v="241"/>
    <n v="5"/>
    <s v="Company E"/>
    <x v="2"/>
    <s v="Jeff"/>
    <x v="2"/>
    <x v="0"/>
    <n v="399"/>
    <n v="7"/>
    <n v="2793"/>
    <n v="0"/>
  </r>
  <r>
    <s v="1710"/>
    <x v="242"/>
    <n v="14"/>
    <s v="Company N"/>
    <x v="3"/>
    <s v="Sara"/>
    <x v="3"/>
    <x v="0"/>
    <n v="399"/>
    <n v="0"/>
    <n v="0"/>
    <n v="0"/>
  </r>
  <r>
    <s v="1713"/>
    <x v="243"/>
    <n v="19"/>
    <s v="Company S"/>
    <x v="6"/>
    <s v="Jeff"/>
    <x v="0"/>
    <x v="0"/>
    <n v="399"/>
    <n v="9"/>
    <n v="3591"/>
    <n v="0"/>
  </r>
  <r>
    <s v="1716"/>
    <x v="244"/>
    <n v="14"/>
    <s v="Company N"/>
    <x v="3"/>
    <s v="Sara"/>
    <x v="3"/>
    <x v="0"/>
    <n v="399"/>
    <n v="1"/>
    <n v="399"/>
    <n v="0"/>
  </r>
  <r>
    <s v="1726"/>
    <x v="245"/>
    <n v="10"/>
    <s v="Company J"/>
    <x v="1"/>
    <s v="Steve"/>
    <x v="1"/>
    <x v="0"/>
    <n v="399"/>
    <n v="9"/>
    <n v="3591"/>
    <n v="0"/>
  </r>
  <r>
    <s v="1730"/>
    <x v="246"/>
    <n v="18"/>
    <s v="Company R"/>
    <x v="0"/>
    <s v="Jeff"/>
    <x v="0"/>
    <x v="0"/>
    <n v="399"/>
    <n v="5"/>
    <n v="1995"/>
    <n v="0"/>
  </r>
  <r>
    <s v="1731"/>
    <x v="247"/>
    <n v="9"/>
    <s v="Company I"/>
    <x v="1"/>
    <s v="Steve"/>
    <x v="1"/>
    <x v="0"/>
    <n v="399"/>
    <n v="0"/>
    <n v="0"/>
    <n v="0"/>
  </r>
  <r>
    <s v="1732"/>
    <x v="248"/>
    <n v="4"/>
    <s v="Company D"/>
    <x v="2"/>
    <s v="Jeff"/>
    <x v="2"/>
    <x v="0"/>
    <n v="399"/>
    <n v="8"/>
    <n v="3192"/>
    <n v="0"/>
  </r>
  <r>
    <s v="1734"/>
    <x v="249"/>
    <n v="5"/>
    <s v="Company E"/>
    <x v="2"/>
    <s v="Jeff"/>
    <x v="2"/>
    <x v="0"/>
    <n v="399"/>
    <n v="2"/>
    <n v="798"/>
    <n v="0"/>
  </r>
  <r>
    <s v="1735"/>
    <x v="249"/>
    <n v="12"/>
    <s v="Company L"/>
    <x v="5"/>
    <s v="Steve"/>
    <x v="3"/>
    <x v="0"/>
    <n v="399"/>
    <n v="7"/>
    <n v="2793"/>
    <n v="0"/>
  </r>
  <r>
    <s v="1749"/>
    <x v="250"/>
    <n v="2"/>
    <s v="Company B"/>
    <x v="4"/>
    <s v="Sara"/>
    <x v="2"/>
    <x v="0"/>
    <n v="399"/>
    <n v="9"/>
    <n v="3591"/>
    <n v="0"/>
  </r>
  <r>
    <s v="1756"/>
    <x v="251"/>
    <n v="2"/>
    <s v="Company B"/>
    <x v="2"/>
    <s v="Jeff"/>
    <x v="2"/>
    <x v="0"/>
    <n v="399"/>
    <n v="9"/>
    <n v="3591"/>
    <n v="0"/>
  </r>
  <r>
    <s v="1766"/>
    <x v="252"/>
    <n v="13"/>
    <s v="Company M"/>
    <x v="3"/>
    <s v="Sara"/>
    <x v="3"/>
    <x v="0"/>
    <n v="399"/>
    <n v="8"/>
    <n v="3192"/>
    <n v="0"/>
  </r>
  <r>
    <s v="1767"/>
    <x v="252"/>
    <n v="6"/>
    <s v="Company F"/>
    <x v="7"/>
    <s v="Philip"/>
    <x v="1"/>
    <x v="0"/>
    <n v="399"/>
    <n v="9"/>
    <n v="3591"/>
    <n v="0"/>
  </r>
  <r>
    <s v="1769"/>
    <x v="253"/>
    <n v="6"/>
    <s v="Company F"/>
    <x v="1"/>
    <s v="Steve"/>
    <x v="1"/>
    <x v="0"/>
    <n v="399"/>
    <n v="2"/>
    <n v="798"/>
    <n v="0"/>
  </r>
  <r>
    <s v="1777"/>
    <x v="254"/>
    <n v="7"/>
    <s v="Company G"/>
    <x v="7"/>
    <s v="Philip"/>
    <x v="1"/>
    <x v="0"/>
    <n v="399"/>
    <n v="6"/>
    <n v="2394"/>
    <n v="0"/>
  </r>
  <r>
    <s v="1783"/>
    <x v="255"/>
    <n v="5"/>
    <s v="Company E"/>
    <x v="2"/>
    <s v="Jeff"/>
    <x v="2"/>
    <x v="0"/>
    <n v="399"/>
    <n v="1"/>
    <n v="399"/>
    <n v="0"/>
  </r>
  <r>
    <s v="1786"/>
    <x v="255"/>
    <n v="15"/>
    <s v="Company O"/>
    <x v="3"/>
    <s v="Sara"/>
    <x v="3"/>
    <x v="0"/>
    <n v="399"/>
    <n v="2"/>
    <n v="798"/>
    <n v="0"/>
  </r>
  <r>
    <s v="1788"/>
    <x v="256"/>
    <n v="11"/>
    <s v="Company K"/>
    <x v="5"/>
    <s v="Steve"/>
    <x v="3"/>
    <x v="0"/>
    <n v="399"/>
    <n v="5"/>
    <n v="1995"/>
    <n v="0"/>
  </r>
  <r>
    <s v="1791"/>
    <x v="257"/>
    <n v="17"/>
    <s v="Company Q"/>
    <x v="6"/>
    <s v="Jeff"/>
    <x v="0"/>
    <x v="0"/>
    <n v="399"/>
    <n v="8"/>
    <n v="3192"/>
    <n v="0"/>
  </r>
  <r>
    <s v="1792"/>
    <x v="257"/>
    <n v="3"/>
    <s v="Company C"/>
    <x v="2"/>
    <s v="Jeff"/>
    <x v="2"/>
    <x v="0"/>
    <n v="399"/>
    <n v="2"/>
    <n v="798"/>
    <n v="0"/>
  </r>
  <r>
    <s v="1799"/>
    <x v="258"/>
    <n v="15"/>
    <s v="Company O"/>
    <x v="3"/>
    <s v="Sara"/>
    <x v="3"/>
    <x v="0"/>
    <n v="399"/>
    <n v="4"/>
    <n v="1596"/>
    <n v="0"/>
  </r>
  <r>
    <s v="1801"/>
    <x v="258"/>
    <n v="17"/>
    <s v="Company Q"/>
    <x v="0"/>
    <s v="Jeff"/>
    <x v="0"/>
    <x v="0"/>
    <n v="399"/>
    <n v="1"/>
    <n v="399"/>
    <n v="0"/>
  </r>
  <r>
    <s v="1803"/>
    <x v="258"/>
    <n v="18"/>
    <s v="Company R"/>
    <x v="6"/>
    <s v="Jeff"/>
    <x v="0"/>
    <x v="0"/>
    <n v="399"/>
    <n v="5"/>
    <n v="1995"/>
    <n v="0"/>
  </r>
  <r>
    <s v="1838"/>
    <x v="259"/>
    <n v="20"/>
    <s v="Company T"/>
    <x v="0"/>
    <s v="Jeff"/>
    <x v="0"/>
    <x v="0"/>
    <n v="399"/>
    <n v="9"/>
    <n v="3591"/>
    <n v="0"/>
  </r>
  <r>
    <s v="1849"/>
    <x v="260"/>
    <n v="4"/>
    <s v="Company D"/>
    <x v="2"/>
    <s v="Jeff"/>
    <x v="2"/>
    <x v="0"/>
    <n v="399"/>
    <n v="7"/>
    <n v="2793"/>
    <n v="0"/>
  </r>
  <r>
    <s v="1858"/>
    <x v="261"/>
    <n v="17"/>
    <s v="Company Q"/>
    <x v="0"/>
    <s v="Jeff"/>
    <x v="0"/>
    <x v="0"/>
    <n v="399"/>
    <n v="1"/>
    <n v="399"/>
    <n v="0"/>
  </r>
  <r>
    <s v="1860"/>
    <x v="261"/>
    <n v="14"/>
    <s v="Company N"/>
    <x v="5"/>
    <s v="Steve"/>
    <x v="3"/>
    <x v="0"/>
    <n v="399"/>
    <n v="4"/>
    <n v="1596"/>
    <n v="0"/>
  </r>
  <r>
    <s v="1861"/>
    <x v="261"/>
    <n v="20"/>
    <s v="Company T"/>
    <x v="6"/>
    <s v="Jeff"/>
    <x v="0"/>
    <x v="0"/>
    <n v="399"/>
    <n v="8"/>
    <n v="3192"/>
    <n v="0"/>
  </r>
  <r>
    <s v="1863"/>
    <x v="262"/>
    <n v="11"/>
    <s v="Company K"/>
    <x v="3"/>
    <s v="Sara"/>
    <x v="3"/>
    <x v="0"/>
    <n v="399"/>
    <n v="5"/>
    <n v="1995"/>
    <n v="0"/>
  </r>
  <r>
    <s v="1865"/>
    <x v="263"/>
    <n v="11"/>
    <s v="Company K"/>
    <x v="5"/>
    <s v="Steve"/>
    <x v="3"/>
    <x v="0"/>
    <n v="399"/>
    <n v="4"/>
    <n v="1596"/>
    <n v="0"/>
  </r>
  <r>
    <s v="1869"/>
    <x v="264"/>
    <n v="7"/>
    <s v="Company G"/>
    <x v="7"/>
    <s v="Philip"/>
    <x v="1"/>
    <x v="0"/>
    <n v="399"/>
    <n v="1"/>
    <n v="399"/>
    <n v="0"/>
  </r>
  <r>
    <s v="1870"/>
    <x v="265"/>
    <n v="19"/>
    <s v="Company S"/>
    <x v="0"/>
    <s v="Jeff"/>
    <x v="0"/>
    <x v="0"/>
    <n v="399"/>
    <n v="9"/>
    <n v="3591"/>
    <n v="0"/>
  </r>
  <r>
    <s v="1877"/>
    <x v="266"/>
    <n v="1"/>
    <s v="Company A"/>
    <x v="2"/>
    <s v="Jeff"/>
    <x v="2"/>
    <x v="0"/>
    <n v="399"/>
    <n v="3"/>
    <n v="1197"/>
    <n v="0"/>
  </r>
  <r>
    <s v="1879"/>
    <x v="266"/>
    <n v="4"/>
    <s v="Company D"/>
    <x v="4"/>
    <s v="Sara"/>
    <x v="2"/>
    <x v="0"/>
    <n v="399"/>
    <n v="4"/>
    <n v="1596"/>
    <n v="0"/>
  </r>
  <r>
    <s v="1884"/>
    <x v="267"/>
    <n v="13"/>
    <s v="Company M"/>
    <x v="3"/>
    <s v="Sara"/>
    <x v="3"/>
    <x v="0"/>
    <n v="399"/>
    <n v="4"/>
    <n v="1596"/>
    <n v="0"/>
  </r>
  <r>
    <s v="1887"/>
    <x v="267"/>
    <n v="8"/>
    <s v="Company H"/>
    <x v="1"/>
    <s v="Steve"/>
    <x v="1"/>
    <x v="0"/>
    <n v="399"/>
    <n v="1"/>
    <n v="399"/>
    <n v="0"/>
  </r>
  <r>
    <s v="1892"/>
    <x v="268"/>
    <n v="5"/>
    <s v="Company E"/>
    <x v="2"/>
    <s v="Jeff"/>
    <x v="2"/>
    <x v="0"/>
    <n v="399"/>
    <n v="9"/>
    <n v="3591"/>
    <n v="0"/>
  </r>
  <r>
    <s v="1895"/>
    <x v="269"/>
    <n v="15"/>
    <s v="Company O"/>
    <x v="5"/>
    <s v="Steve"/>
    <x v="3"/>
    <x v="0"/>
    <n v="399"/>
    <n v="1"/>
    <n v="399"/>
    <n v="0"/>
  </r>
  <r>
    <s v="1901"/>
    <x v="270"/>
    <n v="18"/>
    <s v="Company R"/>
    <x v="0"/>
    <s v="Jeff"/>
    <x v="0"/>
    <x v="0"/>
    <n v="399"/>
    <n v="3"/>
    <n v="1197"/>
    <n v="0"/>
  </r>
  <r>
    <s v="1902"/>
    <x v="270"/>
    <n v="14"/>
    <s v="Company N"/>
    <x v="3"/>
    <s v="Sara"/>
    <x v="3"/>
    <x v="0"/>
    <n v="399"/>
    <n v="8"/>
    <n v="3192"/>
    <n v="0"/>
  </r>
  <r>
    <s v="1903"/>
    <x v="270"/>
    <n v="15"/>
    <s v="Company O"/>
    <x v="5"/>
    <s v="Steve"/>
    <x v="3"/>
    <x v="0"/>
    <n v="399"/>
    <n v="0"/>
    <n v="0"/>
    <n v="0"/>
  </r>
  <r>
    <s v="1904"/>
    <x v="271"/>
    <n v="15"/>
    <s v="Company O"/>
    <x v="5"/>
    <s v="Steve"/>
    <x v="3"/>
    <x v="0"/>
    <n v="399"/>
    <n v="2"/>
    <n v="798"/>
    <n v="0"/>
  </r>
  <r>
    <s v="1911"/>
    <x v="272"/>
    <n v="1"/>
    <s v="Company A"/>
    <x v="4"/>
    <s v="Sara"/>
    <x v="2"/>
    <x v="0"/>
    <n v="399"/>
    <n v="6"/>
    <n v="2394"/>
    <n v="0"/>
  </r>
  <r>
    <s v="1916"/>
    <x v="273"/>
    <n v="5"/>
    <s v="Company E"/>
    <x v="2"/>
    <s v="Jeff"/>
    <x v="2"/>
    <x v="0"/>
    <n v="399"/>
    <n v="4"/>
    <n v="1596"/>
    <n v="0"/>
  </r>
  <r>
    <s v="1918"/>
    <x v="273"/>
    <n v="1"/>
    <s v="Company A"/>
    <x v="2"/>
    <s v="Jeff"/>
    <x v="2"/>
    <x v="0"/>
    <n v="399"/>
    <n v="1"/>
    <n v="399"/>
    <n v="0"/>
  </r>
  <r>
    <s v="1921"/>
    <x v="273"/>
    <n v="17"/>
    <s v="Company Q"/>
    <x v="6"/>
    <s v="Jeff"/>
    <x v="0"/>
    <x v="0"/>
    <n v="399"/>
    <n v="1"/>
    <n v="399"/>
    <n v="0"/>
  </r>
  <r>
    <s v="1922"/>
    <x v="273"/>
    <n v="8"/>
    <s v="Company H"/>
    <x v="7"/>
    <s v="Philip"/>
    <x v="1"/>
    <x v="0"/>
    <n v="399"/>
    <n v="3"/>
    <n v="1197"/>
    <n v="0"/>
  </r>
  <r>
    <s v="1928"/>
    <x v="274"/>
    <n v="13"/>
    <s v="Company M"/>
    <x v="5"/>
    <s v="Steve"/>
    <x v="3"/>
    <x v="0"/>
    <n v="399"/>
    <n v="6"/>
    <n v="2394"/>
    <n v="0"/>
  </r>
  <r>
    <s v="1930"/>
    <x v="275"/>
    <n v="4"/>
    <s v="Company D"/>
    <x v="2"/>
    <s v="Jeff"/>
    <x v="2"/>
    <x v="0"/>
    <n v="399"/>
    <n v="7"/>
    <n v="2793"/>
    <n v="0"/>
  </r>
  <r>
    <s v="1931"/>
    <x v="275"/>
    <n v="2"/>
    <s v="Company B"/>
    <x v="2"/>
    <s v="Jeff"/>
    <x v="2"/>
    <x v="0"/>
    <n v="399"/>
    <n v="0"/>
    <n v="0"/>
    <n v="0"/>
  </r>
  <r>
    <s v="1939"/>
    <x v="276"/>
    <n v="13"/>
    <s v="Company M"/>
    <x v="5"/>
    <s v="Steve"/>
    <x v="3"/>
    <x v="0"/>
    <n v="399"/>
    <n v="6"/>
    <n v="2394"/>
    <n v="0"/>
  </r>
  <r>
    <s v="1949"/>
    <x v="277"/>
    <n v="9"/>
    <s v="Company I"/>
    <x v="7"/>
    <s v="Philip"/>
    <x v="1"/>
    <x v="0"/>
    <n v="399"/>
    <n v="4"/>
    <n v="1596"/>
    <n v="0"/>
  </r>
  <r>
    <s v="1954"/>
    <x v="278"/>
    <n v="2"/>
    <s v="Company B"/>
    <x v="2"/>
    <s v="Jeff"/>
    <x v="2"/>
    <x v="0"/>
    <n v="399"/>
    <n v="2"/>
    <n v="798"/>
    <n v="0"/>
  </r>
  <r>
    <s v="1958"/>
    <x v="279"/>
    <n v="8"/>
    <s v="Company H"/>
    <x v="1"/>
    <s v="Steve"/>
    <x v="1"/>
    <x v="0"/>
    <n v="399"/>
    <n v="3"/>
    <n v="1197"/>
    <n v="0"/>
  </r>
  <r>
    <s v="1962"/>
    <x v="280"/>
    <n v="20"/>
    <s v="Company T"/>
    <x v="6"/>
    <s v="Jeff"/>
    <x v="0"/>
    <x v="0"/>
    <n v="399"/>
    <n v="3"/>
    <n v="1197"/>
    <n v="0"/>
  </r>
  <r>
    <s v="1966"/>
    <x v="281"/>
    <n v="15"/>
    <s v="Company O"/>
    <x v="3"/>
    <s v="Sara"/>
    <x v="3"/>
    <x v="0"/>
    <n v="399"/>
    <n v="0"/>
    <n v="0"/>
    <n v="0"/>
  </r>
  <r>
    <s v="1967"/>
    <x v="281"/>
    <n v="20"/>
    <s v="Company T"/>
    <x v="0"/>
    <s v="Jeff"/>
    <x v="0"/>
    <x v="0"/>
    <n v="399"/>
    <n v="9"/>
    <n v="3591"/>
    <n v="0"/>
  </r>
  <r>
    <s v="1970"/>
    <x v="281"/>
    <n v="11"/>
    <s v="Company K"/>
    <x v="5"/>
    <s v="Steve"/>
    <x v="3"/>
    <x v="0"/>
    <n v="399"/>
    <n v="2"/>
    <n v="798"/>
    <n v="0"/>
  </r>
  <r>
    <s v="1973"/>
    <x v="281"/>
    <n v="12"/>
    <s v="Company L"/>
    <x v="3"/>
    <s v="Sara"/>
    <x v="3"/>
    <x v="0"/>
    <n v="399"/>
    <n v="6"/>
    <n v="2394"/>
    <n v="0"/>
  </r>
  <r>
    <s v="1983"/>
    <x v="282"/>
    <n v="3"/>
    <s v="Company C"/>
    <x v="4"/>
    <s v="Sara"/>
    <x v="2"/>
    <x v="0"/>
    <n v="399"/>
    <n v="1"/>
    <n v="399"/>
    <n v="0"/>
  </r>
  <r>
    <s v="1985"/>
    <x v="283"/>
    <n v="13"/>
    <s v="Company M"/>
    <x v="3"/>
    <s v="Sara"/>
    <x v="3"/>
    <x v="0"/>
    <n v="399"/>
    <n v="3"/>
    <n v="1197"/>
    <n v="0"/>
  </r>
  <r>
    <s v="1998"/>
    <x v="284"/>
    <n v="3"/>
    <s v="Company C"/>
    <x v="4"/>
    <s v="Sara"/>
    <x v="2"/>
    <x v="0"/>
    <n v="399"/>
    <n v="6"/>
    <n v="2394"/>
    <n v="0"/>
  </r>
  <r>
    <s v="0002"/>
    <x v="285"/>
    <n v="1"/>
    <s v="Company A"/>
    <x v="2"/>
    <s v="Jeff"/>
    <x v="2"/>
    <x v="1"/>
    <n v="289"/>
    <n v="7"/>
    <n v="2023"/>
    <n v="0"/>
  </r>
  <r>
    <s v="0004"/>
    <x v="286"/>
    <n v="18"/>
    <s v="Company R"/>
    <x v="6"/>
    <s v="Jeff"/>
    <x v="0"/>
    <x v="1"/>
    <n v="289"/>
    <n v="3"/>
    <n v="867"/>
    <n v="0"/>
  </r>
  <r>
    <s v="0007"/>
    <x v="287"/>
    <n v="17"/>
    <s v="Company Q"/>
    <x v="0"/>
    <s v="Jeff"/>
    <x v="0"/>
    <x v="1"/>
    <n v="289"/>
    <n v="9"/>
    <n v="2601"/>
    <n v="0"/>
  </r>
  <r>
    <s v="0011"/>
    <x v="0"/>
    <n v="8"/>
    <s v="Company H"/>
    <x v="1"/>
    <s v="Steve"/>
    <x v="1"/>
    <x v="1"/>
    <n v="289"/>
    <n v="9"/>
    <n v="2601"/>
    <n v="0"/>
  </r>
  <r>
    <s v="0017"/>
    <x v="1"/>
    <n v="14"/>
    <s v="Company N"/>
    <x v="3"/>
    <s v="Sara"/>
    <x v="3"/>
    <x v="1"/>
    <n v="289"/>
    <n v="0"/>
    <n v="0"/>
    <n v="0"/>
  </r>
  <r>
    <s v="0022"/>
    <x v="1"/>
    <n v="11"/>
    <s v="Company K"/>
    <x v="5"/>
    <s v="Steve"/>
    <x v="3"/>
    <x v="1"/>
    <n v="289"/>
    <n v="6"/>
    <n v="1734"/>
    <n v="0"/>
  </r>
  <r>
    <s v="0026"/>
    <x v="2"/>
    <n v="14"/>
    <s v="Company N"/>
    <x v="3"/>
    <s v="Sara"/>
    <x v="3"/>
    <x v="1"/>
    <n v="289"/>
    <n v="0"/>
    <n v="0"/>
    <n v="0"/>
  </r>
  <r>
    <s v="0030"/>
    <x v="3"/>
    <n v="12"/>
    <s v="Company L"/>
    <x v="5"/>
    <s v="Steve"/>
    <x v="3"/>
    <x v="1"/>
    <n v="289"/>
    <n v="0"/>
    <n v="0"/>
    <n v="0"/>
  </r>
  <r>
    <s v="0036"/>
    <x v="4"/>
    <n v="13"/>
    <s v="Company M"/>
    <x v="5"/>
    <s v="Steve"/>
    <x v="3"/>
    <x v="1"/>
    <n v="289"/>
    <n v="1"/>
    <n v="289"/>
    <n v="0"/>
  </r>
  <r>
    <s v="0040"/>
    <x v="5"/>
    <n v="14"/>
    <s v="Company N"/>
    <x v="3"/>
    <s v="Sara"/>
    <x v="3"/>
    <x v="1"/>
    <n v="289"/>
    <n v="3"/>
    <n v="867"/>
    <n v="0"/>
  </r>
  <r>
    <s v="0045"/>
    <x v="6"/>
    <n v="12"/>
    <s v="Company L"/>
    <x v="5"/>
    <s v="Steve"/>
    <x v="3"/>
    <x v="1"/>
    <n v="289"/>
    <n v="4"/>
    <n v="1156"/>
    <n v="0"/>
  </r>
  <r>
    <s v="0047"/>
    <x v="6"/>
    <n v="17"/>
    <s v="Company Q"/>
    <x v="6"/>
    <s v="Jeff"/>
    <x v="0"/>
    <x v="1"/>
    <n v="289"/>
    <n v="0"/>
    <n v="0"/>
    <n v="0"/>
  </r>
  <r>
    <s v="0054"/>
    <x v="7"/>
    <n v="8"/>
    <s v="Company H"/>
    <x v="1"/>
    <s v="Steve"/>
    <x v="1"/>
    <x v="1"/>
    <n v="289"/>
    <n v="1"/>
    <n v="289"/>
    <n v="0"/>
  </r>
  <r>
    <s v="0063"/>
    <x v="288"/>
    <n v="9"/>
    <s v="Company I"/>
    <x v="1"/>
    <s v="Steve"/>
    <x v="1"/>
    <x v="1"/>
    <n v="289"/>
    <n v="7"/>
    <n v="2023"/>
    <n v="0"/>
  </r>
  <r>
    <s v="0066"/>
    <x v="289"/>
    <n v="10"/>
    <s v="Company J"/>
    <x v="1"/>
    <s v="Steve"/>
    <x v="1"/>
    <x v="1"/>
    <n v="289"/>
    <n v="3"/>
    <n v="867"/>
    <n v="0"/>
  </r>
  <r>
    <s v="0074"/>
    <x v="290"/>
    <n v="20"/>
    <s v="Company T"/>
    <x v="6"/>
    <s v="Jeff"/>
    <x v="0"/>
    <x v="1"/>
    <n v="289"/>
    <n v="1"/>
    <n v="289"/>
    <n v="0"/>
  </r>
  <r>
    <s v="0075"/>
    <x v="290"/>
    <n v="13"/>
    <s v="Company M"/>
    <x v="3"/>
    <s v="Sara"/>
    <x v="3"/>
    <x v="1"/>
    <n v="289"/>
    <n v="5"/>
    <n v="1445"/>
    <n v="0"/>
  </r>
  <r>
    <s v="0078"/>
    <x v="10"/>
    <n v="5"/>
    <s v="Company E"/>
    <x v="4"/>
    <s v="Sara"/>
    <x v="2"/>
    <x v="1"/>
    <n v="289"/>
    <n v="1"/>
    <n v="289"/>
    <n v="0"/>
  </r>
  <r>
    <s v="0079"/>
    <x v="10"/>
    <n v="19"/>
    <s v="Company S"/>
    <x v="6"/>
    <s v="Jeff"/>
    <x v="0"/>
    <x v="1"/>
    <n v="289"/>
    <n v="8"/>
    <n v="2312"/>
    <n v="0"/>
  </r>
  <r>
    <s v="0080"/>
    <x v="10"/>
    <n v="10"/>
    <s v="Company J"/>
    <x v="7"/>
    <s v="Philip"/>
    <x v="1"/>
    <x v="1"/>
    <n v="289"/>
    <n v="3"/>
    <n v="867"/>
    <n v="0"/>
  </r>
  <r>
    <s v="0091"/>
    <x v="291"/>
    <n v="19"/>
    <s v="Company S"/>
    <x v="0"/>
    <s v="Jeff"/>
    <x v="0"/>
    <x v="1"/>
    <n v="289"/>
    <n v="4"/>
    <n v="1156"/>
    <n v="0"/>
  </r>
  <r>
    <s v="0118"/>
    <x v="292"/>
    <n v="5"/>
    <s v="Company E"/>
    <x v="2"/>
    <s v="Jeff"/>
    <x v="2"/>
    <x v="1"/>
    <n v="289"/>
    <n v="2"/>
    <n v="578"/>
    <n v="0"/>
  </r>
  <r>
    <s v="0123"/>
    <x v="19"/>
    <n v="2"/>
    <s v="Company B"/>
    <x v="2"/>
    <s v="Jeff"/>
    <x v="2"/>
    <x v="1"/>
    <n v="289"/>
    <n v="6"/>
    <n v="1734"/>
    <n v="0"/>
  </r>
  <r>
    <s v="0124"/>
    <x v="19"/>
    <n v="4"/>
    <s v="Company D"/>
    <x v="4"/>
    <s v="Sara"/>
    <x v="2"/>
    <x v="1"/>
    <n v="289"/>
    <n v="7"/>
    <n v="2023"/>
    <n v="0"/>
  </r>
  <r>
    <s v="0142"/>
    <x v="21"/>
    <n v="10"/>
    <s v="Company J"/>
    <x v="7"/>
    <s v="Philip"/>
    <x v="1"/>
    <x v="1"/>
    <n v="289"/>
    <n v="4"/>
    <n v="1156"/>
    <n v="0"/>
  </r>
  <r>
    <s v="0143"/>
    <x v="21"/>
    <n v="7"/>
    <s v="Company G"/>
    <x v="1"/>
    <s v="Steve"/>
    <x v="1"/>
    <x v="1"/>
    <n v="289"/>
    <n v="5"/>
    <n v="1445"/>
    <n v="0"/>
  </r>
  <r>
    <s v="0149"/>
    <x v="21"/>
    <n v="12"/>
    <s v="Company L"/>
    <x v="5"/>
    <s v="Steve"/>
    <x v="3"/>
    <x v="1"/>
    <n v="289"/>
    <n v="8"/>
    <n v="2312"/>
    <n v="0"/>
  </r>
  <r>
    <s v="0153"/>
    <x v="21"/>
    <n v="2"/>
    <s v="Company B"/>
    <x v="4"/>
    <s v="Sara"/>
    <x v="2"/>
    <x v="1"/>
    <n v="289"/>
    <n v="2"/>
    <n v="578"/>
    <n v="0"/>
  </r>
  <r>
    <s v="0157"/>
    <x v="293"/>
    <n v="13"/>
    <s v="Company M"/>
    <x v="3"/>
    <s v="Sara"/>
    <x v="3"/>
    <x v="1"/>
    <n v="289"/>
    <n v="3"/>
    <n v="867"/>
    <n v="0"/>
  </r>
  <r>
    <s v="0163"/>
    <x v="293"/>
    <n v="19"/>
    <s v="Company S"/>
    <x v="6"/>
    <s v="Jeff"/>
    <x v="0"/>
    <x v="1"/>
    <n v="289"/>
    <n v="7"/>
    <n v="2023"/>
    <n v="0"/>
  </r>
  <r>
    <s v="0175"/>
    <x v="294"/>
    <n v="11"/>
    <s v="Company K"/>
    <x v="3"/>
    <s v="Sara"/>
    <x v="3"/>
    <x v="1"/>
    <n v="289"/>
    <n v="5"/>
    <n v="1445"/>
    <n v="0"/>
  </r>
  <r>
    <s v="0177"/>
    <x v="295"/>
    <n v="8"/>
    <s v="Company H"/>
    <x v="1"/>
    <s v="Steve"/>
    <x v="1"/>
    <x v="1"/>
    <n v="289"/>
    <n v="1"/>
    <n v="289"/>
    <n v="0"/>
  </r>
  <r>
    <s v="0179"/>
    <x v="295"/>
    <n v="1"/>
    <s v="Company A"/>
    <x v="2"/>
    <s v="Jeff"/>
    <x v="2"/>
    <x v="1"/>
    <n v="289"/>
    <n v="2"/>
    <n v="578"/>
    <n v="0"/>
  </r>
  <r>
    <s v="0186"/>
    <x v="23"/>
    <n v="5"/>
    <s v="Company E"/>
    <x v="4"/>
    <s v="Sara"/>
    <x v="2"/>
    <x v="1"/>
    <n v="289"/>
    <n v="4"/>
    <n v="1156"/>
    <n v="0"/>
  </r>
  <r>
    <s v="0196"/>
    <x v="296"/>
    <n v="6"/>
    <s v="Company F"/>
    <x v="1"/>
    <s v="Steve"/>
    <x v="1"/>
    <x v="1"/>
    <n v="289"/>
    <n v="9"/>
    <n v="2601"/>
    <n v="0"/>
  </r>
  <r>
    <s v="0201"/>
    <x v="297"/>
    <n v="18"/>
    <s v="Company R"/>
    <x v="6"/>
    <s v="Jeff"/>
    <x v="0"/>
    <x v="1"/>
    <n v="289"/>
    <n v="5"/>
    <n v="1445"/>
    <n v="0"/>
  </r>
  <r>
    <s v="0203"/>
    <x v="298"/>
    <n v="12"/>
    <s v="Company L"/>
    <x v="3"/>
    <s v="Sara"/>
    <x v="3"/>
    <x v="1"/>
    <n v="289"/>
    <n v="7"/>
    <n v="2023"/>
    <n v="0"/>
  </r>
  <r>
    <s v="0217"/>
    <x v="28"/>
    <n v="12"/>
    <s v="Company L"/>
    <x v="5"/>
    <s v="Steve"/>
    <x v="3"/>
    <x v="1"/>
    <n v="289"/>
    <n v="4"/>
    <n v="1156"/>
    <n v="0"/>
  </r>
  <r>
    <s v="0228"/>
    <x v="299"/>
    <n v="1"/>
    <s v="Company A"/>
    <x v="4"/>
    <s v="Sara"/>
    <x v="2"/>
    <x v="1"/>
    <n v="289"/>
    <n v="2"/>
    <n v="578"/>
    <n v="0"/>
  </r>
  <r>
    <s v="0229"/>
    <x v="299"/>
    <n v="17"/>
    <s v="Company Q"/>
    <x v="6"/>
    <s v="Jeff"/>
    <x v="0"/>
    <x v="1"/>
    <n v="289"/>
    <n v="8"/>
    <n v="2312"/>
    <n v="0"/>
  </r>
  <r>
    <s v="0235"/>
    <x v="32"/>
    <n v="2"/>
    <s v="Company B"/>
    <x v="2"/>
    <s v="Jeff"/>
    <x v="2"/>
    <x v="1"/>
    <n v="289"/>
    <n v="3"/>
    <n v="867"/>
    <n v="0"/>
  </r>
  <r>
    <s v="0242"/>
    <x v="300"/>
    <n v="2"/>
    <s v="Company B"/>
    <x v="2"/>
    <s v="Jeff"/>
    <x v="2"/>
    <x v="1"/>
    <n v="289"/>
    <n v="0"/>
    <n v="0"/>
    <n v="0"/>
  </r>
  <r>
    <s v="0246"/>
    <x v="33"/>
    <n v="20"/>
    <s v="Company T"/>
    <x v="6"/>
    <s v="Jeff"/>
    <x v="0"/>
    <x v="1"/>
    <n v="289"/>
    <n v="4"/>
    <n v="1156"/>
    <n v="0"/>
  </r>
  <r>
    <s v="0247"/>
    <x v="33"/>
    <n v="6"/>
    <s v="Company F"/>
    <x v="7"/>
    <s v="Philip"/>
    <x v="1"/>
    <x v="1"/>
    <n v="289"/>
    <n v="2"/>
    <n v="578"/>
    <n v="0"/>
  </r>
  <r>
    <s v="0259"/>
    <x v="34"/>
    <n v="16"/>
    <s v="Company P"/>
    <x v="6"/>
    <s v="Jeff"/>
    <x v="0"/>
    <x v="1"/>
    <n v="289"/>
    <n v="1"/>
    <n v="289"/>
    <n v="0"/>
  </r>
  <r>
    <s v="0265"/>
    <x v="301"/>
    <n v="17"/>
    <s v="Company Q"/>
    <x v="6"/>
    <s v="Jeff"/>
    <x v="0"/>
    <x v="1"/>
    <n v="289"/>
    <n v="7"/>
    <n v="2023"/>
    <n v="0"/>
  </r>
  <r>
    <s v="0272"/>
    <x v="35"/>
    <n v="15"/>
    <s v="Company O"/>
    <x v="5"/>
    <s v="Steve"/>
    <x v="3"/>
    <x v="1"/>
    <n v="289"/>
    <n v="7"/>
    <n v="2023"/>
    <n v="0"/>
  </r>
  <r>
    <s v="0275"/>
    <x v="35"/>
    <n v="7"/>
    <s v="Company G"/>
    <x v="1"/>
    <s v="Steve"/>
    <x v="1"/>
    <x v="1"/>
    <n v="289"/>
    <n v="0"/>
    <n v="0"/>
    <n v="0"/>
  </r>
  <r>
    <s v="0277"/>
    <x v="36"/>
    <n v="16"/>
    <s v="Company P"/>
    <x v="6"/>
    <s v="Jeff"/>
    <x v="0"/>
    <x v="1"/>
    <n v="289"/>
    <n v="3"/>
    <n v="867"/>
    <n v="0"/>
  </r>
  <r>
    <s v="0285"/>
    <x v="302"/>
    <n v="11"/>
    <s v="Company K"/>
    <x v="3"/>
    <s v="Sara"/>
    <x v="3"/>
    <x v="1"/>
    <n v="289"/>
    <n v="3"/>
    <n v="867"/>
    <n v="0"/>
  </r>
  <r>
    <s v="0287"/>
    <x v="302"/>
    <n v="4"/>
    <s v="Company D"/>
    <x v="2"/>
    <s v="Jeff"/>
    <x v="2"/>
    <x v="1"/>
    <n v="289"/>
    <n v="7"/>
    <n v="2023"/>
    <n v="0"/>
  </r>
  <r>
    <s v="0289"/>
    <x v="303"/>
    <n v="20"/>
    <s v="Company T"/>
    <x v="0"/>
    <s v="Jeff"/>
    <x v="0"/>
    <x v="1"/>
    <n v="289"/>
    <n v="1"/>
    <n v="289"/>
    <n v="0"/>
  </r>
  <r>
    <s v="0305"/>
    <x v="304"/>
    <n v="8"/>
    <s v="Company H"/>
    <x v="1"/>
    <s v="Steve"/>
    <x v="1"/>
    <x v="1"/>
    <n v="289"/>
    <n v="9"/>
    <n v="2601"/>
    <n v="0"/>
  </r>
  <r>
    <s v="0309"/>
    <x v="305"/>
    <n v="15"/>
    <s v="Company O"/>
    <x v="3"/>
    <s v="Sara"/>
    <x v="3"/>
    <x v="1"/>
    <n v="289"/>
    <n v="8"/>
    <n v="2312"/>
    <n v="0"/>
  </r>
  <r>
    <s v="0311"/>
    <x v="306"/>
    <n v="19"/>
    <s v="Company S"/>
    <x v="6"/>
    <s v="Jeff"/>
    <x v="0"/>
    <x v="1"/>
    <n v="289"/>
    <n v="5"/>
    <n v="1445"/>
    <n v="0"/>
  </r>
  <r>
    <s v="0322"/>
    <x v="307"/>
    <n v="2"/>
    <s v="Company B"/>
    <x v="2"/>
    <s v="Jeff"/>
    <x v="2"/>
    <x v="1"/>
    <n v="289"/>
    <n v="8"/>
    <n v="2312"/>
    <n v="0"/>
  </r>
  <r>
    <s v="0323"/>
    <x v="307"/>
    <n v="19"/>
    <s v="Company S"/>
    <x v="6"/>
    <s v="Jeff"/>
    <x v="0"/>
    <x v="1"/>
    <n v="289"/>
    <n v="3"/>
    <n v="867"/>
    <n v="0"/>
  </r>
  <r>
    <s v="0329"/>
    <x v="40"/>
    <n v="14"/>
    <s v="Company N"/>
    <x v="3"/>
    <s v="Sara"/>
    <x v="3"/>
    <x v="1"/>
    <n v="289"/>
    <n v="4"/>
    <n v="1156"/>
    <n v="0"/>
  </r>
  <r>
    <s v="0334"/>
    <x v="308"/>
    <n v="4"/>
    <s v="Company D"/>
    <x v="4"/>
    <s v="Sara"/>
    <x v="2"/>
    <x v="1"/>
    <n v="289"/>
    <n v="6"/>
    <n v="1734"/>
    <n v="0"/>
  </r>
  <r>
    <s v="0341"/>
    <x v="42"/>
    <n v="1"/>
    <s v="Company A"/>
    <x v="2"/>
    <s v="Jeff"/>
    <x v="2"/>
    <x v="1"/>
    <n v="289"/>
    <n v="3"/>
    <n v="867"/>
    <n v="0"/>
  </r>
  <r>
    <s v="0348"/>
    <x v="42"/>
    <n v="19"/>
    <s v="Company S"/>
    <x v="6"/>
    <s v="Jeff"/>
    <x v="0"/>
    <x v="1"/>
    <n v="289"/>
    <n v="1"/>
    <n v="289"/>
    <n v="0"/>
  </r>
  <r>
    <s v="0365"/>
    <x v="309"/>
    <n v="7"/>
    <s v="Company G"/>
    <x v="7"/>
    <s v="Philip"/>
    <x v="1"/>
    <x v="1"/>
    <n v="289"/>
    <n v="9"/>
    <n v="2601"/>
    <n v="0"/>
  </r>
  <r>
    <s v="0367"/>
    <x v="310"/>
    <n v="7"/>
    <s v="Company G"/>
    <x v="7"/>
    <s v="Philip"/>
    <x v="1"/>
    <x v="1"/>
    <n v="289"/>
    <n v="2"/>
    <n v="578"/>
    <n v="0"/>
  </r>
  <r>
    <s v="0368"/>
    <x v="310"/>
    <n v="8"/>
    <s v="Company H"/>
    <x v="7"/>
    <s v="Philip"/>
    <x v="1"/>
    <x v="1"/>
    <n v="289"/>
    <n v="6"/>
    <n v="1734"/>
    <n v="0"/>
  </r>
  <r>
    <s v="0372"/>
    <x v="310"/>
    <n v="7"/>
    <s v="Company G"/>
    <x v="7"/>
    <s v="Philip"/>
    <x v="1"/>
    <x v="1"/>
    <n v="289"/>
    <n v="8"/>
    <n v="2312"/>
    <n v="0"/>
  </r>
  <r>
    <s v="0385"/>
    <x v="47"/>
    <n v="17"/>
    <s v="Company Q"/>
    <x v="0"/>
    <s v="Jeff"/>
    <x v="0"/>
    <x v="1"/>
    <n v="289"/>
    <n v="3"/>
    <n v="867"/>
    <n v="0"/>
  </r>
  <r>
    <s v="0389"/>
    <x v="47"/>
    <n v="13"/>
    <s v="Company M"/>
    <x v="5"/>
    <s v="Steve"/>
    <x v="3"/>
    <x v="1"/>
    <n v="289"/>
    <n v="3"/>
    <n v="867"/>
    <n v="0"/>
  </r>
  <r>
    <s v="0390"/>
    <x v="47"/>
    <n v="1"/>
    <s v="Company A"/>
    <x v="4"/>
    <s v="Sara"/>
    <x v="2"/>
    <x v="1"/>
    <n v="289"/>
    <n v="4"/>
    <n v="1156"/>
    <n v="0"/>
  </r>
  <r>
    <s v="0392"/>
    <x v="311"/>
    <n v="8"/>
    <s v="Company H"/>
    <x v="7"/>
    <s v="Philip"/>
    <x v="1"/>
    <x v="1"/>
    <n v="289"/>
    <n v="0"/>
    <n v="0"/>
    <n v="0"/>
  </r>
  <r>
    <s v="0397"/>
    <x v="312"/>
    <n v="19"/>
    <s v="Company S"/>
    <x v="0"/>
    <s v="Jeff"/>
    <x v="0"/>
    <x v="1"/>
    <n v="289"/>
    <n v="1"/>
    <n v="289"/>
    <n v="0"/>
  </r>
  <r>
    <s v="0400"/>
    <x v="48"/>
    <n v="19"/>
    <s v="Company S"/>
    <x v="6"/>
    <s v="Jeff"/>
    <x v="0"/>
    <x v="1"/>
    <n v="289"/>
    <n v="6"/>
    <n v="1734"/>
    <n v="0"/>
  </r>
  <r>
    <s v="0402"/>
    <x v="49"/>
    <n v="16"/>
    <s v="Company P"/>
    <x v="0"/>
    <s v="Jeff"/>
    <x v="0"/>
    <x v="1"/>
    <n v="289"/>
    <n v="8"/>
    <n v="2312"/>
    <n v="0"/>
  </r>
  <r>
    <s v="0408"/>
    <x v="313"/>
    <n v="4"/>
    <s v="Company D"/>
    <x v="4"/>
    <s v="Sara"/>
    <x v="2"/>
    <x v="1"/>
    <n v="289"/>
    <n v="6"/>
    <n v="1734"/>
    <n v="0"/>
  </r>
  <r>
    <s v="0425"/>
    <x v="314"/>
    <n v="1"/>
    <s v="Company A"/>
    <x v="4"/>
    <s v="Sara"/>
    <x v="2"/>
    <x v="1"/>
    <n v="289"/>
    <n v="7"/>
    <n v="2023"/>
    <n v="0"/>
  </r>
  <r>
    <s v="0430"/>
    <x v="51"/>
    <n v="16"/>
    <s v="Company P"/>
    <x v="0"/>
    <s v="Jeff"/>
    <x v="0"/>
    <x v="1"/>
    <n v="289"/>
    <n v="7"/>
    <n v="2023"/>
    <n v="0"/>
  </r>
  <r>
    <s v="0431"/>
    <x v="51"/>
    <n v="4"/>
    <s v="Company D"/>
    <x v="4"/>
    <s v="Sara"/>
    <x v="2"/>
    <x v="1"/>
    <n v="289"/>
    <n v="6"/>
    <n v="1734"/>
    <n v="0"/>
  </r>
  <r>
    <s v="0433"/>
    <x v="51"/>
    <n v="3"/>
    <s v="Company C"/>
    <x v="2"/>
    <s v="Jeff"/>
    <x v="2"/>
    <x v="1"/>
    <n v="289"/>
    <n v="0"/>
    <n v="0"/>
    <n v="0"/>
  </r>
  <r>
    <s v="0434"/>
    <x v="51"/>
    <n v="9"/>
    <s v="Company I"/>
    <x v="7"/>
    <s v="Philip"/>
    <x v="1"/>
    <x v="1"/>
    <n v="289"/>
    <n v="5"/>
    <n v="1445"/>
    <n v="0"/>
  </r>
  <r>
    <s v="0435"/>
    <x v="51"/>
    <n v="8"/>
    <s v="Company H"/>
    <x v="1"/>
    <s v="Steve"/>
    <x v="1"/>
    <x v="1"/>
    <n v="289"/>
    <n v="5"/>
    <n v="1445"/>
    <n v="0"/>
  </r>
  <r>
    <s v="0449"/>
    <x v="52"/>
    <n v="10"/>
    <s v="Company J"/>
    <x v="7"/>
    <s v="Philip"/>
    <x v="1"/>
    <x v="1"/>
    <n v="289"/>
    <n v="6"/>
    <n v="1734"/>
    <n v="0"/>
  </r>
  <r>
    <s v="0450"/>
    <x v="52"/>
    <n v="5"/>
    <s v="Company E"/>
    <x v="4"/>
    <s v="Sara"/>
    <x v="2"/>
    <x v="1"/>
    <n v="289"/>
    <n v="8"/>
    <n v="2312"/>
    <n v="0"/>
  </r>
  <r>
    <s v="0464"/>
    <x v="55"/>
    <n v="4"/>
    <s v="Company D"/>
    <x v="4"/>
    <s v="Sara"/>
    <x v="2"/>
    <x v="1"/>
    <n v="289"/>
    <n v="2"/>
    <n v="578"/>
    <n v="0"/>
  </r>
  <r>
    <s v="0469"/>
    <x v="56"/>
    <n v="2"/>
    <s v="Company B"/>
    <x v="2"/>
    <s v="Jeff"/>
    <x v="2"/>
    <x v="1"/>
    <n v="289"/>
    <n v="1"/>
    <n v="289"/>
    <n v="0"/>
  </r>
  <r>
    <s v="0471"/>
    <x v="315"/>
    <n v="5"/>
    <s v="Company E"/>
    <x v="4"/>
    <s v="Sara"/>
    <x v="2"/>
    <x v="1"/>
    <n v="289"/>
    <n v="4"/>
    <n v="1156"/>
    <n v="0"/>
  </r>
  <r>
    <s v="0473"/>
    <x v="58"/>
    <n v="13"/>
    <s v="Company M"/>
    <x v="3"/>
    <s v="Sara"/>
    <x v="3"/>
    <x v="1"/>
    <n v="289"/>
    <n v="8"/>
    <n v="2312"/>
    <n v="0"/>
  </r>
  <r>
    <s v="0477"/>
    <x v="58"/>
    <n v="7"/>
    <s v="Company G"/>
    <x v="7"/>
    <s v="Philip"/>
    <x v="1"/>
    <x v="1"/>
    <n v="289"/>
    <n v="5"/>
    <n v="1445"/>
    <n v="0"/>
  </r>
  <r>
    <s v="0481"/>
    <x v="316"/>
    <n v="17"/>
    <s v="Company Q"/>
    <x v="6"/>
    <s v="Jeff"/>
    <x v="0"/>
    <x v="1"/>
    <n v="289"/>
    <n v="3"/>
    <n v="867"/>
    <n v="0"/>
  </r>
  <r>
    <s v="0487"/>
    <x v="317"/>
    <n v="4"/>
    <s v="Company D"/>
    <x v="4"/>
    <s v="Sara"/>
    <x v="2"/>
    <x v="1"/>
    <n v="289"/>
    <n v="4"/>
    <n v="1156"/>
    <n v="0"/>
  </r>
  <r>
    <s v="0492"/>
    <x v="317"/>
    <n v="3"/>
    <s v="Company C"/>
    <x v="2"/>
    <s v="Jeff"/>
    <x v="2"/>
    <x v="1"/>
    <n v="289"/>
    <n v="6"/>
    <n v="1734"/>
    <n v="0"/>
  </r>
  <r>
    <s v="0496"/>
    <x v="59"/>
    <n v="9"/>
    <s v="Company I"/>
    <x v="7"/>
    <s v="Philip"/>
    <x v="1"/>
    <x v="1"/>
    <n v="289"/>
    <n v="6"/>
    <n v="1734"/>
    <n v="0"/>
  </r>
  <r>
    <s v="0497"/>
    <x v="59"/>
    <n v="4"/>
    <s v="Company D"/>
    <x v="4"/>
    <s v="Sara"/>
    <x v="2"/>
    <x v="1"/>
    <n v="289"/>
    <n v="1"/>
    <n v="289"/>
    <n v="0"/>
  </r>
  <r>
    <s v="0500"/>
    <x v="59"/>
    <n v="4"/>
    <s v="Company D"/>
    <x v="2"/>
    <s v="Jeff"/>
    <x v="2"/>
    <x v="1"/>
    <n v="289"/>
    <n v="6"/>
    <n v="1734"/>
    <n v="0"/>
  </r>
  <r>
    <s v="0503"/>
    <x v="318"/>
    <n v="10"/>
    <s v="Company J"/>
    <x v="1"/>
    <s v="Steve"/>
    <x v="1"/>
    <x v="1"/>
    <n v="289"/>
    <n v="8"/>
    <n v="2312"/>
    <n v="0"/>
  </r>
  <r>
    <s v="0511"/>
    <x v="319"/>
    <n v="19"/>
    <s v="Company S"/>
    <x v="6"/>
    <s v="Jeff"/>
    <x v="0"/>
    <x v="1"/>
    <n v="289"/>
    <n v="9"/>
    <n v="2601"/>
    <n v="0"/>
  </r>
  <r>
    <s v="0515"/>
    <x v="320"/>
    <n v="8"/>
    <s v="Company H"/>
    <x v="1"/>
    <s v="Steve"/>
    <x v="1"/>
    <x v="1"/>
    <n v="289"/>
    <n v="4"/>
    <n v="1156"/>
    <n v="0"/>
  </r>
  <r>
    <s v="0516"/>
    <x v="320"/>
    <n v="4"/>
    <s v="Company D"/>
    <x v="4"/>
    <s v="Sara"/>
    <x v="2"/>
    <x v="1"/>
    <n v="289"/>
    <n v="3"/>
    <n v="867"/>
    <n v="0"/>
  </r>
  <r>
    <s v="0517"/>
    <x v="321"/>
    <n v="19"/>
    <s v="Company S"/>
    <x v="6"/>
    <s v="Jeff"/>
    <x v="0"/>
    <x v="1"/>
    <n v="289"/>
    <n v="4"/>
    <n v="1156"/>
    <n v="0"/>
  </r>
  <r>
    <s v="0521"/>
    <x v="61"/>
    <n v="5"/>
    <s v="Company E"/>
    <x v="4"/>
    <s v="Sara"/>
    <x v="2"/>
    <x v="1"/>
    <n v="289"/>
    <n v="3"/>
    <n v="867"/>
    <n v="0"/>
  </r>
  <r>
    <s v="0523"/>
    <x v="61"/>
    <n v="18"/>
    <s v="Company R"/>
    <x v="6"/>
    <s v="Jeff"/>
    <x v="0"/>
    <x v="1"/>
    <n v="289"/>
    <n v="7"/>
    <n v="2023"/>
    <n v="0"/>
  </r>
  <r>
    <s v="0526"/>
    <x v="61"/>
    <n v="20"/>
    <s v="Company T"/>
    <x v="0"/>
    <s v="Jeff"/>
    <x v="0"/>
    <x v="1"/>
    <n v="289"/>
    <n v="7"/>
    <n v="2023"/>
    <n v="0"/>
  </r>
  <r>
    <s v="0527"/>
    <x v="61"/>
    <n v="1"/>
    <s v="Company A"/>
    <x v="4"/>
    <s v="Sara"/>
    <x v="2"/>
    <x v="1"/>
    <n v="289"/>
    <n v="7"/>
    <n v="2023"/>
    <n v="0"/>
  </r>
  <r>
    <s v="0528"/>
    <x v="61"/>
    <n v="4"/>
    <s v="Company D"/>
    <x v="2"/>
    <s v="Jeff"/>
    <x v="2"/>
    <x v="1"/>
    <n v="289"/>
    <n v="9"/>
    <n v="2601"/>
    <n v="0"/>
  </r>
  <r>
    <s v="0541"/>
    <x v="63"/>
    <n v="9"/>
    <s v="Company I"/>
    <x v="1"/>
    <s v="Steve"/>
    <x v="1"/>
    <x v="1"/>
    <n v="289"/>
    <n v="9"/>
    <n v="2601"/>
    <n v="0"/>
  </r>
  <r>
    <s v="0544"/>
    <x v="64"/>
    <n v="9"/>
    <s v="Company I"/>
    <x v="1"/>
    <s v="Steve"/>
    <x v="1"/>
    <x v="1"/>
    <n v="289"/>
    <n v="6"/>
    <n v="1734"/>
    <n v="0"/>
  </r>
  <r>
    <s v="0552"/>
    <x v="65"/>
    <n v="2"/>
    <s v="Company B"/>
    <x v="4"/>
    <s v="Sara"/>
    <x v="2"/>
    <x v="1"/>
    <n v="289"/>
    <n v="5"/>
    <n v="1445"/>
    <n v="0"/>
  </r>
  <r>
    <s v="0559"/>
    <x v="67"/>
    <n v="2"/>
    <s v="Company B"/>
    <x v="4"/>
    <s v="Sara"/>
    <x v="2"/>
    <x v="1"/>
    <n v="289"/>
    <n v="2"/>
    <n v="578"/>
    <n v="0"/>
  </r>
  <r>
    <s v="0560"/>
    <x v="67"/>
    <n v="15"/>
    <s v="Company O"/>
    <x v="5"/>
    <s v="Steve"/>
    <x v="3"/>
    <x v="1"/>
    <n v="289"/>
    <n v="5"/>
    <n v="1445"/>
    <n v="0"/>
  </r>
  <r>
    <s v="0561"/>
    <x v="322"/>
    <n v="13"/>
    <s v="Company M"/>
    <x v="3"/>
    <s v="Sara"/>
    <x v="3"/>
    <x v="1"/>
    <n v="289"/>
    <n v="3"/>
    <n v="867"/>
    <n v="0"/>
  </r>
  <r>
    <s v="0562"/>
    <x v="323"/>
    <n v="17"/>
    <s v="Company Q"/>
    <x v="0"/>
    <s v="Jeff"/>
    <x v="0"/>
    <x v="1"/>
    <n v="289"/>
    <n v="6"/>
    <n v="1734"/>
    <n v="0"/>
  </r>
  <r>
    <s v="0570"/>
    <x v="324"/>
    <n v="3"/>
    <s v="Company C"/>
    <x v="4"/>
    <s v="Sara"/>
    <x v="2"/>
    <x v="1"/>
    <n v="289"/>
    <n v="3"/>
    <n v="867"/>
    <n v="0"/>
  </r>
  <r>
    <s v="0571"/>
    <x v="324"/>
    <n v="3"/>
    <s v="Company C"/>
    <x v="4"/>
    <s v="Sara"/>
    <x v="2"/>
    <x v="1"/>
    <n v="289"/>
    <n v="1"/>
    <n v="289"/>
    <n v="0"/>
  </r>
  <r>
    <s v="0586"/>
    <x v="71"/>
    <n v="4"/>
    <s v="Company D"/>
    <x v="2"/>
    <s v="Jeff"/>
    <x v="2"/>
    <x v="1"/>
    <n v="289"/>
    <n v="5"/>
    <n v="1445"/>
    <n v="0"/>
  </r>
  <r>
    <s v="0591"/>
    <x v="325"/>
    <n v="4"/>
    <s v="Company D"/>
    <x v="4"/>
    <s v="Sara"/>
    <x v="2"/>
    <x v="1"/>
    <n v="289"/>
    <n v="3"/>
    <n v="867"/>
    <n v="0"/>
  </r>
  <r>
    <s v="0592"/>
    <x v="73"/>
    <n v="6"/>
    <s v="Company F"/>
    <x v="1"/>
    <s v="Steve"/>
    <x v="1"/>
    <x v="1"/>
    <n v="289"/>
    <n v="9"/>
    <n v="2601"/>
    <n v="0"/>
  </r>
  <r>
    <s v="0594"/>
    <x v="73"/>
    <n v="2"/>
    <s v="Company B"/>
    <x v="4"/>
    <s v="Sara"/>
    <x v="2"/>
    <x v="1"/>
    <n v="289"/>
    <n v="1"/>
    <n v="289"/>
    <n v="0"/>
  </r>
  <r>
    <s v="0600"/>
    <x v="74"/>
    <n v="5"/>
    <s v="Company E"/>
    <x v="2"/>
    <s v="Jeff"/>
    <x v="2"/>
    <x v="1"/>
    <n v="289"/>
    <n v="0"/>
    <n v="0"/>
    <n v="0"/>
  </r>
  <r>
    <s v="0603"/>
    <x v="74"/>
    <n v="11"/>
    <s v="Company K"/>
    <x v="3"/>
    <s v="Sara"/>
    <x v="3"/>
    <x v="1"/>
    <n v="289"/>
    <n v="7"/>
    <n v="2023"/>
    <n v="0"/>
  </r>
  <r>
    <s v="0604"/>
    <x v="74"/>
    <n v="1"/>
    <s v="Company A"/>
    <x v="4"/>
    <s v="Sara"/>
    <x v="2"/>
    <x v="1"/>
    <n v="289"/>
    <n v="8"/>
    <n v="2312"/>
    <n v="0"/>
  </r>
  <r>
    <s v="0606"/>
    <x v="75"/>
    <n v="12"/>
    <s v="Company L"/>
    <x v="3"/>
    <s v="Sara"/>
    <x v="3"/>
    <x v="1"/>
    <n v="289"/>
    <n v="3"/>
    <n v="867"/>
    <n v="0"/>
  </r>
  <r>
    <s v="0611"/>
    <x v="326"/>
    <n v="10"/>
    <s v="Company J"/>
    <x v="1"/>
    <s v="Steve"/>
    <x v="1"/>
    <x v="1"/>
    <n v="289"/>
    <n v="9"/>
    <n v="2601"/>
    <n v="0"/>
  </r>
  <r>
    <s v="0612"/>
    <x v="326"/>
    <n v="17"/>
    <s v="Company Q"/>
    <x v="6"/>
    <s v="Jeff"/>
    <x v="0"/>
    <x v="1"/>
    <n v="289"/>
    <n v="9"/>
    <n v="2601"/>
    <n v="0"/>
  </r>
  <r>
    <s v="0614"/>
    <x v="327"/>
    <n v="20"/>
    <s v="Company T"/>
    <x v="0"/>
    <s v="Jeff"/>
    <x v="0"/>
    <x v="1"/>
    <n v="289"/>
    <n v="0"/>
    <n v="0"/>
    <n v="0"/>
  </r>
  <r>
    <s v="0619"/>
    <x v="328"/>
    <n v="17"/>
    <s v="Company Q"/>
    <x v="0"/>
    <s v="Jeff"/>
    <x v="0"/>
    <x v="1"/>
    <n v="289"/>
    <n v="6"/>
    <n v="1734"/>
    <n v="0"/>
  </r>
  <r>
    <s v="0626"/>
    <x v="77"/>
    <n v="1"/>
    <s v="Company A"/>
    <x v="2"/>
    <s v="Jeff"/>
    <x v="2"/>
    <x v="1"/>
    <n v="289"/>
    <n v="0"/>
    <n v="0"/>
    <n v="0"/>
  </r>
  <r>
    <s v="0640"/>
    <x v="80"/>
    <n v="20"/>
    <s v="Company T"/>
    <x v="0"/>
    <s v="Jeff"/>
    <x v="0"/>
    <x v="1"/>
    <n v="289"/>
    <n v="4"/>
    <n v="1156"/>
    <n v="0"/>
  </r>
  <r>
    <s v="0647"/>
    <x v="329"/>
    <n v="13"/>
    <s v="Company M"/>
    <x v="3"/>
    <s v="Sara"/>
    <x v="3"/>
    <x v="1"/>
    <n v="289"/>
    <n v="3"/>
    <n v="867"/>
    <n v="0"/>
  </r>
  <r>
    <s v="0650"/>
    <x v="82"/>
    <n v="13"/>
    <s v="Company M"/>
    <x v="5"/>
    <s v="Steve"/>
    <x v="3"/>
    <x v="1"/>
    <n v="289"/>
    <n v="3"/>
    <n v="867"/>
    <n v="0"/>
  </r>
  <r>
    <s v="0655"/>
    <x v="330"/>
    <n v="2"/>
    <s v="Company B"/>
    <x v="2"/>
    <s v="Jeff"/>
    <x v="2"/>
    <x v="1"/>
    <n v="289"/>
    <n v="2"/>
    <n v="578"/>
    <n v="0"/>
  </r>
  <r>
    <s v="0660"/>
    <x v="331"/>
    <n v="1"/>
    <s v="Company A"/>
    <x v="2"/>
    <s v="Jeff"/>
    <x v="2"/>
    <x v="1"/>
    <n v="289"/>
    <n v="4"/>
    <n v="1156"/>
    <n v="0"/>
  </r>
  <r>
    <s v="0674"/>
    <x v="332"/>
    <n v="18"/>
    <s v="Company R"/>
    <x v="0"/>
    <s v="Jeff"/>
    <x v="0"/>
    <x v="1"/>
    <n v="289"/>
    <n v="8"/>
    <n v="2312"/>
    <n v="0"/>
  </r>
  <r>
    <s v="0682"/>
    <x v="86"/>
    <n v="18"/>
    <s v="Company R"/>
    <x v="6"/>
    <s v="Jeff"/>
    <x v="0"/>
    <x v="1"/>
    <n v="289"/>
    <n v="3"/>
    <n v="867"/>
    <n v="0"/>
  </r>
  <r>
    <s v="0683"/>
    <x v="86"/>
    <n v="16"/>
    <s v="Company P"/>
    <x v="0"/>
    <s v="Jeff"/>
    <x v="0"/>
    <x v="1"/>
    <n v="289"/>
    <n v="6"/>
    <n v="1734"/>
    <n v="0"/>
  </r>
  <r>
    <s v="0691"/>
    <x v="86"/>
    <n v="19"/>
    <s v="Company S"/>
    <x v="6"/>
    <s v="Jeff"/>
    <x v="0"/>
    <x v="1"/>
    <n v="289"/>
    <n v="2"/>
    <n v="578"/>
    <n v="0"/>
  </r>
  <r>
    <s v="0692"/>
    <x v="86"/>
    <n v="7"/>
    <s v="Company G"/>
    <x v="1"/>
    <s v="Steve"/>
    <x v="1"/>
    <x v="1"/>
    <n v="289"/>
    <n v="4"/>
    <n v="1156"/>
    <n v="0"/>
  </r>
  <r>
    <s v="0695"/>
    <x v="333"/>
    <n v="12"/>
    <s v="Company L"/>
    <x v="5"/>
    <s v="Steve"/>
    <x v="3"/>
    <x v="1"/>
    <n v="289"/>
    <n v="7"/>
    <n v="2023"/>
    <n v="0"/>
  </r>
  <r>
    <s v="0698"/>
    <x v="334"/>
    <n v="8"/>
    <s v="Company H"/>
    <x v="1"/>
    <s v="Steve"/>
    <x v="1"/>
    <x v="1"/>
    <n v="289"/>
    <n v="9"/>
    <n v="2601"/>
    <n v="0"/>
  </r>
  <r>
    <s v="0700"/>
    <x v="335"/>
    <n v="20"/>
    <s v="Company T"/>
    <x v="0"/>
    <s v="Jeff"/>
    <x v="0"/>
    <x v="1"/>
    <n v="289"/>
    <n v="0"/>
    <n v="0"/>
    <n v="0"/>
  </r>
  <r>
    <s v="0701"/>
    <x v="336"/>
    <n v="15"/>
    <s v="Company O"/>
    <x v="3"/>
    <s v="Sara"/>
    <x v="3"/>
    <x v="1"/>
    <n v="289"/>
    <n v="2"/>
    <n v="578"/>
    <n v="0"/>
  </r>
  <r>
    <s v="0703"/>
    <x v="337"/>
    <n v="19"/>
    <s v="Company S"/>
    <x v="0"/>
    <s v="Jeff"/>
    <x v="0"/>
    <x v="1"/>
    <n v="289"/>
    <n v="9"/>
    <n v="2601"/>
    <n v="0"/>
  </r>
  <r>
    <s v="0704"/>
    <x v="337"/>
    <n v="15"/>
    <s v="Company O"/>
    <x v="3"/>
    <s v="Sara"/>
    <x v="3"/>
    <x v="1"/>
    <n v="289"/>
    <n v="6"/>
    <n v="1734"/>
    <n v="0"/>
  </r>
  <r>
    <s v="0705"/>
    <x v="337"/>
    <n v="14"/>
    <s v="Company N"/>
    <x v="3"/>
    <s v="Sara"/>
    <x v="3"/>
    <x v="1"/>
    <n v="289"/>
    <n v="0"/>
    <n v="0"/>
    <n v="0"/>
  </r>
  <r>
    <s v="0708"/>
    <x v="337"/>
    <n v="1"/>
    <s v="Company A"/>
    <x v="2"/>
    <s v="Jeff"/>
    <x v="2"/>
    <x v="1"/>
    <n v="289"/>
    <n v="4"/>
    <n v="1156"/>
    <n v="0"/>
  </r>
  <r>
    <s v="0710"/>
    <x v="337"/>
    <n v="13"/>
    <s v="Company M"/>
    <x v="3"/>
    <s v="Sara"/>
    <x v="3"/>
    <x v="1"/>
    <n v="289"/>
    <n v="8"/>
    <n v="2312"/>
    <n v="0"/>
  </r>
  <r>
    <s v="0714"/>
    <x v="338"/>
    <n v="4"/>
    <s v="Company D"/>
    <x v="2"/>
    <s v="Jeff"/>
    <x v="2"/>
    <x v="1"/>
    <n v="289"/>
    <n v="6"/>
    <n v="1734"/>
    <n v="0"/>
  </r>
  <r>
    <s v="0720"/>
    <x v="339"/>
    <n v="9"/>
    <s v="Company I"/>
    <x v="1"/>
    <s v="Steve"/>
    <x v="1"/>
    <x v="1"/>
    <n v="289"/>
    <n v="9"/>
    <n v="2601"/>
    <n v="0"/>
  </r>
  <r>
    <s v="0724"/>
    <x v="87"/>
    <n v="7"/>
    <s v="Company G"/>
    <x v="1"/>
    <s v="Steve"/>
    <x v="1"/>
    <x v="1"/>
    <n v="289"/>
    <n v="5"/>
    <n v="1445"/>
    <n v="0"/>
  </r>
  <r>
    <s v="0725"/>
    <x v="87"/>
    <n v="8"/>
    <s v="Company H"/>
    <x v="7"/>
    <s v="Philip"/>
    <x v="1"/>
    <x v="1"/>
    <n v="289"/>
    <n v="2"/>
    <n v="578"/>
    <n v="0"/>
  </r>
  <r>
    <s v="0726"/>
    <x v="87"/>
    <n v="8"/>
    <s v="Company H"/>
    <x v="1"/>
    <s v="Steve"/>
    <x v="1"/>
    <x v="1"/>
    <n v="289"/>
    <n v="1"/>
    <n v="289"/>
    <n v="0"/>
  </r>
  <r>
    <s v="0728"/>
    <x v="340"/>
    <n v="10"/>
    <s v="Company J"/>
    <x v="7"/>
    <s v="Philip"/>
    <x v="1"/>
    <x v="1"/>
    <n v="289"/>
    <n v="7"/>
    <n v="2023"/>
    <n v="0"/>
  </r>
  <r>
    <s v="0732"/>
    <x v="88"/>
    <n v="1"/>
    <s v="Company A"/>
    <x v="4"/>
    <s v="Sara"/>
    <x v="2"/>
    <x v="1"/>
    <n v="289"/>
    <n v="6"/>
    <n v="1734"/>
    <n v="0"/>
  </r>
  <r>
    <s v="0734"/>
    <x v="88"/>
    <n v="3"/>
    <s v="Company C"/>
    <x v="2"/>
    <s v="Jeff"/>
    <x v="2"/>
    <x v="1"/>
    <n v="289"/>
    <n v="2"/>
    <n v="578"/>
    <n v="0"/>
  </r>
  <r>
    <s v="0741"/>
    <x v="341"/>
    <n v="1"/>
    <s v="Company A"/>
    <x v="4"/>
    <s v="Sara"/>
    <x v="2"/>
    <x v="1"/>
    <n v="289"/>
    <n v="7"/>
    <n v="2023"/>
    <n v="0"/>
  </r>
  <r>
    <s v="0742"/>
    <x v="341"/>
    <n v="18"/>
    <s v="Company R"/>
    <x v="0"/>
    <s v="Jeff"/>
    <x v="0"/>
    <x v="1"/>
    <n v="289"/>
    <n v="0"/>
    <n v="0"/>
    <n v="0"/>
  </r>
  <r>
    <s v="0749"/>
    <x v="342"/>
    <n v="11"/>
    <s v="Company K"/>
    <x v="5"/>
    <s v="Steve"/>
    <x v="3"/>
    <x v="1"/>
    <n v="289"/>
    <n v="3"/>
    <n v="867"/>
    <n v="0"/>
  </r>
  <r>
    <s v="0751"/>
    <x v="342"/>
    <n v="10"/>
    <s v="Company J"/>
    <x v="7"/>
    <s v="Philip"/>
    <x v="1"/>
    <x v="1"/>
    <n v="289"/>
    <n v="5"/>
    <n v="1445"/>
    <n v="0"/>
  </r>
  <r>
    <s v="0757"/>
    <x v="93"/>
    <n v="13"/>
    <s v="Company M"/>
    <x v="5"/>
    <s v="Steve"/>
    <x v="3"/>
    <x v="1"/>
    <n v="289"/>
    <n v="0"/>
    <n v="0"/>
    <n v="0"/>
  </r>
  <r>
    <s v="0759"/>
    <x v="93"/>
    <n v="3"/>
    <s v="Company C"/>
    <x v="4"/>
    <s v="Sara"/>
    <x v="2"/>
    <x v="1"/>
    <n v="289"/>
    <n v="1"/>
    <n v="289"/>
    <n v="0"/>
  </r>
  <r>
    <s v="0762"/>
    <x v="94"/>
    <n v="16"/>
    <s v="Company P"/>
    <x v="0"/>
    <s v="Jeff"/>
    <x v="0"/>
    <x v="1"/>
    <n v="289"/>
    <n v="2"/>
    <n v="578"/>
    <n v="0"/>
  </r>
  <r>
    <s v="0771"/>
    <x v="97"/>
    <n v="4"/>
    <s v="Company D"/>
    <x v="2"/>
    <s v="Jeff"/>
    <x v="2"/>
    <x v="1"/>
    <n v="289"/>
    <n v="2"/>
    <n v="578"/>
    <n v="0"/>
  </r>
  <r>
    <s v="0772"/>
    <x v="97"/>
    <n v="6"/>
    <s v="Company F"/>
    <x v="1"/>
    <s v="Steve"/>
    <x v="1"/>
    <x v="1"/>
    <n v="289"/>
    <n v="3"/>
    <n v="867"/>
    <n v="0"/>
  </r>
  <r>
    <s v="0778"/>
    <x v="98"/>
    <n v="2"/>
    <s v="Company B"/>
    <x v="2"/>
    <s v="Jeff"/>
    <x v="2"/>
    <x v="1"/>
    <n v="289"/>
    <n v="5"/>
    <n v="1445"/>
    <n v="0"/>
  </r>
  <r>
    <s v="0779"/>
    <x v="98"/>
    <n v="14"/>
    <s v="Company N"/>
    <x v="5"/>
    <s v="Steve"/>
    <x v="3"/>
    <x v="1"/>
    <n v="289"/>
    <n v="6"/>
    <n v="1734"/>
    <n v="0"/>
  </r>
  <r>
    <s v="0786"/>
    <x v="99"/>
    <n v="4"/>
    <s v="Company D"/>
    <x v="4"/>
    <s v="Sara"/>
    <x v="2"/>
    <x v="1"/>
    <n v="289"/>
    <n v="6"/>
    <n v="1734"/>
    <n v="0"/>
  </r>
  <r>
    <s v="0796"/>
    <x v="101"/>
    <n v="18"/>
    <s v="Company R"/>
    <x v="0"/>
    <s v="Jeff"/>
    <x v="0"/>
    <x v="1"/>
    <n v="289"/>
    <n v="4"/>
    <n v="1156"/>
    <n v="0"/>
  </r>
  <r>
    <s v="0801"/>
    <x v="102"/>
    <n v="10"/>
    <s v="Company J"/>
    <x v="1"/>
    <s v="Steve"/>
    <x v="1"/>
    <x v="1"/>
    <n v="289"/>
    <n v="7"/>
    <n v="2023"/>
    <n v="0"/>
  </r>
  <r>
    <s v="0819"/>
    <x v="106"/>
    <n v="6"/>
    <s v="Company F"/>
    <x v="7"/>
    <s v="Philip"/>
    <x v="1"/>
    <x v="1"/>
    <n v="289"/>
    <n v="0"/>
    <n v="0"/>
    <n v="0"/>
  </r>
  <r>
    <s v="0824"/>
    <x v="107"/>
    <n v="8"/>
    <s v="Company H"/>
    <x v="7"/>
    <s v="Philip"/>
    <x v="1"/>
    <x v="1"/>
    <n v="289"/>
    <n v="0"/>
    <n v="0"/>
    <n v="0"/>
  </r>
  <r>
    <s v="0826"/>
    <x v="108"/>
    <n v="15"/>
    <s v="Company O"/>
    <x v="5"/>
    <s v="Steve"/>
    <x v="3"/>
    <x v="1"/>
    <n v="289"/>
    <n v="1"/>
    <n v="289"/>
    <n v="0"/>
  </r>
  <r>
    <s v="0832"/>
    <x v="343"/>
    <n v="3"/>
    <s v="Company C"/>
    <x v="4"/>
    <s v="Sara"/>
    <x v="2"/>
    <x v="1"/>
    <n v="289"/>
    <n v="1"/>
    <n v="289"/>
    <n v="0"/>
  </r>
  <r>
    <s v="0839"/>
    <x v="344"/>
    <n v="20"/>
    <s v="Company T"/>
    <x v="0"/>
    <s v="Jeff"/>
    <x v="0"/>
    <x v="1"/>
    <n v="289"/>
    <n v="4"/>
    <n v="1156"/>
    <n v="0"/>
  </r>
  <r>
    <s v="0841"/>
    <x v="345"/>
    <n v="7"/>
    <s v="Company G"/>
    <x v="7"/>
    <s v="Philip"/>
    <x v="1"/>
    <x v="1"/>
    <n v="289"/>
    <n v="2"/>
    <n v="578"/>
    <n v="0"/>
  </r>
  <r>
    <s v="0844"/>
    <x v="346"/>
    <n v="11"/>
    <s v="Company K"/>
    <x v="3"/>
    <s v="Sara"/>
    <x v="3"/>
    <x v="1"/>
    <n v="289"/>
    <n v="6"/>
    <n v="1734"/>
    <n v="0"/>
  </r>
  <r>
    <s v="0848"/>
    <x v="112"/>
    <n v="15"/>
    <s v="Company O"/>
    <x v="3"/>
    <s v="Sara"/>
    <x v="3"/>
    <x v="1"/>
    <n v="289"/>
    <n v="3"/>
    <n v="867"/>
    <n v="0"/>
  </r>
  <r>
    <s v="0850"/>
    <x v="112"/>
    <n v="10"/>
    <s v="Company J"/>
    <x v="1"/>
    <s v="Steve"/>
    <x v="1"/>
    <x v="1"/>
    <n v="289"/>
    <n v="0"/>
    <n v="0"/>
    <n v="0"/>
  </r>
  <r>
    <s v="0851"/>
    <x v="112"/>
    <n v="17"/>
    <s v="Company Q"/>
    <x v="6"/>
    <s v="Jeff"/>
    <x v="0"/>
    <x v="1"/>
    <n v="289"/>
    <n v="0"/>
    <n v="0"/>
    <n v="0"/>
  </r>
  <r>
    <s v="0855"/>
    <x v="112"/>
    <n v="9"/>
    <s v="Company I"/>
    <x v="7"/>
    <s v="Philip"/>
    <x v="1"/>
    <x v="1"/>
    <n v="289"/>
    <n v="7"/>
    <n v="2023"/>
    <n v="0"/>
  </r>
  <r>
    <s v="0857"/>
    <x v="347"/>
    <n v="19"/>
    <s v="Company S"/>
    <x v="6"/>
    <s v="Jeff"/>
    <x v="0"/>
    <x v="1"/>
    <n v="289"/>
    <n v="8"/>
    <n v="2312"/>
    <n v="0"/>
  </r>
  <r>
    <s v="0859"/>
    <x v="113"/>
    <n v="19"/>
    <s v="Company S"/>
    <x v="0"/>
    <s v="Jeff"/>
    <x v="0"/>
    <x v="1"/>
    <n v="289"/>
    <n v="4"/>
    <n v="1156"/>
    <n v="0"/>
  </r>
  <r>
    <s v="0864"/>
    <x v="348"/>
    <n v="3"/>
    <s v="Company C"/>
    <x v="4"/>
    <s v="Sara"/>
    <x v="2"/>
    <x v="1"/>
    <n v="289"/>
    <n v="4"/>
    <n v="1156"/>
    <n v="0"/>
  </r>
  <r>
    <s v="0874"/>
    <x v="349"/>
    <n v="3"/>
    <s v="Company C"/>
    <x v="4"/>
    <s v="Sara"/>
    <x v="2"/>
    <x v="1"/>
    <n v="289"/>
    <n v="8"/>
    <n v="2312"/>
    <n v="0"/>
  </r>
  <r>
    <s v="0876"/>
    <x v="349"/>
    <n v="7"/>
    <s v="Company G"/>
    <x v="1"/>
    <s v="Steve"/>
    <x v="1"/>
    <x v="1"/>
    <n v="289"/>
    <n v="0"/>
    <n v="0"/>
    <n v="0"/>
  </r>
  <r>
    <s v="0877"/>
    <x v="350"/>
    <n v="11"/>
    <s v="Company K"/>
    <x v="3"/>
    <s v="Sara"/>
    <x v="3"/>
    <x v="1"/>
    <n v="289"/>
    <n v="1"/>
    <n v="289"/>
    <n v="0"/>
  </r>
  <r>
    <s v="0884"/>
    <x v="351"/>
    <n v="14"/>
    <s v="Company N"/>
    <x v="5"/>
    <s v="Steve"/>
    <x v="3"/>
    <x v="1"/>
    <n v="289"/>
    <n v="9"/>
    <n v="2601"/>
    <n v="0"/>
  </r>
  <r>
    <s v="0887"/>
    <x v="352"/>
    <n v="20"/>
    <s v="Company T"/>
    <x v="0"/>
    <s v="Jeff"/>
    <x v="0"/>
    <x v="1"/>
    <n v="289"/>
    <n v="1"/>
    <n v="289"/>
    <n v="0"/>
  </r>
  <r>
    <s v="0890"/>
    <x v="353"/>
    <n v="9"/>
    <s v="Company I"/>
    <x v="1"/>
    <s v="Steve"/>
    <x v="1"/>
    <x v="1"/>
    <n v="289"/>
    <n v="9"/>
    <n v="2601"/>
    <n v="0"/>
  </r>
  <r>
    <s v="0903"/>
    <x v="354"/>
    <n v="6"/>
    <s v="Company F"/>
    <x v="7"/>
    <s v="Philip"/>
    <x v="1"/>
    <x v="1"/>
    <n v="289"/>
    <n v="3"/>
    <n v="867"/>
    <n v="0"/>
  </r>
  <r>
    <s v="0904"/>
    <x v="354"/>
    <n v="5"/>
    <s v="Company E"/>
    <x v="2"/>
    <s v="Jeff"/>
    <x v="2"/>
    <x v="1"/>
    <n v="289"/>
    <n v="1"/>
    <n v="289"/>
    <n v="0"/>
  </r>
  <r>
    <s v="0905"/>
    <x v="355"/>
    <n v="13"/>
    <s v="Company M"/>
    <x v="3"/>
    <s v="Sara"/>
    <x v="3"/>
    <x v="1"/>
    <n v="289"/>
    <n v="7"/>
    <n v="2023"/>
    <n v="0"/>
  </r>
  <r>
    <s v="0908"/>
    <x v="356"/>
    <n v="20"/>
    <s v="Company T"/>
    <x v="6"/>
    <s v="Jeff"/>
    <x v="0"/>
    <x v="1"/>
    <n v="289"/>
    <n v="3"/>
    <n v="867"/>
    <n v="0"/>
  </r>
  <r>
    <s v="0912"/>
    <x v="357"/>
    <n v="13"/>
    <s v="Company M"/>
    <x v="3"/>
    <s v="Sara"/>
    <x v="3"/>
    <x v="1"/>
    <n v="289"/>
    <n v="8"/>
    <n v="2312"/>
    <n v="0"/>
  </r>
  <r>
    <s v="0916"/>
    <x v="358"/>
    <n v="10"/>
    <s v="Company J"/>
    <x v="1"/>
    <s v="Steve"/>
    <x v="1"/>
    <x v="1"/>
    <n v="289"/>
    <n v="5"/>
    <n v="1445"/>
    <n v="0"/>
  </r>
  <r>
    <s v="0922"/>
    <x v="120"/>
    <n v="1"/>
    <s v="Company A"/>
    <x v="2"/>
    <s v="Jeff"/>
    <x v="2"/>
    <x v="1"/>
    <n v="289"/>
    <n v="7"/>
    <n v="2023"/>
    <n v="0"/>
  </r>
  <r>
    <s v="0924"/>
    <x v="120"/>
    <n v="11"/>
    <s v="Company K"/>
    <x v="3"/>
    <s v="Sara"/>
    <x v="3"/>
    <x v="1"/>
    <n v="289"/>
    <n v="9"/>
    <n v="2601"/>
    <n v="0"/>
  </r>
  <r>
    <s v="0935"/>
    <x v="359"/>
    <n v="18"/>
    <s v="Company R"/>
    <x v="6"/>
    <s v="Jeff"/>
    <x v="0"/>
    <x v="1"/>
    <n v="289"/>
    <n v="5"/>
    <n v="1445"/>
    <n v="0"/>
  </r>
  <r>
    <s v="0939"/>
    <x v="122"/>
    <n v="1"/>
    <s v="Company A"/>
    <x v="4"/>
    <s v="Sara"/>
    <x v="2"/>
    <x v="1"/>
    <n v="289"/>
    <n v="7"/>
    <n v="2023"/>
    <n v="0"/>
  </r>
  <r>
    <s v="0957"/>
    <x v="126"/>
    <n v="17"/>
    <s v="Company Q"/>
    <x v="0"/>
    <s v="Jeff"/>
    <x v="0"/>
    <x v="1"/>
    <n v="289"/>
    <n v="9"/>
    <n v="2601"/>
    <n v="0"/>
  </r>
  <r>
    <s v="0980"/>
    <x v="130"/>
    <n v="9"/>
    <s v="Company I"/>
    <x v="1"/>
    <s v="Steve"/>
    <x v="1"/>
    <x v="1"/>
    <n v="289"/>
    <n v="9"/>
    <n v="2601"/>
    <n v="0"/>
  </r>
  <r>
    <s v="0990"/>
    <x v="132"/>
    <n v="16"/>
    <s v="Company P"/>
    <x v="0"/>
    <s v="Jeff"/>
    <x v="0"/>
    <x v="1"/>
    <n v="289"/>
    <n v="4"/>
    <n v="1156"/>
    <n v="0"/>
  </r>
  <r>
    <s v="1001"/>
    <x v="360"/>
    <n v="15"/>
    <s v="Company O"/>
    <x v="3"/>
    <s v="Sara"/>
    <x v="3"/>
    <x v="1"/>
    <n v="289"/>
    <n v="7"/>
    <n v="2023"/>
    <n v="0"/>
  </r>
  <r>
    <s v="1008"/>
    <x v="134"/>
    <n v="15"/>
    <s v="Company O"/>
    <x v="3"/>
    <s v="Sara"/>
    <x v="3"/>
    <x v="1"/>
    <n v="289"/>
    <n v="1"/>
    <n v="289"/>
    <n v="0"/>
  </r>
  <r>
    <s v="1011"/>
    <x v="361"/>
    <n v="7"/>
    <s v="Company G"/>
    <x v="1"/>
    <s v="Steve"/>
    <x v="1"/>
    <x v="1"/>
    <n v="289"/>
    <n v="0"/>
    <n v="0"/>
    <n v="0"/>
  </r>
  <r>
    <s v="1012"/>
    <x v="361"/>
    <n v="3"/>
    <s v="Company C"/>
    <x v="4"/>
    <s v="Sara"/>
    <x v="2"/>
    <x v="1"/>
    <n v="289"/>
    <n v="4"/>
    <n v="1156"/>
    <n v="0"/>
  </r>
  <r>
    <s v="1016"/>
    <x v="135"/>
    <n v="6"/>
    <s v="Company F"/>
    <x v="7"/>
    <s v="Philip"/>
    <x v="1"/>
    <x v="1"/>
    <n v="289"/>
    <n v="5"/>
    <n v="1445"/>
    <n v="0"/>
  </r>
  <r>
    <s v="1037"/>
    <x v="139"/>
    <n v="12"/>
    <s v="Company L"/>
    <x v="3"/>
    <s v="Sara"/>
    <x v="3"/>
    <x v="1"/>
    <n v="289"/>
    <n v="6"/>
    <n v="1734"/>
    <n v="0"/>
  </r>
  <r>
    <s v="1039"/>
    <x v="140"/>
    <n v="13"/>
    <s v="Company M"/>
    <x v="5"/>
    <s v="Steve"/>
    <x v="3"/>
    <x v="1"/>
    <n v="289"/>
    <n v="1"/>
    <n v="289"/>
    <n v="0"/>
  </r>
  <r>
    <s v="1042"/>
    <x v="140"/>
    <n v="14"/>
    <s v="Company N"/>
    <x v="5"/>
    <s v="Steve"/>
    <x v="3"/>
    <x v="1"/>
    <n v="289"/>
    <n v="2"/>
    <n v="578"/>
    <n v="0"/>
  </r>
  <r>
    <s v="1047"/>
    <x v="362"/>
    <n v="6"/>
    <s v="Company F"/>
    <x v="1"/>
    <s v="Steve"/>
    <x v="1"/>
    <x v="1"/>
    <n v="289"/>
    <n v="1"/>
    <n v="289"/>
    <n v="0"/>
  </r>
  <r>
    <s v="1048"/>
    <x v="362"/>
    <n v="13"/>
    <s v="Company M"/>
    <x v="5"/>
    <s v="Steve"/>
    <x v="3"/>
    <x v="1"/>
    <n v="289"/>
    <n v="7"/>
    <n v="2023"/>
    <n v="0"/>
  </r>
  <r>
    <s v="1055"/>
    <x v="363"/>
    <n v="11"/>
    <s v="Company K"/>
    <x v="3"/>
    <s v="Sara"/>
    <x v="3"/>
    <x v="1"/>
    <n v="289"/>
    <n v="8"/>
    <n v="2312"/>
    <n v="0"/>
  </r>
  <r>
    <s v="1056"/>
    <x v="363"/>
    <n v="4"/>
    <s v="Company D"/>
    <x v="2"/>
    <s v="Jeff"/>
    <x v="2"/>
    <x v="1"/>
    <n v="289"/>
    <n v="7"/>
    <n v="2023"/>
    <n v="0"/>
  </r>
  <r>
    <s v="1059"/>
    <x v="143"/>
    <n v="12"/>
    <s v="Company L"/>
    <x v="5"/>
    <s v="Steve"/>
    <x v="3"/>
    <x v="1"/>
    <n v="289"/>
    <n v="9"/>
    <n v="2601"/>
    <n v="0"/>
  </r>
  <r>
    <s v="1062"/>
    <x v="144"/>
    <n v="17"/>
    <s v="Company Q"/>
    <x v="0"/>
    <s v="Jeff"/>
    <x v="0"/>
    <x v="1"/>
    <n v="289"/>
    <n v="0"/>
    <n v="0"/>
    <n v="0"/>
  </r>
  <r>
    <s v="1064"/>
    <x v="364"/>
    <n v="1"/>
    <s v="Company A"/>
    <x v="4"/>
    <s v="Sara"/>
    <x v="2"/>
    <x v="1"/>
    <n v="289"/>
    <n v="4"/>
    <n v="1156"/>
    <n v="0"/>
  </r>
  <r>
    <s v="1065"/>
    <x v="364"/>
    <n v="19"/>
    <s v="Company S"/>
    <x v="6"/>
    <s v="Jeff"/>
    <x v="0"/>
    <x v="1"/>
    <n v="289"/>
    <n v="2"/>
    <n v="578"/>
    <n v="0"/>
  </r>
  <r>
    <s v="1073"/>
    <x v="365"/>
    <n v="9"/>
    <s v="Company I"/>
    <x v="7"/>
    <s v="Philip"/>
    <x v="1"/>
    <x v="1"/>
    <n v="289"/>
    <n v="7"/>
    <n v="2023"/>
    <n v="0"/>
  </r>
  <r>
    <s v="1076"/>
    <x v="366"/>
    <n v="20"/>
    <s v="Company T"/>
    <x v="6"/>
    <s v="Jeff"/>
    <x v="0"/>
    <x v="1"/>
    <n v="289"/>
    <n v="8"/>
    <n v="2312"/>
    <n v="0"/>
  </r>
  <r>
    <s v="1077"/>
    <x v="367"/>
    <n v="11"/>
    <s v="Company K"/>
    <x v="3"/>
    <s v="Sara"/>
    <x v="3"/>
    <x v="1"/>
    <n v="289"/>
    <n v="9"/>
    <n v="2601"/>
    <n v="0"/>
  </r>
  <r>
    <s v="1078"/>
    <x v="368"/>
    <n v="13"/>
    <s v="Company M"/>
    <x v="3"/>
    <s v="Sara"/>
    <x v="3"/>
    <x v="1"/>
    <n v="289"/>
    <n v="8"/>
    <n v="2312"/>
    <n v="0"/>
  </r>
  <r>
    <s v="1080"/>
    <x v="368"/>
    <n v="19"/>
    <s v="Company S"/>
    <x v="6"/>
    <s v="Jeff"/>
    <x v="0"/>
    <x v="1"/>
    <n v="289"/>
    <n v="9"/>
    <n v="2601"/>
    <n v="0"/>
  </r>
  <r>
    <s v="1081"/>
    <x v="369"/>
    <n v="14"/>
    <s v="Company N"/>
    <x v="3"/>
    <s v="Sara"/>
    <x v="3"/>
    <x v="1"/>
    <n v="289"/>
    <n v="5"/>
    <n v="1445"/>
    <n v="0"/>
  </r>
  <r>
    <s v="1083"/>
    <x v="148"/>
    <n v="13"/>
    <s v="Company M"/>
    <x v="3"/>
    <s v="Sara"/>
    <x v="3"/>
    <x v="1"/>
    <n v="289"/>
    <n v="5"/>
    <n v="1445"/>
    <n v="0"/>
  </r>
  <r>
    <s v="1090"/>
    <x v="370"/>
    <n v="18"/>
    <s v="Company R"/>
    <x v="6"/>
    <s v="Jeff"/>
    <x v="0"/>
    <x v="1"/>
    <n v="289"/>
    <n v="9"/>
    <n v="2601"/>
    <n v="0"/>
  </r>
  <r>
    <s v="1091"/>
    <x v="371"/>
    <n v="15"/>
    <s v="Company O"/>
    <x v="5"/>
    <s v="Steve"/>
    <x v="3"/>
    <x v="1"/>
    <n v="289"/>
    <n v="9"/>
    <n v="2601"/>
    <n v="0"/>
  </r>
  <r>
    <s v="1092"/>
    <x v="371"/>
    <n v="8"/>
    <s v="Company H"/>
    <x v="7"/>
    <s v="Philip"/>
    <x v="1"/>
    <x v="1"/>
    <n v="289"/>
    <n v="2"/>
    <n v="578"/>
    <n v="0"/>
  </r>
  <r>
    <s v="1095"/>
    <x v="372"/>
    <n v="20"/>
    <s v="Company T"/>
    <x v="0"/>
    <s v="Jeff"/>
    <x v="0"/>
    <x v="1"/>
    <n v="289"/>
    <n v="3"/>
    <n v="867"/>
    <n v="0"/>
  </r>
  <r>
    <s v="1106"/>
    <x v="150"/>
    <n v="20"/>
    <s v="Company T"/>
    <x v="6"/>
    <s v="Jeff"/>
    <x v="0"/>
    <x v="1"/>
    <n v="289"/>
    <n v="4"/>
    <n v="1156"/>
    <n v="0"/>
  </r>
  <r>
    <s v="1117"/>
    <x v="151"/>
    <n v="9"/>
    <s v="Company I"/>
    <x v="7"/>
    <s v="Philip"/>
    <x v="1"/>
    <x v="1"/>
    <n v="289"/>
    <n v="5"/>
    <n v="1445"/>
    <n v="0"/>
  </r>
  <r>
    <s v="1126"/>
    <x v="373"/>
    <n v="11"/>
    <s v="Company K"/>
    <x v="3"/>
    <s v="Sara"/>
    <x v="3"/>
    <x v="1"/>
    <n v="289"/>
    <n v="9"/>
    <n v="2601"/>
    <n v="0"/>
  </r>
  <r>
    <s v="1135"/>
    <x v="374"/>
    <n v="5"/>
    <s v="Company E"/>
    <x v="2"/>
    <s v="Jeff"/>
    <x v="2"/>
    <x v="1"/>
    <n v="289"/>
    <n v="4"/>
    <n v="1156"/>
    <n v="0"/>
  </r>
  <r>
    <s v="1137"/>
    <x v="374"/>
    <n v="3"/>
    <s v="Company C"/>
    <x v="4"/>
    <s v="Sara"/>
    <x v="2"/>
    <x v="1"/>
    <n v="289"/>
    <n v="6"/>
    <n v="1734"/>
    <n v="0"/>
  </r>
  <r>
    <s v="1139"/>
    <x v="375"/>
    <n v="11"/>
    <s v="Company K"/>
    <x v="3"/>
    <s v="Sara"/>
    <x v="3"/>
    <x v="1"/>
    <n v="289"/>
    <n v="2"/>
    <n v="578"/>
    <n v="0"/>
  </r>
  <r>
    <s v="1151"/>
    <x v="376"/>
    <n v="1"/>
    <s v="Company A"/>
    <x v="4"/>
    <s v="Sara"/>
    <x v="2"/>
    <x v="1"/>
    <n v="289"/>
    <n v="4"/>
    <n v="1156"/>
    <n v="0"/>
  </r>
  <r>
    <s v="1156"/>
    <x v="377"/>
    <n v="15"/>
    <s v="Company O"/>
    <x v="5"/>
    <s v="Steve"/>
    <x v="3"/>
    <x v="1"/>
    <n v="289"/>
    <n v="0"/>
    <n v="0"/>
    <n v="0"/>
  </r>
  <r>
    <s v="1161"/>
    <x v="378"/>
    <n v="10"/>
    <s v="Company J"/>
    <x v="1"/>
    <s v="Steve"/>
    <x v="1"/>
    <x v="1"/>
    <n v="289"/>
    <n v="3"/>
    <n v="867"/>
    <n v="0"/>
  </r>
  <r>
    <s v="1166"/>
    <x v="379"/>
    <n v="13"/>
    <s v="Company M"/>
    <x v="5"/>
    <s v="Steve"/>
    <x v="3"/>
    <x v="1"/>
    <n v="289"/>
    <n v="9"/>
    <n v="2601"/>
    <n v="0"/>
  </r>
  <r>
    <s v="1182"/>
    <x v="159"/>
    <n v="15"/>
    <s v="Company O"/>
    <x v="5"/>
    <s v="Steve"/>
    <x v="3"/>
    <x v="1"/>
    <n v="289"/>
    <n v="2"/>
    <n v="578"/>
    <n v="0"/>
  </r>
  <r>
    <s v="1194"/>
    <x v="160"/>
    <n v="12"/>
    <s v="Company L"/>
    <x v="5"/>
    <s v="Steve"/>
    <x v="3"/>
    <x v="1"/>
    <n v="289"/>
    <n v="7"/>
    <n v="2023"/>
    <n v="0"/>
  </r>
  <r>
    <s v="1196"/>
    <x v="380"/>
    <n v="16"/>
    <s v="Company P"/>
    <x v="0"/>
    <s v="Jeff"/>
    <x v="0"/>
    <x v="1"/>
    <n v="289"/>
    <n v="9"/>
    <n v="2601"/>
    <n v="0"/>
  </r>
  <r>
    <s v="1202"/>
    <x v="161"/>
    <n v="18"/>
    <s v="Company R"/>
    <x v="0"/>
    <s v="Jeff"/>
    <x v="0"/>
    <x v="1"/>
    <n v="289"/>
    <n v="2"/>
    <n v="578"/>
    <n v="0"/>
  </r>
  <r>
    <s v="1205"/>
    <x v="161"/>
    <n v="7"/>
    <s v="Company G"/>
    <x v="7"/>
    <s v="Philip"/>
    <x v="1"/>
    <x v="1"/>
    <n v="289"/>
    <n v="5"/>
    <n v="1445"/>
    <n v="0"/>
  </r>
  <r>
    <s v="1214"/>
    <x v="381"/>
    <n v="8"/>
    <s v="Company H"/>
    <x v="1"/>
    <s v="Steve"/>
    <x v="1"/>
    <x v="1"/>
    <n v="289"/>
    <n v="4"/>
    <n v="1156"/>
    <n v="0"/>
  </r>
  <r>
    <s v="1219"/>
    <x v="382"/>
    <n v="2"/>
    <s v="Company B"/>
    <x v="4"/>
    <s v="Sara"/>
    <x v="2"/>
    <x v="1"/>
    <n v="289"/>
    <n v="5"/>
    <n v="1445"/>
    <n v="0"/>
  </r>
  <r>
    <s v="1220"/>
    <x v="382"/>
    <n v="7"/>
    <s v="Company G"/>
    <x v="7"/>
    <s v="Philip"/>
    <x v="1"/>
    <x v="1"/>
    <n v="289"/>
    <n v="7"/>
    <n v="2023"/>
    <n v="0"/>
  </r>
  <r>
    <s v="1228"/>
    <x v="383"/>
    <n v="17"/>
    <s v="Company Q"/>
    <x v="6"/>
    <s v="Jeff"/>
    <x v="0"/>
    <x v="1"/>
    <n v="289"/>
    <n v="2"/>
    <n v="578"/>
    <n v="0"/>
  </r>
  <r>
    <s v="1235"/>
    <x v="384"/>
    <n v="9"/>
    <s v="Company I"/>
    <x v="1"/>
    <s v="Steve"/>
    <x v="1"/>
    <x v="1"/>
    <n v="289"/>
    <n v="1"/>
    <n v="289"/>
    <n v="0"/>
  </r>
  <r>
    <s v="1238"/>
    <x v="385"/>
    <n v="13"/>
    <s v="Company M"/>
    <x v="5"/>
    <s v="Steve"/>
    <x v="3"/>
    <x v="1"/>
    <n v="289"/>
    <n v="9"/>
    <n v="2601"/>
    <n v="0"/>
  </r>
  <r>
    <s v="1239"/>
    <x v="386"/>
    <n v="8"/>
    <s v="Company H"/>
    <x v="7"/>
    <s v="Philip"/>
    <x v="1"/>
    <x v="1"/>
    <n v="289"/>
    <n v="3"/>
    <n v="867"/>
    <n v="0"/>
  </r>
  <r>
    <s v="1242"/>
    <x v="387"/>
    <n v="9"/>
    <s v="Company I"/>
    <x v="1"/>
    <s v="Steve"/>
    <x v="1"/>
    <x v="1"/>
    <n v="289"/>
    <n v="0"/>
    <n v="0"/>
    <n v="0"/>
  </r>
  <r>
    <s v="1243"/>
    <x v="167"/>
    <n v="16"/>
    <s v="Company P"/>
    <x v="0"/>
    <s v="Jeff"/>
    <x v="0"/>
    <x v="1"/>
    <n v="289"/>
    <n v="9"/>
    <n v="2601"/>
    <n v="0"/>
  </r>
  <r>
    <s v="1244"/>
    <x v="167"/>
    <n v="16"/>
    <s v="Company P"/>
    <x v="6"/>
    <s v="Jeff"/>
    <x v="0"/>
    <x v="1"/>
    <n v="289"/>
    <n v="9"/>
    <n v="2601"/>
    <n v="0"/>
  </r>
  <r>
    <s v="1246"/>
    <x v="167"/>
    <n v="3"/>
    <s v="Company C"/>
    <x v="4"/>
    <s v="Sara"/>
    <x v="2"/>
    <x v="1"/>
    <n v="289"/>
    <n v="9"/>
    <n v="2601"/>
    <n v="0"/>
  </r>
  <r>
    <s v="1252"/>
    <x v="388"/>
    <n v="9"/>
    <s v="Company I"/>
    <x v="7"/>
    <s v="Philip"/>
    <x v="1"/>
    <x v="1"/>
    <n v="289"/>
    <n v="4"/>
    <n v="1156"/>
    <n v="0"/>
  </r>
  <r>
    <s v="1270"/>
    <x v="389"/>
    <n v="1"/>
    <s v="Company A"/>
    <x v="4"/>
    <s v="Sara"/>
    <x v="2"/>
    <x v="1"/>
    <n v="289"/>
    <n v="7"/>
    <n v="2023"/>
    <n v="0"/>
  </r>
  <r>
    <s v="1272"/>
    <x v="390"/>
    <n v="11"/>
    <s v="Company K"/>
    <x v="5"/>
    <s v="Steve"/>
    <x v="3"/>
    <x v="1"/>
    <n v="289"/>
    <n v="4"/>
    <n v="1156"/>
    <n v="0"/>
  </r>
  <r>
    <s v="1274"/>
    <x v="173"/>
    <n v="5"/>
    <s v="Company E"/>
    <x v="4"/>
    <s v="Sara"/>
    <x v="2"/>
    <x v="1"/>
    <n v="289"/>
    <n v="0"/>
    <n v="0"/>
    <n v="0"/>
  </r>
  <r>
    <s v="1280"/>
    <x v="174"/>
    <n v="3"/>
    <s v="Company C"/>
    <x v="2"/>
    <s v="Jeff"/>
    <x v="2"/>
    <x v="1"/>
    <n v="289"/>
    <n v="7"/>
    <n v="2023"/>
    <n v="0"/>
  </r>
  <r>
    <s v="1286"/>
    <x v="174"/>
    <n v="3"/>
    <s v="Company C"/>
    <x v="2"/>
    <s v="Jeff"/>
    <x v="2"/>
    <x v="1"/>
    <n v="289"/>
    <n v="7"/>
    <n v="2023"/>
    <n v="0"/>
  </r>
  <r>
    <s v="1290"/>
    <x v="174"/>
    <n v="14"/>
    <s v="Company N"/>
    <x v="5"/>
    <s v="Steve"/>
    <x v="3"/>
    <x v="1"/>
    <n v="289"/>
    <n v="9"/>
    <n v="2601"/>
    <n v="0"/>
  </r>
  <r>
    <s v="1291"/>
    <x v="391"/>
    <n v="8"/>
    <s v="Company H"/>
    <x v="1"/>
    <s v="Steve"/>
    <x v="1"/>
    <x v="1"/>
    <n v="289"/>
    <n v="5"/>
    <n v="1445"/>
    <n v="0"/>
  </r>
  <r>
    <s v="1294"/>
    <x v="175"/>
    <n v="8"/>
    <s v="Company H"/>
    <x v="1"/>
    <s v="Steve"/>
    <x v="1"/>
    <x v="1"/>
    <n v="289"/>
    <n v="1"/>
    <n v="289"/>
    <n v="0"/>
  </r>
  <r>
    <s v="1296"/>
    <x v="176"/>
    <n v="20"/>
    <s v="Company T"/>
    <x v="6"/>
    <s v="Jeff"/>
    <x v="0"/>
    <x v="1"/>
    <n v="289"/>
    <n v="0"/>
    <n v="0"/>
    <n v="0"/>
  </r>
  <r>
    <s v="1297"/>
    <x v="176"/>
    <n v="13"/>
    <s v="Company M"/>
    <x v="3"/>
    <s v="Sara"/>
    <x v="3"/>
    <x v="1"/>
    <n v="289"/>
    <n v="7"/>
    <n v="2023"/>
    <n v="0"/>
  </r>
  <r>
    <s v="1300"/>
    <x v="176"/>
    <n v="16"/>
    <s v="Company P"/>
    <x v="6"/>
    <s v="Jeff"/>
    <x v="0"/>
    <x v="1"/>
    <n v="289"/>
    <n v="3"/>
    <n v="867"/>
    <n v="0"/>
  </r>
  <r>
    <s v="1302"/>
    <x v="176"/>
    <n v="20"/>
    <s v="Company T"/>
    <x v="0"/>
    <s v="Jeff"/>
    <x v="0"/>
    <x v="1"/>
    <n v="289"/>
    <n v="0"/>
    <n v="0"/>
    <n v="0"/>
  </r>
  <r>
    <s v="1303"/>
    <x v="176"/>
    <n v="3"/>
    <s v="Company C"/>
    <x v="2"/>
    <s v="Jeff"/>
    <x v="2"/>
    <x v="1"/>
    <n v="289"/>
    <n v="7"/>
    <n v="2023"/>
    <n v="0"/>
  </r>
  <r>
    <s v="1310"/>
    <x v="178"/>
    <n v="8"/>
    <s v="Company H"/>
    <x v="1"/>
    <s v="Steve"/>
    <x v="1"/>
    <x v="1"/>
    <n v="289"/>
    <n v="0"/>
    <n v="0"/>
    <n v="0"/>
  </r>
  <r>
    <s v="1317"/>
    <x v="179"/>
    <n v="3"/>
    <s v="Company C"/>
    <x v="2"/>
    <s v="Jeff"/>
    <x v="2"/>
    <x v="1"/>
    <n v="289"/>
    <n v="3"/>
    <n v="867"/>
    <n v="0"/>
  </r>
  <r>
    <s v="1323"/>
    <x v="180"/>
    <n v="12"/>
    <s v="Company L"/>
    <x v="3"/>
    <s v="Sara"/>
    <x v="3"/>
    <x v="1"/>
    <n v="289"/>
    <n v="1"/>
    <n v="289"/>
    <n v="0"/>
  </r>
  <r>
    <s v="1329"/>
    <x v="182"/>
    <n v="19"/>
    <s v="Company S"/>
    <x v="0"/>
    <s v="Jeff"/>
    <x v="0"/>
    <x v="1"/>
    <n v="289"/>
    <n v="7"/>
    <n v="2023"/>
    <n v="0"/>
  </r>
  <r>
    <s v="1331"/>
    <x v="392"/>
    <n v="5"/>
    <s v="Company E"/>
    <x v="4"/>
    <s v="Sara"/>
    <x v="2"/>
    <x v="1"/>
    <n v="289"/>
    <n v="5"/>
    <n v="1445"/>
    <n v="0"/>
  </r>
  <r>
    <s v="1332"/>
    <x v="393"/>
    <n v="2"/>
    <s v="Company B"/>
    <x v="2"/>
    <s v="Jeff"/>
    <x v="2"/>
    <x v="1"/>
    <n v="289"/>
    <n v="0"/>
    <n v="0"/>
    <n v="0"/>
  </r>
  <r>
    <s v="1351"/>
    <x v="185"/>
    <n v="8"/>
    <s v="Company H"/>
    <x v="1"/>
    <s v="Steve"/>
    <x v="1"/>
    <x v="1"/>
    <n v="289"/>
    <n v="9"/>
    <n v="2601"/>
    <n v="0"/>
  </r>
  <r>
    <s v="1355"/>
    <x v="186"/>
    <n v="16"/>
    <s v="Company P"/>
    <x v="6"/>
    <s v="Jeff"/>
    <x v="0"/>
    <x v="1"/>
    <n v="289"/>
    <n v="6"/>
    <n v="1734"/>
    <n v="0"/>
  </r>
  <r>
    <s v="1357"/>
    <x v="186"/>
    <n v="4"/>
    <s v="Company D"/>
    <x v="2"/>
    <s v="Jeff"/>
    <x v="2"/>
    <x v="1"/>
    <n v="289"/>
    <n v="6"/>
    <n v="1734"/>
    <n v="0"/>
  </r>
  <r>
    <s v="1359"/>
    <x v="186"/>
    <n v="4"/>
    <s v="Company D"/>
    <x v="2"/>
    <s v="Jeff"/>
    <x v="2"/>
    <x v="1"/>
    <n v="289"/>
    <n v="2"/>
    <n v="578"/>
    <n v="0"/>
  </r>
  <r>
    <s v="1361"/>
    <x v="186"/>
    <n v="3"/>
    <s v="Company C"/>
    <x v="2"/>
    <s v="Jeff"/>
    <x v="2"/>
    <x v="1"/>
    <n v="289"/>
    <n v="5"/>
    <n v="1445"/>
    <n v="0"/>
  </r>
  <r>
    <s v="1379"/>
    <x v="189"/>
    <n v="14"/>
    <s v="Company N"/>
    <x v="3"/>
    <s v="Sara"/>
    <x v="3"/>
    <x v="1"/>
    <n v="289"/>
    <n v="6"/>
    <n v="1734"/>
    <n v="0"/>
  </r>
  <r>
    <s v="1394"/>
    <x v="394"/>
    <n v="1"/>
    <s v="Company A"/>
    <x v="4"/>
    <s v="Sara"/>
    <x v="2"/>
    <x v="1"/>
    <n v="289"/>
    <n v="3"/>
    <n v="867"/>
    <n v="0"/>
  </r>
  <r>
    <s v="1398"/>
    <x v="192"/>
    <n v="17"/>
    <s v="Company Q"/>
    <x v="6"/>
    <s v="Jeff"/>
    <x v="0"/>
    <x v="1"/>
    <n v="289"/>
    <n v="2"/>
    <n v="578"/>
    <n v="0"/>
  </r>
  <r>
    <s v="1401"/>
    <x v="192"/>
    <n v="15"/>
    <s v="Company O"/>
    <x v="5"/>
    <s v="Steve"/>
    <x v="3"/>
    <x v="1"/>
    <n v="289"/>
    <n v="6"/>
    <n v="1734"/>
    <n v="0"/>
  </r>
  <r>
    <s v="1404"/>
    <x v="192"/>
    <n v="5"/>
    <s v="Company E"/>
    <x v="2"/>
    <s v="Jeff"/>
    <x v="2"/>
    <x v="1"/>
    <n v="289"/>
    <n v="6"/>
    <n v="1734"/>
    <n v="0"/>
  </r>
  <r>
    <s v="1410"/>
    <x v="194"/>
    <n v="12"/>
    <s v="Company L"/>
    <x v="5"/>
    <s v="Steve"/>
    <x v="3"/>
    <x v="1"/>
    <n v="289"/>
    <n v="6"/>
    <n v="1734"/>
    <n v="0"/>
  </r>
  <r>
    <s v="1412"/>
    <x v="395"/>
    <n v="19"/>
    <s v="Company S"/>
    <x v="0"/>
    <s v="Jeff"/>
    <x v="0"/>
    <x v="1"/>
    <n v="289"/>
    <n v="3"/>
    <n v="867"/>
    <n v="0"/>
  </r>
  <r>
    <s v="1414"/>
    <x v="195"/>
    <n v="6"/>
    <s v="Company F"/>
    <x v="1"/>
    <s v="Steve"/>
    <x v="1"/>
    <x v="1"/>
    <n v="289"/>
    <n v="7"/>
    <n v="2023"/>
    <n v="0"/>
  </r>
  <r>
    <s v="1416"/>
    <x v="195"/>
    <n v="13"/>
    <s v="Company M"/>
    <x v="5"/>
    <s v="Steve"/>
    <x v="3"/>
    <x v="1"/>
    <n v="289"/>
    <n v="9"/>
    <n v="2601"/>
    <n v="0"/>
  </r>
  <r>
    <s v="1418"/>
    <x v="396"/>
    <n v="1"/>
    <s v="Company A"/>
    <x v="4"/>
    <s v="Sara"/>
    <x v="2"/>
    <x v="1"/>
    <n v="289"/>
    <n v="9"/>
    <n v="2601"/>
    <n v="0"/>
  </r>
  <r>
    <s v="1424"/>
    <x v="197"/>
    <n v="19"/>
    <s v="Company S"/>
    <x v="0"/>
    <s v="Jeff"/>
    <x v="0"/>
    <x v="1"/>
    <n v="289"/>
    <n v="8"/>
    <n v="2312"/>
    <n v="0"/>
  </r>
  <r>
    <s v="1435"/>
    <x v="397"/>
    <n v="19"/>
    <s v="Company S"/>
    <x v="6"/>
    <s v="Jeff"/>
    <x v="0"/>
    <x v="1"/>
    <n v="289"/>
    <n v="2"/>
    <n v="578"/>
    <n v="0"/>
  </r>
  <r>
    <s v="1443"/>
    <x v="398"/>
    <n v="15"/>
    <s v="Company O"/>
    <x v="5"/>
    <s v="Steve"/>
    <x v="3"/>
    <x v="1"/>
    <n v="289"/>
    <n v="8"/>
    <n v="2312"/>
    <n v="0"/>
  </r>
  <r>
    <s v="1444"/>
    <x v="399"/>
    <n v="3"/>
    <s v="Company C"/>
    <x v="2"/>
    <s v="Jeff"/>
    <x v="2"/>
    <x v="1"/>
    <n v="289"/>
    <n v="2"/>
    <n v="578"/>
    <n v="0"/>
  </r>
  <r>
    <s v="1454"/>
    <x v="201"/>
    <n v="7"/>
    <s v="Company G"/>
    <x v="1"/>
    <s v="Steve"/>
    <x v="1"/>
    <x v="1"/>
    <n v="289"/>
    <n v="3"/>
    <n v="867"/>
    <n v="0"/>
  </r>
  <r>
    <s v="1462"/>
    <x v="400"/>
    <n v="19"/>
    <s v="Company S"/>
    <x v="0"/>
    <s v="Jeff"/>
    <x v="0"/>
    <x v="1"/>
    <n v="289"/>
    <n v="3"/>
    <n v="867"/>
    <n v="0"/>
  </r>
  <r>
    <s v="1464"/>
    <x v="400"/>
    <n v="5"/>
    <s v="Company E"/>
    <x v="4"/>
    <s v="Sara"/>
    <x v="2"/>
    <x v="1"/>
    <n v="289"/>
    <n v="5"/>
    <n v="1445"/>
    <n v="0"/>
  </r>
  <r>
    <s v="1473"/>
    <x v="205"/>
    <n v="12"/>
    <s v="Company L"/>
    <x v="3"/>
    <s v="Sara"/>
    <x v="3"/>
    <x v="1"/>
    <n v="289"/>
    <n v="5"/>
    <n v="1445"/>
    <n v="0"/>
  </r>
  <r>
    <s v="1485"/>
    <x v="401"/>
    <n v="6"/>
    <s v="Company F"/>
    <x v="1"/>
    <s v="Steve"/>
    <x v="1"/>
    <x v="1"/>
    <n v="289"/>
    <n v="5"/>
    <n v="1445"/>
    <n v="0"/>
  </r>
  <r>
    <s v="1494"/>
    <x v="402"/>
    <n v="3"/>
    <s v="Company C"/>
    <x v="4"/>
    <s v="Sara"/>
    <x v="2"/>
    <x v="1"/>
    <n v="289"/>
    <n v="6"/>
    <n v="1734"/>
    <n v="0"/>
  </r>
  <r>
    <s v="1498"/>
    <x v="403"/>
    <n v="1"/>
    <s v="Company A"/>
    <x v="4"/>
    <s v="Sara"/>
    <x v="2"/>
    <x v="1"/>
    <n v="289"/>
    <n v="4"/>
    <n v="1156"/>
    <n v="0"/>
  </r>
  <r>
    <s v="1500"/>
    <x v="404"/>
    <n v="18"/>
    <s v="Company R"/>
    <x v="0"/>
    <s v="Jeff"/>
    <x v="0"/>
    <x v="1"/>
    <n v="289"/>
    <n v="8"/>
    <n v="2312"/>
    <n v="0"/>
  </r>
  <r>
    <s v="1503"/>
    <x v="210"/>
    <n v="6"/>
    <s v="Company F"/>
    <x v="1"/>
    <s v="Steve"/>
    <x v="1"/>
    <x v="1"/>
    <n v="289"/>
    <n v="7"/>
    <n v="2023"/>
    <n v="0"/>
  </r>
  <r>
    <s v="1505"/>
    <x v="210"/>
    <n v="9"/>
    <s v="Company I"/>
    <x v="7"/>
    <s v="Philip"/>
    <x v="1"/>
    <x v="1"/>
    <n v="289"/>
    <n v="6"/>
    <n v="1734"/>
    <n v="0"/>
  </r>
  <r>
    <s v="1507"/>
    <x v="405"/>
    <n v="1"/>
    <s v="Company A"/>
    <x v="4"/>
    <s v="Sara"/>
    <x v="2"/>
    <x v="1"/>
    <n v="289"/>
    <n v="6"/>
    <n v="1734"/>
    <n v="0"/>
  </r>
  <r>
    <s v="1509"/>
    <x v="406"/>
    <n v="17"/>
    <s v="Company Q"/>
    <x v="6"/>
    <s v="Jeff"/>
    <x v="0"/>
    <x v="1"/>
    <n v="289"/>
    <n v="7"/>
    <n v="2023"/>
    <n v="0"/>
  </r>
  <r>
    <s v="1512"/>
    <x v="211"/>
    <n v="12"/>
    <s v="Company L"/>
    <x v="5"/>
    <s v="Steve"/>
    <x v="3"/>
    <x v="1"/>
    <n v="289"/>
    <n v="1"/>
    <n v="289"/>
    <n v="0"/>
  </r>
  <r>
    <s v="1526"/>
    <x v="213"/>
    <n v="4"/>
    <s v="Company D"/>
    <x v="4"/>
    <s v="Sara"/>
    <x v="2"/>
    <x v="1"/>
    <n v="289"/>
    <n v="5"/>
    <n v="1445"/>
    <n v="0"/>
  </r>
  <r>
    <s v="1532"/>
    <x v="407"/>
    <n v="11"/>
    <s v="Company K"/>
    <x v="5"/>
    <s v="Steve"/>
    <x v="3"/>
    <x v="1"/>
    <n v="289"/>
    <n v="1"/>
    <n v="289"/>
    <n v="0"/>
  </r>
  <r>
    <s v="1541"/>
    <x v="408"/>
    <n v="3"/>
    <s v="Company C"/>
    <x v="2"/>
    <s v="Jeff"/>
    <x v="2"/>
    <x v="1"/>
    <n v="289"/>
    <n v="9"/>
    <n v="2601"/>
    <n v="0"/>
  </r>
  <r>
    <s v="1549"/>
    <x v="409"/>
    <n v="3"/>
    <s v="Company C"/>
    <x v="2"/>
    <s v="Jeff"/>
    <x v="2"/>
    <x v="1"/>
    <n v="289"/>
    <n v="4"/>
    <n v="1156"/>
    <n v="0"/>
  </r>
  <r>
    <s v="1552"/>
    <x v="217"/>
    <n v="1"/>
    <s v="Company A"/>
    <x v="2"/>
    <s v="Jeff"/>
    <x v="2"/>
    <x v="1"/>
    <n v="289"/>
    <n v="9"/>
    <n v="2601"/>
    <n v="0"/>
  </r>
  <r>
    <s v="1553"/>
    <x v="217"/>
    <n v="10"/>
    <s v="Company J"/>
    <x v="1"/>
    <s v="Steve"/>
    <x v="1"/>
    <x v="1"/>
    <n v="289"/>
    <n v="2"/>
    <n v="578"/>
    <n v="0"/>
  </r>
  <r>
    <s v="1555"/>
    <x v="217"/>
    <n v="14"/>
    <s v="Company N"/>
    <x v="3"/>
    <s v="Sara"/>
    <x v="3"/>
    <x v="1"/>
    <n v="289"/>
    <n v="6"/>
    <n v="1734"/>
    <n v="0"/>
  </r>
  <r>
    <s v="1561"/>
    <x v="219"/>
    <n v="1"/>
    <s v="Company A"/>
    <x v="2"/>
    <s v="Jeff"/>
    <x v="2"/>
    <x v="1"/>
    <n v="289"/>
    <n v="1"/>
    <n v="289"/>
    <n v="0"/>
  </r>
  <r>
    <s v="1565"/>
    <x v="220"/>
    <n v="7"/>
    <s v="Company G"/>
    <x v="7"/>
    <s v="Philip"/>
    <x v="1"/>
    <x v="1"/>
    <n v="289"/>
    <n v="8"/>
    <n v="2312"/>
    <n v="0"/>
  </r>
  <r>
    <s v="1566"/>
    <x v="410"/>
    <n v="5"/>
    <s v="Company E"/>
    <x v="2"/>
    <s v="Jeff"/>
    <x v="2"/>
    <x v="1"/>
    <n v="289"/>
    <n v="2"/>
    <n v="578"/>
    <n v="0"/>
  </r>
  <r>
    <s v="1568"/>
    <x v="411"/>
    <n v="10"/>
    <s v="Company J"/>
    <x v="7"/>
    <s v="Philip"/>
    <x v="1"/>
    <x v="1"/>
    <n v="289"/>
    <n v="7"/>
    <n v="2023"/>
    <n v="0"/>
  </r>
  <r>
    <s v="1574"/>
    <x v="222"/>
    <n v="17"/>
    <s v="Company Q"/>
    <x v="6"/>
    <s v="Jeff"/>
    <x v="0"/>
    <x v="1"/>
    <n v="289"/>
    <n v="3"/>
    <n v="867"/>
    <n v="0"/>
  </r>
  <r>
    <s v="1582"/>
    <x v="222"/>
    <n v="16"/>
    <s v="Company P"/>
    <x v="6"/>
    <s v="Jeff"/>
    <x v="0"/>
    <x v="1"/>
    <n v="289"/>
    <n v="1"/>
    <n v="289"/>
    <n v="0"/>
  </r>
  <r>
    <s v="1583"/>
    <x v="222"/>
    <n v="1"/>
    <s v="Company A"/>
    <x v="4"/>
    <s v="Sara"/>
    <x v="2"/>
    <x v="1"/>
    <n v="289"/>
    <n v="9"/>
    <n v="2601"/>
    <n v="0"/>
  </r>
  <r>
    <s v="1586"/>
    <x v="412"/>
    <n v="4"/>
    <s v="Company D"/>
    <x v="2"/>
    <s v="Jeff"/>
    <x v="2"/>
    <x v="1"/>
    <n v="289"/>
    <n v="2"/>
    <n v="578"/>
    <n v="0"/>
  </r>
  <r>
    <s v="1593"/>
    <x v="412"/>
    <n v="16"/>
    <s v="Company P"/>
    <x v="0"/>
    <s v="Jeff"/>
    <x v="0"/>
    <x v="1"/>
    <n v="289"/>
    <n v="9"/>
    <n v="2601"/>
    <n v="0"/>
  </r>
  <r>
    <s v="1607"/>
    <x v="413"/>
    <n v="5"/>
    <s v="Company E"/>
    <x v="2"/>
    <s v="Jeff"/>
    <x v="2"/>
    <x v="1"/>
    <n v="289"/>
    <n v="3"/>
    <n v="867"/>
    <n v="0"/>
  </r>
  <r>
    <s v="1613"/>
    <x v="414"/>
    <n v="17"/>
    <s v="Company Q"/>
    <x v="0"/>
    <s v="Jeff"/>
    <x v="0"/>
    <x v="1"/>
    <n v="289"/>
    <n v="0"/>
    <n v="0"/>
    <n v="0"/>
  </r>
  <r>
    <s v="1614"/>
    <x v="415"/>
    <n v="8"/>
    <s v="Company H"/>
    <x v="1"/>
    <s v="Steve"/>
    <x v="1"/>
    <x v="1"/>
    <n v="289"/>
    <n v="4"/>
    <n v="1156"/>
    <n v="0"/>
  </r>
  <r>
    <s v="1622"/>
    <x v="225"/>
    <n v="11"/>
    <s v="Company K"/>
    <x v="3"/>
    <s v="Sara"/>
    <x v="3"/>
    <x v="1"/>
    <n v="289"/>
    <n v="2"/>
    <n v="578"/>
    <n v="0"/>
  </r>
  <r>
    <s v="1624"/>
    <x v="226"/>
    <n v="6"/>
    <s v="Company F"/>
    <x v="1"/>
    <s v="Steve"/>
    <x v="1"/>
    <x v="1"/>
    <n v="289"/>
    <n v="1"/>
    <n v="289"/>
    <n v="0"/>
  </r>
  <r>
    <s v="1635"/>
    <x v="226"/>
    <n v="3"/>
    <s v="Company C"/>
    <x v="2"/>
    <s v="Jeff"/>
    <x v="2"/>
    <x v="1"/>
    <n v="289"/>
    <n v="9"/>
    <n v="2601"/>
    <n v="0"/>
  </r>
  <r>
    <s v="1656"/>
    <x v="232"/>
    <n v="16"/>
    <s v="Company P"/>
    <x v="0"/>
    <s v="Jeff"/>
    <x v="0"/>
    <x v="1"/>
    <n v="289"/>
    <n v="9"/>
    <n v="2601"/>
    <n v="0"/>
  </r>
  <r>
    <s v="1660"/>
    <x v="233"/>
    <n v="13"/>
    <s v="Company M"/>
    <x v="3"/>
    <s v="Sara"/>
    <x v="3"/>
    <x v="1"/>
    <n v="289"/>
    <n v="4"/>
    <n v="1156"/>
    <n v="0"/>
  </r>
  <r>
    <s v="1663"/>
    <x v="233"/>
    <n v="2"/>
    <s v="Company B"/>
    <x v="2"/>
    <s v="Jeff"/>
    <x v="2"/>
    <x v="1"/>
    <n v="289"/>
    <n v="5"/>
    <n v="1445"/>
    <n v="0"/>
  </r>
  <r>
    <s v="1670"/>
    <x v="416"/>
    <n v="1"/>
    <s v="Company A"/>
    <x v="2"/>
    <s v="Jeff"/>
    <x v="2"/>
    <x v="1"/>
    <n v="289"/>
    <n v="5"/>
    <n v="1445"/>
    <n v="0"/>
  </r>
  <r>
    <s v="1671"/>
    <x v="416"/>
    <n v="17"/>
    <s v="Company Q"/>
    <x v="0"/>
    <s v="Jeff"/>
    <x v="0"/>
    <x v="1"/>
    <n v="289"/>
    <n v="1"/>
    <n v="289"/>
    <n v="0"/>
  </r>
  <r>
    <s v="1691"/>
    <x v="238"/>
    <n v="2"/>
    <s v="Company B"/>
    <x v="4"/>
    <s v="Sara"/>
    <x v="2"/>
    <x v="1"/>
    <n v="289"/>
    <n v="7"/>
    <n v="2023"/>
    <n v="0"/>
  </r>
  <r>
    <s v="1693"/>
    <x v="417"/>
    <n v="20"/>
    <s v="Company T"/>
    <x v="0"/>
    <s v="Jeff"/>
    <x v="0"/>
    <x v="1"/>
    <n v="289"/>
    <n v="8"/>
    <n v="2312"/>
    <n v="0"/>
  </r>
  <r>
    <s v="1700"/>
    <x v="418"/>
    <n v="12"/>
    <s v="Company L"/>
    <x v="3"/>
    <s v="Sara"/>
    <x v="3"/>
    <x v="1"/>
    <n v="289"/>
    <n v="5"/>
    <n v="1445"/>
    <n v="0"/>
  </r>
  <r>
    <s v="1719"/>
    <x v="244"/>
    <n v="5"/>
    <s v="Company E"/>
    <x v="4"/>
    <s v="Sara"/>
    <x v="2"/>
    <x v="1"/>
    <n v="289"/>
    <n v="0"/>
    <n v="0"/>
    <n v="0"/>
  </r>
  <r>
    <s v="1720"/>
    <x v="244"/>
    <n v="1"/>
    <s v="Company A"/>
    <x v="4"/>
    <s v="Sara"/>
    <x v="2"/>
    <x v="1"/>
    <n v="289"/>
    <n v="3"/>
    <n v="867"/>
    <n v="0"/>
  </r>
  <r>
    <s v="1725"/>
    <x v="245"/>
    <n v="4"/>
    <s v="Company D"/>
    <x v="2"/>
    <s v="Jeff"/>
    <x v="2"/>
    <x v="1"/>
    <n v="289"/>
    <n v="8"/>
    <n v="2312"/>
    <n v="0"/>
  </r>
  <r>
    <s v="1736"/>
    <x v="249"/>
    <n v="7"/>
    <s v="Company G"/>
    <x v="1"/>
    <s v="Steve"/>
    <x v="1"/>
    <x v="1"/>
    <n v="289"/>
    <n v="7"/>
    <n v="2023"/>
    <n v="0"/>
  </r>
  <r>
    <s v="1741"/>
    <x v="419"/>
    <n v="17"/>
    <s v="Company Q"/>
    <x v="6"/>
    <s v="Jeff"/>
    <x v="0"/>
    <x v="1"/>
    <n v="289"/>
    <n v="2"/>
    <n v="578"/>
    <n v="0"/>
  </r>
  <r>
    <s v="1742"/>
    <x v="420"/>
    <n v="14"/>
    <s v="Company N"/>
    <x v="5"/>
    <s v="Steve"/>
    <x v="3"/>
    <x v="1"/>
    <n v="289"/>
    <n v="9"/>
    <n v="2601"/>
    <n v="0"/>
  </r>
  <r>
    <s v="1752"/>
    <x v="251"/>
    <n v="6"/>
    <s v="Company F"/>
    <x v="7"/>
    <s v="Philip"/>
    <x v="1"/>
    <x v="1"/>
    <n v="289"/>
    <n v="7"/>
    <n v="2023"/>
    <n v="0"/>
  </r>
  <r>
    <s v="1755"/>
    <x v="251"/>
    <n v="15"/>
    <s v="Company O"/>
    <x v="5"/>
    <s v="Steve"/>
    <x v="3"/>
    <x v="1"/>
    <n v="289"/>
    <n v="4"/>
    <n v="1156"/>
    <n v="0"/>
  </r>
  <r>
    <s v="1757"/>
    <x v="251"/>
    <n v="4"/>
    <s v="Company D"/>
    <x v="2"/>
    <s v="Jeff"/>
    <x v="2"/>
    <x v="1"/>
    <n v="289"/>
    <n v="2"/>
    <n v="578"/>
    <n v="0"/>
  </r>
  <r>
    <s v="1776"/>
    <x v="421"/>
    <n v="2"/>
    <s v="Company B"/>
    <x v="2"/>
    <s v="Jeff"/>
    <x v="2"/>
    <x v="1"/>
    <n v="289"/>
    <n v="8"/>
    <n v="2312"/>
    <n v="0"/>
  </r>
  <r>
    <s v="1780"/>
    <x v="422"/>
    <n v="18"/>
    <s v="Company R"/>
    <x v="0"/>
    <s v="Jeff"/>
    <x v="0"/>
    <x v="1"/>
    <n v="289"/>
    <n v="0"/>
    <n v="0"/>
    <n v="0"/>
  </r>
  <r>
    <s v="1781"/>
    <x v="422"/>
    <n v="19"/>
    <s v="Company S"/>
    <x v="6"/>
    <s v="Jeff"/>
    <x v="0"/>
    <x v="1"/>
    <n v="289"/>
    <n v="8"/>
    <n v="2312"/>
    <n v="0"/>
  </r>
  <r>
    <s v="1787"/>
    <x v="256"/>
    <n v="15"/>
    <s v="Company O"/>
    <x v="5"/>
    <s v="Steve"/>
    <x v="3"/>
    <x v="1"/>
    <n v="289"/>
    <n v="8"/>
    <n v="2312"/>
    <n v="0"/>
  </r>
  <r>
    <s v="1796"/>
    <x v="258"/>
    <n v="2"/>
    <s v="Company B"/>
    <x v="4"/>
    <s v="Sara"/>
    <x v="2"/>
    <x v="1"/>
    <n v="289"/>
    <n v="5"/>
    <n v="1445"/>
    <n v="0"/>
  </r>
  <r>
    <s v="1798"/>
    <x v="258"/>
    <n v="13"/>
    <s v="Company M"/>
    <x v="5"/>
    <s v="Steve"/>
    <x v="3"/>
    <x v="1"/>
    <n v="289"/>
    <n v="4"/>
    <n v="1156"/>
    <n v="0"/>
  </r>
  <r>
    <s v="1810"/>
    <x v="423"/>
    <n v="3"/>
    <s v="Company C"/>
    <x v="4"/>
    <s v="Sara"/>
    <x v="2"/>
    <x v="1"/>
    <n v="289"/>
    <n v="3"/>
    <n v="867"/>
    <n v="0"/>
  </r>
  <r>
    <s v="1822"/>
    <x v="424"/>
    <n v="17"/>
    <s v="Company Q"/>
    <x v="6"/>
    <s v="Jeff"/>
    <x v="0"/>
    <x v="1"/>
    <n v="289"/>
    <n v="7"/>
    <n v="2023"/>
    <n v="0"/>
  </r>
  <r>
    <s v="1826"/>
    <x v="425"/>
    <n v="18"/>
    <s v="Company R"/>
    <x v="0"/>
    <s v="Jeff"/>
    <x v="0"/>
    <x v="1"/>
    <n v="289"/>
    <n v="4"/>
    <n v="1156"/>
    <n v="0"/>
  </r>
  <r>
    <s v="1827"/>
    <x v="425"/>
    <n v="2"/>
    <s v="Company B"/>
    <x v="2"/>
    <s v="Jeff"/>
    <x v="2"/>
    <x v="1"/>
    <n v="289"/>
    <n v="2"/>
    <n v="578"/>
    <n v="0"/>
  </r>
  <r>
    <s v="1830"/>
    <x v="426"/>
    <n v="5"/>
    <s v="Company E"/>
    <x v="2"/>
    <s v="Jeff"/>
    <x v="2"/>
    <x v="1"/>
    <n v="289"/>
    <n v="2"/>
    <n v="578"/>
    <n v="0"/>
  </r>
  <r>
    <s v="1835"/>
    <x v="427"/>
    <n v="5"/>
    <s v="Company E"/>
    <x v="4"/>
    <s v="Sara"/>
    <x v="2"/>
    <x v="1"/>
    <n v="289"/>
    <n v="3"/>
    <n v="867"/>
    <n v="0"/>
  </r>
  <r>
    <s v="1839"/>
    <x v="259"/>
    <n v="19"/>
    <s v="Company S"/>
    <x v="6"/>
    <s v="Jeff"/>
    <x v="0"/>
    <x v="1"/>
    <n v="289"/>
    <n v="5"/>
    <n v="1445"/>
    <n v="0"/>
  </r>
  <r>
    <s v="1862"/>
    <x v="261"/>
    <n v="10"/>
    <s v="Company J"/>
    <x v="7"/>
    <s v="Philip"/>
    <x v="1"/>
    <x v="1"/>
    <n v="289"/>
    <n v="3"/>
    <n v="867"/>
    <n v="0"/>
  </r>
  <r>
    <s v="1864"/>
    <x v="263"/>
    <n v="16"/>
    <s v="Company P"/>
    <x v="6"/>
    <s v="Jeff"/>
    <x v="0"/>
    <x v="1"/>
    <n v="289"/>
    <n v="3"/>
    <n v="867"/>
    <n v="0"/>
  </r>
  <r>
    <s v="1867"/>
    <x v="428"/>
    <n v="3"/>
    <s v="Company C"/>
    <x v="2"/>
    <s v="Jeff"/>
    <x v="2"/>
    <x v="1"/>
    <n v="289"/>
    <n v="6"/>
    <n v="1734"/>
    <n v="0"/>
  </r>
  <r>
    <s v="1874"/>
    <x v="266"/>
    <n v="9"/>
    <s v="Company I"/>
    <x v="7"/>
    <s v="Philip"/>
    <x v="1"/>
    <x v="1"/>
    <n v="289"/>
    <n v="2"/>
    <n v="578"/>
    <n v="0"/>
  </r>
  <r>
    <s v="1886"/>
    <x v="267"/>
    <n v="10"/>
    <s v="Company J"/>
    <x v="1"/>
    <s v="Steve"/>
    <x v="1"/>
    <x v="1"/>
    <n v="289"/>
    <n v="2"/>
    <n v="578"/>
    <n v="0"/>
  </r>
  <r>
    <s v="1896"/>
    <x v="269"/>
    <n v="20"/>
    <s v="Company T"/>
    <x v="0"/>
    <s v="Jeff"/>
    <x v="0"/>
    <x v="1"/>
    <n v="289"/>
    <n v="0"/>
    <n v="0"/>
    <n v="0"/>
  </r>
  <r>
    <s v="1912"/>
    <x v="429"/>
    <n v="6"/>
    <s v="Company F"/>
    <x v="7"/>
    <s v="Philip"/>
    <x v="1"/>
    <x v="1"/>
    <n v="289"/>
    <n v="7"/>
    <n v="2023"/>
    <n v="0"/>
  </r>
  <r>
    <s v="1917"/>
    <x v="273"/>
    <n v="4"/>
    <s v="Company D"/>
    <x v="2"/>
    <s v="Jeff"/>
    <x v="2"/>
    <x v="1"/>
    <n v="289"/>
    <n v="8"/>
    <n v="2312"/>
    <n v="0"/>
  </r>
  <r>
    <s v="1925"/>
    <x v="430"/>
    <n v="19"/>
    <s v="Company S"/>
    <x v="6"/>
    <s v="Jeff"/>
    <x v="0"/>
    <x v="1"/>
    <n v="289"/>
    <n v="1"/>
    <n v="289"/>
    <n v="0"/>
  </r>
  <r>
    <s v="1927"/>
    <x v="274"/>
    <n v="6"/>
    <s v="Company F"/>
    <x v="1"/>
    <s v="Steve"/>
    <x v="1"/>
    <x v="1"/>
    <n v="289"/>
    <n v="2"/>
    <n v="578"/>
    <n v="0"/>
  </r>
  <r>
    <s v="1934"/>
    <x v="431"/>
    <n v="6"/>
    <s v="Company F"/>
    <x v="1"/>
    <s v="Steve"/>
    <x v="1"/>
    <x v="1"/>
    <n v="289"/>
    <n v="8"/>
    <n v="2312"/>
    <n v="0"/>
  </r>
  <r>
    <s v="1935"/>
    <x v="431"/>
    <n v="12"/>
    <s v="Company L"/>
    <x v="3"/>
    <s v="Sara"/>
    <x v="3"/>
    <x v="1"/>
    <n v="289"/>
    <n v="5"/>
    <n v="1445"/>
    <n v="0"/>
  </r>
  <r>
    <s v="1936"/>
    <x v="432"/>
    <n v="17"/>
    <s v="Company Q"/>
    <x v="0"/>
    <s v="Jeff"/>
    <x v="0"/>
    <x v="1"/>
    <n v="289"/>
    <n v="6"/>
    <n v="1734"/>
    <n v="0"/>
  </r>
  <r>
    <s v="1937"/>
    <x v="276"/>
    <n v="15"/>
    <s v="Company O"/>
    <x v="3"/>
    <s v="Sara"/>
    <x v="3"/>
    <x v="1"/>
    <n v="289"/>
    <n v="2"/>
    <n v="578"/>
    <n v="0"/>
  </r>
  <r>
    <s v="1938"/>
    <x v="276"/>
    <n v="13"/>
    <s v="Company M"/>
    <x v="5"/>
    <s v="Steve"/>
    <x v="3"/>
    <x v="1"/>
    <n v="289"/>
    <n v="5"/>
    <n v="1445"/>
    <n v="0"/>
  </r>
  <r>
    <s v="1945"/>
    <x v="277"/>
    <n v="19"/>
    <s v="Company S"/>
    <x v="6"/>
    <s v="Jeff"/>
    <x v="0"/>
    <x v="1"/>
    <n v="289"/>
    <n v="0"/>
    <n v="0"/>
    <n v="0"/>
  </r>
  <r>
    <s v="1948"/>
    <x v="277"/>
    <n v="1"/>
    <s v="Company A"/>
    <x v="2"/>
    <s v="Jeff"/>
    <x v="2"/>
    <x v="1"/>
    <n v="289"/>
    <n v="8"/>
    <n v="2312"/>
    <n v="0"/>
  </r>
  <r>
    <s v="1952"/>
    <x v="278"/>
    <n v="8"/>
    <s v="Company H"/>
    <x v="7"/>
    <s v="Philip"/>
    <x v="1"/>
    <x v="1"/>
    <n v="289"/>
    <n v="5"/>
    <n v="1445"/>
    <n v="0"/>
  </r>
  <r>
    <s v="1957"/>
    <x v="433"/>
    <n v="17"/>
    <s v="Company Q"/>
    <x v="6"/>
    <s v="Jeff"/>
    <x v="0"/>
    <x v="1"/>
    <n v="289"/>
    <n v="6"/>
    <n v="1734"/>
    <n v="0"/>
  </r>
  <r>
    <s v="1961"/>
    <x v="280"/>
    <n v="9"/>
    <s v="Company I"/>
    <x v="7"/>
    <s v="Philip"/>
    <x v="1"/>
    <x v="1"/>
    <n v="289"/>
    <n v="8"/>
    <n v="2312"/>
    <n v="0"/>
  </r>
  <r>
    <s v="1963"/>
    <x v="281"/>
    <n v="20"/>
    <s v="Company T"/>
    <x v="0"/>
    <s v="Jeff"/>
    <x v="0"/>
    <x v="1"/>
    <n v="289"/>
    <n v="1"/>
    <n v="289"/>
    <n v="0"/>
  </r>
  <r>
    <s v="1964"/>
    <x v="281"/>
    <n v="4"/>
    <s v="Company D"/>
    <x v="2"/>
    <s v="Jeff"/>
    <x v="2"/>
    <x v="1"/>
    <n v="289"/>
    <n v="3"/>
    <n v="867"/>
    <n v="0"/>
  </r>
  <r>
    <s v="1974"/>
    <x v="434"/>
    <n v="19"/>
    <s v="Company S"/>
    <x v="6"/>
    <s v="Jeff"/>
    <x v="0"/>
    <x v="1"/>
    <n v="289"/>
    <n v="1"/>
    <n v="289"/>
    <n v="0"/>
  </r>
  <r>
    <s v="1981"/>
    <x v="435"/>
    <n v="12"/>
    <s v="Company L"/>
    <x v="3"/>
    <s v="Sara"/>
    <x v="3"/>
    <x v="1"/>
    <n v="289"/>
    <n v="0"/>
    <n v="0"/>
    <n v="0"/>
  </r>
  <r>
    <s v="1987"/>
    <x v="436"/>
    <n v="9"/>
    <s v="Company I"/>
    <x v="7"/>
    <s v="Philip"/>
    <x v="1"/>
    <x v="1"/>
    <n v="289"/>
    <n v="0"/>
    <n v="0"/>
    <n v="0"/>
  </r>
  <r>
    <s v="1989"/>
    <x v="436"/>
    <n v="12"/>
    <s v="Company L"/>
    <x v="5"/>
    <s v="Steve"/>
    <x v="3"/>
    <x v="1"/>
    <n v="289"/>
    <n v="3"/>
    <n v="867"/>
    <n v="0"/>
  </r>
  <r>
    <s v="1999"/>
    <x v="284"/>
    <n v="6"/>
    <s v="Company F"/>
    <x v="1"/>
    <s v="Steve"/>
    <x v="1"/>
    <x v="1"/>
    <n v="289"/>
    <n v="1"/>
    <n v="289"/>
    <n v="0"/>
  </r>
  <r>
    <s v="0001"/>
    <x v="437"/>
    <n v="11"/>
    <s v="Company K"/>
    <x v="3"/>
    <s v="Sara"/>
    <x v="3"/>
    <x v="2"/>
    <n v="199"/>
    <n v="3"/>
    <n v="597"/>
    <n v="0"/>
  </r>
  <r>
    <s v="0006"/>
    <x v="287"/>
    <n v="13"/>
    <s v="Company M"/>
    <x v="3"/>
    <s v="Sara"/>
    <x v="3"/>
    <x v="2"/>
    <n v="199"/>
    <n v="2"/>
    <n v="398"/>
    <n v="0"/>
  </r>
  <r>
    <s v="0008"/>
    <x v="0"/>
    <n v="14"/>
    <s v="Company N"/>
    <x v="3"/>
    <s v="Sara"/>
    <x v="3"/>
    <x v="2"/>
    <n v="199"/>
    <n v="5"/>
    <n v="995"/>
    <n v="0"/>
  </r>
  <r>
    <s v="0010"/>
    <x v="0"/>
    <n v="3"/>
    <s v="Company C"/>
    <x v="2"/>
    <s v="Jeff"/>
    <x v="2"/>
    <x v="2"/>
    <n v="199"/>
    <n v="0"/>
    <n v="0"/>
    <n v="0"/>
  </r>
  <r>
    <s v="0013"/>
    <x v="0"/>
    <n v="9"/>
    <s v="Company I"/>
    <x v="7"/>
    <s v="Philip"/>
    <x v="1"/>
    <x v="2"/>
    <n v="199"/>
    <n v="6"/>
    <n v="1194"/>
    <n v="0"/>
  </r>
  <r>
    <s v="0015"/>
    <x v="0"/>
    <n v="6"/>
    <s v="Company F"/>
    <x v="7"/>
    <s v="Philip"/>
    <x v="1"/>
    <x v="2"/>
    <n v="199"/>
    <n v="2"/>
    <n v="398"/>
    <n v="0"/>
  </r>
  <r>
    <s v="0027"/>
    <x v="2"/>
    <n v="14"/>
    <s v="Company N"/>
    <x v="5"/>
    <s v="Steve"/>
    <x v="3"/>
    <x v="2"/>
    <n v="199"/>
    <n v="1"/>
    <n v="199"/>
    <n v="0"/>
  </r>
  <r>
    <s v="0029"/>
    <x v="3"/>
    <n v="10"/>
    <s v="Company J"/>
    <x v="1"/>
    <s v="Steve"/>
    <x v="1"/>
    <x v="2"/>
    <n v="199"/>
    <n v="3"/>
    <n v="597"/>
    <n v="0"/>
  </r>
  <r>
    <s v="0034"/>
    <x v="4"/>
    <n v="1"/>
    <s v="Company A"/>
    <x v="4"/>
    <s v="Sara"/>
    <x v="2"/>
    <x v="2"/>
    <n v="199"/>
    <n v="8"/>
    <n v="1592"/>
    <n v="0"/>
  </r>
  <r>
    <s v="0035"/>
    <x v="4"/>
    <n v="16"/>
    <s v="Company P"/>
    <x v="0"/>
    <s v="Jeff"/>
    <x v="0"/>
    <x v="2"/>
    <n v="199"/>
    <n v="5"/>
    <n v="995"/>
    <n v="0"/>
  </r>
  <r>
    <s v="0057"/>
    <x v="7"/>
    <n v="8"/>
    <s v="Company H"/>
    <x v="1"/>
    <s v="Steve"/>
    <x v="1"/>
    <x v="2"/>
    <n v="199"/>
    <n v="5"/>
    <n v="995"/>
    <n v="0"/>
  </r>
  <r>
    <s v="0060"/>
    <x v="7"/>
    <n v="10"/>
    <s v="Company J"/>
    <x v="1"/>
    <s v="Steve"/>
    <x v="1"/>
    <x v="2"/>
    <n v="199"/>
    <n v="3"/>
    <n v="597"/>
    <n v="0"/>
  </r>
  <r>
    <s v="0065"/>
    <x v="289"/>
    <n v="9"/>
    <s v="Company I"/>
    <x v="1"/>
    <s v="Steve"/>
    <x v="1"/>
    <x v="2"/>
    <n v="199"/>
    <n v="6"/>
    <n v="1194"/>
    <n v="0"/>
  </r>
  <r>
    <s v="0068"/>
    <x v="438"/>
    <n v="13"/>
    <s v="Company M"/>
    <x v="5"/>
    <s v="Steve"/>
    <x v="3"/>
    <x v="2"/>
    <n v="199"/>
    <n v="8"/>
    <n v="1592"/>
    <n v="0"/>
  </r>
  <r>
    <s v="0069"/>
    <x v="439"/>
    <n v="19"/>
    <s v="Company S"/>
    <x v="0"/>
    <s v="Jeff"/>
    <x v="0"/>
    <x v="2"/>
    <n v="199"/>
    <n v="8"/>
    <n v="1592"/>
    <n v="0"/>
  </r>
  <r>
    <s v="0070"/>
    <x v="439"/>
    <n v="6"/>
    <s v="Company F"/>
    <x v="1"/>
    <s v="Steve"/>
    <x v="1"/>
    <x v="2"/>
    <n v="199"/>
    <n v="0"/>
    <n v="0"/>
    <n v="0"/>
  </r>
  <r>
    <s v="0089"/>
    <x v="291"/>
    <n v="8"/>
    <s v="Company H"/>
    <x v="7"/>
    <s v="Philip"/>
    <x v="1"/>
    <x v="2"/>
    <n v="199"/>
    <n v="5"/>
    <n v="995"/>
    <n v="0"/>
  </r>
  <r>
    <s v="0094"/>
    <x v="14"/>
    <n v="8"/>
    <s v="Company H"/>
    <x v="7"/>
    <s v="Philip"/>
    <x v="1"/>
    <x v="2"/>
    <n v="199"/>
    <n v="2"/>
    <n v="398"/>
    <n v="0"/>
  </r>
  <r>
    <s v="0099"/>
    <x v="440"/>
    <n v="8"/>
    <s v="Company H"/>
    <x v="1"/>
    <s v="Steve"/>
    <x v="1"/>
    <x v="2"/>
    <n v="199"/>
    <n v="9"/>
    <n v="1791"/>
    <n v="0"/>
  </r>
  <r>
    <s v="0100"/>
    <x v="440"/>
    <n v="12"/>
    <s v="Company L"/>
    <x v="3"/>
    <s v="Sara"/>
    <x v="3"/>
    <x v="2"/>
    <n v="199"/>
    <n v="5"/>
    <n v="995"/>
    <n v="0"/>
  </r>
  <r>
    <s v="0110"/>
    <x v="16"/>
    <n v="16"/>
    <s v="Company P"/>
    <x v="6"/>
    <s v="Jeff"/>
    <x v="0"/>
    <x v="2"/>
    <n v="199"/>
    <n v="6"/>
    <n v="1194"/>
    <n v="0"/>
  </r>
  <r>
    <s v="0119"/>
    <x v="292"/>
    <n v="5"/>
    <s v="Company E"/>
    <x v="2"/>
    <s v="Jeff"/>
    <x v="2"/>
    <x v="2"/>
    <n v="199"/>
    <n v="2"/>
    <n v="398"/>
    <n v="0"/>
  </r>
  <r>
    <s v="0121"/>
    <x v="441"/>
    <n v="15"/>
    <s v="Company O"/>
    <x v="3"/>
    <s v="Sara"/>
    <x v="3"/>
    <x v="2"/>
    <n v="199"/>
    <n v="3"/>
    <n v="597"/>
    <n v="0"/>
  </r>
  <r>
    <s v="0128"/>
    <x v="442"/>
    <n v="11"/>
    <s v="Company K"/>
    <x v="5"/>
    <s v="Steve"/>
    <x v="3"/>
    <x v="2"/>
    <n v="199"/>
    <n v="0"/>
    <n v="0"/>
    <n v="0"/>
  </r>
  <r>
    <s v="0129"/>
    <x v="443"/>
    <n v="6"/>
    <s v="Company F"/>
    <x v="7"/>
    <s v="Philip"/>
    <x v="1"/>
    <x v="2"/>
    <n v="199"/>
    <n v="8"/>
    <n v="1592"/>
    <n v="0"/>
  </r>
  <r>
    <s v="0130"/>
    <x v="20"/>
    <n v="16"/>
    <s v="Company P"/>
    <x v="6"/>
    <s v="Jeff"/>
    <x v="0"/>
    <x v="2"/>
    <n v="199"/>
    <n v="0"/>
    <n v="0"/>
    <n v="0"/>
  </r>
  <r>
    <s v="0136"/>
    <x v="21"/>
    <n v="6"/>
    <s v="Company F"/>
    <x v="1"/>
    <s v="Steve"/>
    <x v="1"/>
    <x v="2"/>
    <n v="199"/>
    <n v="9"/>
    <n v="1791"/>
    <n v="0"/>
  </r>
  <r>
    <s v="0145"/>
    <x v="21"/>
    <n v="6"/>
    <s v="Company F"/>
    <x v="7"/>
    <s v="Philip"/>
    <x v="1"/>
    <x v="2"/>
    <n v="199"/>
    <n v="6"/>
    <n v="1194"/>
    <n v="0"/>
  </r>
  <r>
    <s v="0146"/>
    <x v="21"/>
    <n v="8"/>
    <s v="Company H"/>
    <x v="1"/>
    <s v="Steve"/>
    <x v="1"/>
    <x v="2"/>
    <n v="199"/>
    <n v="2"/>
    <n v="398"/>
    <n v="0"/>
  </r>
  <r>
    <s v="0150"/>
    <x v="21"/>
    <n v="8"/>
    <s v="Company H"/>
    <x v="1"/>
    <s v="Steve"/>
    <x v="1"/>
    <x v="2"/>
    <n v="199"/>
    <n v="1"/>
    <n v="199"/>
    <n v="0"/>
  </r>
  <r>
    <s v="0151"/>
    <x v="21"/>
    <n v="20"/>
    <s v="Company T"/>
    <x v="6"/>
    <s v="Jeff"/>
    <x v="0"/>
    <x v="2"/>
    <n v="199"/>
    <n v="8"/>
    <n v="1592"/>
    <n v="0"/>
  </r>
  <r>
    <s v="0155"/>
    <x v="444"/>
    <n v="15"/>
    <s v="Company O"/>
    <x v="3"/>
    <s v="Sara"/>
    <x v="3"/>
    <x v="2"/>
    <n v="199"/>
    <n v="9"/>
    <n v="1791"/>
    <n v="0"/>
  </r>
  <r>
    <s v="0158"/>
    <x v="293"/>
    <n v="11"/>
    <s v="Company K"/>
    <x v="5"/>
    <s v="Steve"/>
    <x v="3"/>
    <x v="2"/>
    <n v="199"/>
    <n v="4"/>
    <n v="796"/>
    <n v="0"/>
  </r>
  <r>
    <s v="0160"/>
    <x v="293"/>
    <n v="1"/>
    <s v="Company A"/>
    <x v="2"/>
    <s v="Jeff"/>
    <x v="2"/>
    <x v="2"/>
    <n v="199"/>
    <n v="9"/>
    <n v="1791"/>
    <n v="0"/>
  </r>
  <r>
    <s v="0161"/>
    <x v="293"/>
    <n v="8"/>
    <s v="Company H"/>
    <x v="1"/>
    <s v="Steve"/>
    <x v="1"/>
    <x v="2"/>
    <n v="199"/>
    <n v="2"/>
    <n v="398"/>
    <n v="0"/>
  </r>
  <r>
    <s v="0176"/>
    <x v="295"/>
    <n v="13"/>
    <s v="Company M"/>
    <x v="5"/>
    <s v="Steve"/>
    <x v="3"/>
    <x v="2"/>
    <n v="199"/>
    <n v="6"/>
    <n v="1194"/>
    <n v="0"/>
  </r>
  <r>
    <s v="0183"/>
    <x v="445"/>
    <n v="10"/>
    <s v="Company J"/>
    <x v="7"/>
    <s v="Philip"/>
    <x v="1"/>
    <x v="2"/>
    <n v="199"/>
    <n v="2"/>
    <n v="398"/>
    <n v="0"/>
  </r>
  <r>
    <s v="0188"/>
    <x v="24"/>
    <n v="17"/>
    <s v="Company Q"/>
    <x v="0"/>
    <s v="Jeff"/>
    <x v="0"/>
    <x v="2"/>
    <n v="199"/>
    <n v="6"/>
    <n v="1194"/>
    <n v="0"/>
  </r>
  <r>
    <s v="0190"/>
    <x v="25"/>
    <n v="5"/>
    <s v="Company E"/>
    <x v="2"/>
    <s v="Jeff"/>
    <x v="2"/>
    <x v="2"/>
    <n v="199"/>
    <n v="5"/>
    <n v="995"/>
    <n v="0"/>
  </r>
  <r>
    <s v="0194"/>
    <x v="446"/>
    <n v="4"/>
    <s v="Company D"/>
    <x v="2"/>
    <s v="Jeff"/>
    <x v="2"/>
    <x v="2"/>
    <n v="199"/>
    <n v="0"/>
    <n v="0"/>
    <n v="0"/>
  </r>
  <r>
    <s v="0200"/>
    <x v="447"/>
    <n v="12"/>
    <s v="Company L"/>
    <x v="5"/>
    <s v="Steve"/>
    <x v="3"/>
    <x v="2"/>
    <n v="199"/>
    <n v="4"/>
    <n v="796"/>
    <n v="0"/>
  </r>
  <r>
    <s v="0202"/>
    <x v="448"/>
    <n v="9"/>
    <s v="Company I"/>
    <x v="7"/>
    <s v="Philip"/>
    <x v="1"/>
    <x v="2"/>
    <n v="199"/>
    <n v="0"/>
    <n v="0"/>
    <n v="0"/>
  </r>
  <r>
    <s v="0204"/>
    <x v="449"/>
    <n v="2"/>
    <s v="Company B"/>
    <x v="2"/>
    <s v="Jeff"/>
    <x v="2"/>
    <x v="2"/>
    <n v="199"/>
    <n v="2"/>
    <n v="398"/>
    <n v="0"/>
  </r>
  <r>
    <s v="0205"/>
    <x v="27"/>
    <n v="19"/>
    <s v="Company S"/>
    <x v="0"/>
    <s v="Jeff"/>
    <x v="0"/>
    <x v="2"/>
    <n v="199"/>
    <n v="5"/>
    <n v="995"/>
    <n v="0"/>
  </r>
  <r>
    <s v="0207"/>
    <x v="27"/>
    <n v="18"/>
    <s v="Company R"/>
    <x v="6"/>
    <s v="Jeff"/>
    <x v="0"/>
    <x v="2"/>
    <n v="199"/>
    <n v="6"/>
    <n v="1194"/>
    <n v="0"/>
  </r>
  <r>
    <s v="0208"/>
    <x v="27"/>
    <n v="6"/>
    <s v="Company F"/>
    <x v="7"/>
    <s v="Philip"/>
    <x v="1"/>
    <x v="2"/>
    <n v="199"/>
    <n v="9"/>
    <n v="1791"/>
    <n v="0"/>
  </r>
  <r>
    <s v="0212"/>
    <x v="27"/>
    <n v="2"/>
    <s v="Company B"/>
    <x v="2"/>
    <s v="Jeff"/>
    <x v="2"/>
    <x v="2"/>
    <n v="199"/>
    <n v="0"/>
    <n v="0"/>
    <n v="0"/>
  </r>
  <r>
    <s v="0215"/>
    <x v="28"/>
    <n v="3"/>
    <s v="Company C"/>
    <x v="2"/>
    <s v="Jeff"/>
    <x v="2"/>
    <x v="2"/>
    <n v="199"/>
    <n v="3"/>
    <n v="597"/>
    <n v="0"/>
  </r>
  <r>
    <s v="0222"/>
    <x v="28"/>
    <n v="4"/>
    <s v="Company D"/>
    <x v="2"/>
    <s v="Jeff"/>
    <x v="2"/>
    <x v="2"/>
    <n v="199"/>
    <n v="8"/>
    <n v="1592"/>
    <n v="0"/>
  </r>
  <r>
    <s v="0231"/>
    <x v="31"/>
    <n v="19"/>
    <s v="Company S"/>
    <x v="6"/>
    <s v="Jeff"/>
    <x v="0"/>
    <x v="2"/>
    <n v="199"/>
    <n v="6"/>
    <n v="1194"/>
    <n v="0"/>
  </r>
  <r>
    <s v="0234"/>
    <x v="32"/>
    <n v="15"/>
    <s v="Company O"/>
    <x v="5"/>
    <s v="Steve"/>
    <x v="3"/>
    <x v="2"/>
    <n v="199"/>
    <n v="2"/>
    <n v="398"/>
    <n v="0"/>
  </r>
  <r>
    <s v="0238"/>
    <x v="32"/>
    <n v="7"/>
    <s v="Company G"/>
    <x v="7"/>
    <s v="Philip"/>
    <x v="1"/>
    <x v="2"/>
    <n v="199"/>
    <n v="3"/>
    <n v="597"/>
    <n v="0"/>
  </r>
  <r>
    <s v="0240"/>
    <x v="32"/>
    <n v="18"/>
    <s v="Company R"/>
    <x v="0"/>
    <s v="Jeff"/>
    <x v="0"/>
    <x v="2"/>
    <n v="199"/>
    <n v="5"/>
    <n v="995"/>
    <n v="0"/>
  </r>
  <r>
    <s v="0243"/>
    <x v="300"/>
    <n v="20"/>
    <s v="Company T"/>
    <x v="6"/>
    <s v="Jeff"/>
    <x v="0"/>
    <x v="2"/>
    <n v="199"/>
    <n v="4"/>
    <n v="796"/>
    <n v="0"/>
  </r>
  <r>
    <s v="0252"/>
    <x v="33"/>
    <n v="14"/>
    <s v="Company N"/>
    <x v="3"/>
    <s v="Sara"/>
    <x v="3"/>
    <x v="2"/>
    <n v="199"/>
    <n v="2"/>
    <n v="398"/>
    <n v="0"/>
  </r>
  <r>
    <s v="0255"/>
    <x v="450"/>
    <n v="5"/>
    <s v="Company E"/>
    <x v="4"/>
    <s v="Sara"/>
    <x v="2"/>
    <x v="2"/>
    <n v="199"/>
    <n v="9"/>
    <n v="1791"/>
    <n v="0"/>
  </r>
  <r>
    <s v="0261"/>
    <x v="451"/>
    <n v="4"/>
    <s v="Company D"/>
    <x v="2"/>
    <s v="Jeff"/>
    <x v="2"/>
    <x v="2"/>
    <n v="199"/>
    <n v="8"/>
    <n v="1592"/>
    <n v="0"/>
  </r>
  <r>
    <s v="0264"/>
    <x v="301"/>
    <n v="17"/>
    <s v="Company Q"/>
    <x v="0"/>
    <s v="Jeff"/>
    <x v="0"/>
    <x v="2"/>
    <n v="199"/>
    <n v="1"/>
    <n v="199"/>
    <n v="0"/>
  </r>
  <r>
    <s v="0267"/>
    <x v="35"/>
    <n v="16"/>
    <s v="Company P"/>
    <x v="6"/>
    <s v="Jeff"/>
    <x v="0"/>
    <x v="2"/>
    <n v="199"/>
    <n v="8"/>
    <n v="1592"/>
    <n v="0"/>
  </r>
  <r>
    <s v="0268"/>
    <x v="35"/>
    <n v="4"/>
    <s v="Company D"/>
    <x v="4"/>
    <s v="Sara"/>
    <x v="2"/>
    <x v="2"/>
    <n v="199"/>
    <n v="1"/>
    <n v="199"/>
    <n v="0"/>
  </r>
  <r>
    <s v="0269"/>
    <x v="35"/>
    <n v="20"/>
    <s v="Company T"/>
    <x v="6"/>
    <s v="Jeff"/>
    <x v="0"/>
    <x v="2"/>
    <n v="199"/>
    <n v="6"/>
    <n v="1194"/>
    <n v="0"/>
  </r>
  <r>
    <s v="0271"/>
    <x v="35"/>
    <n v="14"/>
    <s v="Company N"/>
    <x v="3"/>
    <s v="Sara"/>
    <x v="3"/>
    <x v="2"/>
    <n v="199"/>
    <n v="3"/>
    <n v="597"/>
    <n v="0"/>
  </r>
  <r>
    <s v="0273"/>
    <x v="35"/>
    <n v="3"/>
    <s v="Company C"/>
    <x v="4"/>
    <s v="Sara"/>
    <x v="2"/>
    <x v="2"/>
    <n v="199"/>
    <n v="9"/>
    <n v="1791"/>
    <n v="0"/>
  </r>
  <r>
    <s v="0274"/>
    <x v="35"/>
    <n v="7"/>
    <s v="Company G"/>
    <x v="7"/>
    <s v="Philip"/>
    <x v="1"/>
    <x v="2"/>
    <n v="199"/>
    <n v="3"/>
    <n v="597"/>
    <n v="0"/>
  </r>
  <r>
    <s v="0280"/>
    <x v="36"/>
    <n v="16"/>
    <s v="Company P"/>
    <x v="0"/>
    <s v="Jeff"/>
    <x v="0"/>
    <x v="2"/>
    <n v="199"/>
    <n v="1"/>
    <n v="199"/>
    <n v="0"/>
  </r>
  <r>
    <s v="0293"/>
    <x v="452"/>
    <n v="2"/>
    <s v="Company B"/>
    <x v="2"/>
    <s v="Jeff"/>
    <x v="2"/>
    <x v="2"/>
    <n v="199"/>
    <n v="7"/>
    <n v="1393"/>
    <n v="0"/>
  </r>
  <r>
    <s v="0299"/>
    <x v="37"/>
    <n v="12"/>
    <s v="Company L"/>
    <x v="3"/>
    <s v="Sara"/>
    <x v="3"/>
    <x v="2"/>
    <n v="199"/>
    <n v="8"/>
    <n v="1592"/>
    <n v="0"/>
  </r>
  <r>
    <s v="0307"/>
    <x v="304"/>
    <n v="4"/>
    <s v="Company D"/>
    <x v="2"/>
    <s v="Jeff"/>
    <x v="2"/>
    <x v="2"/>
    <n v="199"/>
    <n v="5"/>
    <n v="995"/>
    <n v="0"/>
  </r>
  <r>
    <s v="0308"/>
    <x v="304"/>
    <n v="12"/>
    <s v="Company L"/>
    <x v="3"/>
    <s v="Sara"/>
    <x v="3"/>
    <x v="2"/>
    <n v="199"/>
    <n v="6"/>
    <n v="1194"/>
    <n v="0"/>
  </r>
  <r>
    <s v="0312"/>
    <x v="306"/>
    <n v="18"/>
    <s v="Company R"/>
    <x v="6"/>
    <s v="Jeff"/>
    <x v="0"/>
    <x v="2"/>
    <n v="199"/>
    <n v="0"/>
    <n v="0"/>
    <n v="0"/>
  </r>
  <r>
    <s v="0313"/>
    <x v="306"/>
    <n v="7"/>
    <s v="Company G"/>
    <x v="7"/>
    <s v="Philip"/>
    <x v="1"/>
    <x v="2"/>
    <n v="199"/>
    <n v="9"/>
    <n v="1791"/>
    <n v="0"/>
  </r>
  <r>
    <s v="0314"/>
    <x v="306"/>
    <n v="2"/>
    <s v="Company B"/>
    <x v="4"/>
    <s v="Sara"/>
    <x v="2"/>
    <x v="2"/>
    <n v="199"/>
    <n v="5"/>
    <n v="995"/>
    <n v="0"/>
  </r>
  <r>
    <s v="0315"/>
    <x v="453"/>
    <n v="19"/>
    <s v="Company S"/>
    <x v="6"/>
    <s v="Jeff"/>
    <x v="0"/>
    <x v="2"/>
    <n v="199"/>
    <n v="9"/>
    <n v="1791"/>
    <n v="0"/>
  </r>
  <r>
    <s v="0316"/>
    <x v="453"/>
    <n v="19"/>
    <s v="Company S"/>
    <x v="6"/>
    <s v="Jeff"/>
    <x v="0"/>
    <x v="2"/>
    <n v="199"/>
    <n v="8"/>
    <n v="1592"/>
    <n v="0"/>
  </r>
  <r>
    <s v="0317"/>
    <x v="454"/>
    <n v="2"/>
    <s v="Company B"/>
    <x v="2"/>
    <s v="Jeff"/>
    <x v="2"/>
    <x v="2"/>
    <n v="199"/>
    <n v="3"/>
    <n v="597"/>
    <n v="0"/>
  </r>
  <r>
    <s v="0318"/>
    <x v="454"/>
    <n v="5"/>
    <s v="Company E"/>
    <x v="4"/>
    <s v="Sara"/>
    <x v="2"/>
    <x v="2"/>
    <n v="199"/>
    <n v="4"/>
    <n v="796"/>
    <n v="0"/>
  </r>
  <r>
    <s v="0327"/>
    <x v="40"/>
    <n v="9"/>
    <s v="Company I"/>
    <x v="1"/>
    <s v="Steve"/>
    <x v="1"/>
    <x v="2"/>
    <n v="199"/>
    <n v="9"/>
    <n v="1791"/>
    <n v="0"/>
  </r>
  <r>
    <s v="0328"/>
    <x v="40"/>
    <n v="8"/>
    <s v="Company H"/>
    <x v="7"/>
    <s v="Philip"/>
    <x v="1"/>
    <x v="2"/>
    <n v="199"/>
    <n v="2"/>
    <n v="398"/>
    <n v="0"/>
  </r>
  <r>
    <s v="0332"/>
    <x v="40"/>
    <n v="6"/>
    <s v="Company F"/>
    <x v="1"/>
    <s v="Steve"/>
    <x v="1"/>
    <x v="2"/>
    <n v="199"/>
    <n v="8"/>
    <n v="1592"/>
    <n v="0"/>
  </r>
  <r>
    <s v="0344"/>
    <x v="42"/>
    <n v="9"/>
    <s v="Company I"/>
    <x v="7"/>
    <s v="Philip"/>
    <x v="1"/>
    <x v="2"/>
    <n v="199"/>
    <n v="6"/>
    <n v="1194"/>
    <n v="0"/>
  </r>
  <r>
    <s v="0345"/>
    <x v="42"/>
    <n v="13"/>
    <s v="Company M"/>
    <x v="3"/>
    <s v="Sara"/>
    <x v="3"/>
    <x v="2"/>
    <n v="199"/>
    <n v="2"/>
    <n v="398"/>
    <n v="0"/>
  </r>
  <r>
    <s v="0347"/>
    <x v="42"/>
    <n v="18"/>
    <s v="Company R"/>
    <x v="6"/>
    <s v="Jeff"/>
    <x v="0"/>
    <x v="2"/>
    <n v="199"/>
    <n v="0"/>
    <n v="0"/>
    <n v="0"/>
  </r>
  <r>
    <s v="0356"/>
    <x v="44"/>
    <n v="18"/>
    <s v="Company R"/>
    <x v="0"/>
    <s v="Jeff"/>
    <x v="0"/>
    <x v="2"/>
    <n v="199"/>
    <n v="8"/>
    <n v="1592"/>
    <n v="0"/>
  </r>
  <r>
    <s v="0360"/>
    <x v="45"/>
    <n v="19"/>
    <s v="Company S"/>
    <x v="6"/>
    <s v="Jeff"/>
    <x v="0"/>
    <x v="2"/>
    <n v="199"/>
    <n v="9"/>
    <n v="1791"/>
    <n v="0"/>
  </r>
  <r>
    <s v="0370"/>
    <x v="310"/>
    <n v="15"/>
    <s v="Company O"/>
    <x v="5"/>
    <s v="Steve"/>
    <x v="3"/>
    <x v="2"/>
    <n v="199"/>
    <n v="4"/>
    <n v="796"/>
    <n v="0"/>
  </r>
  <r>
    <s v="0373"/>
    <x v="310"/>
    <n v="15"/>
    <s v="Company O"/>
    <x v="3"/>
    <s v="Sara"/>
    <x v="3"/>
    <x v="2"/>
    <n v="199"/>
    <n v="6"/>
    <n v="1194"/>
    <n v="0"/>
  </r>
  <r>
    <s v="0377"/>
    <x v="46"/>
    <n v="12"/>
    <s v="Company L"/>
    <x v="5"/>
    <s v="Steve"/>
    <x v="3"/>
    <x v="2"/>
    <n v="199"/>
    <n v="6"/>
    <n v="1194"/>
    <n v="0"/>
  </r>
  <r>
    <s v="0391"/>
    <x v="47"/>
    <n v="10"/>
    <s v="Company J"/>
    <x v="1"/>
    <s v="Steve"/>
    <x v="1"/>
    <x v="2"/>
    <n v="199"/>
    <n v="0"/>
    <n v="0"/>
    <n v="0"/>
  </r>
  <r>
    <s v="0394"/>
    <x v="455"/>
    <n v="18"/>
    <s v="Company R"/>
    <x v="6"/>
    <s v="Jeff"/>
    <x v="0"/>
    <x v="2"/>
    <n v="199"/>
    <n v="3"/>
    <n v="597"/>
    <n v="0"/>
  </r>
  <r>
    <s v="0409"/>
    <x v="313"/>
    <n v="16"/>
    <s v="Company P"/>
    <x v="6"/>
    <s v="Jeff"/>
    <x v="0"/>
    <x v="2"/>
    <n v="199"/>
    <n v="3"/>
    <n v="597"/>
    <n v="0"/>
  </r>
  <r>
    <s v="0413"/>
    <x v="313"/>
    <n v="3"/>
    <s v="Company C"/>
    <x v="4"/>
    <s v="Sara"/>
    <x v="2"/>
    <x v="2"/>
    <n v="199"/>
    <n v="1"/>
    <n v="199"/>
    <n v="0"/>
  </r>
  <r>
    <s v="0416"/>
    <x v="456"/>
    <n v="13"/>
    <s v="Company M"/>
    <x v="3"/>
    <s v="Sara"/>
    <x v="3"/>
    <x v="2"/>
    <n v="199"/>
    <n v="1"/>
    <n v="199"/>
    <n v="0"/>
  </r>
  <r>
    <s v="0419"/>
    <x v="457"/>
    <n v="14"/>
    <s v="Company N"/>
    <x v="3"/>
    <s v="Sara"/>
    <x v="3"/>
    <x v="2"/>
    <n v="199"/>
    <n v="3"/>
    <n v="597"/>
    <n v="0"/>
  </r>
  <r>
    <s v="0426"/>
    <x v="314"/>
    <n v="17"/>
    <s v="Company Q"/>
    <x v="0"/>
    <s v="Jeff"/>
    <x v="0"/>
    <x v="2"/>
    <n v="199"/>
    <n v="8"/>
    <n v="1592"/>
    <n v="0"/>
  </r>
  <r>
    <s v="0427"/>
    <x v="458"/>
    <n v="5"/>
    <s v="Company E"/>
    <x v="2"/>
    <s v="Jeff"/>
    <x v="2"/>
    <x v="2"/>
    <n v="199"/>
    <n v="6"/>
    <n v="1194"/>
    <n v="0"/>
  </r>
  <r>
    <s v="0436"/>
    <x v="51"/>
    <n v="17"/>
    <s v="Company Q"/>
    <x v="0"/>
    <s v="Jeff"/>
    <x v="0"/>
    <x v="2"/>
    <n v="199"/>
    <n v="0"/>
    <n v="0"/>
    <n v="0"/>
  </r>
  <r>
    <s v="0441"/>
    <x v="51"/>
    <n v="18"/>
    <s v="Company R"/>
    <x v="0"/>
    <s v="Jeff"/>
    <x v="0"/>
    <x v="2"/>
    <n v="199"/>
    <n v="6"/>
    <n v="1194"/>
    <n v="0"/>
  </r>
  <r>
    <s v="0445"/>
    <x v="52"/>
    <n v="9"/>
    <s v="Company I"/>
    <x v="1"/>
    <s v="Steve"/>
    <x v="1"/>
    <x v="2"/>
    <n v="199"/>
    <n v="2"/>
    <n v="398"/>
    <n v="0"/>
  </r>
  <r>
    <s v="0458"/>
    <x v="53"/>
    <n v="12"/>
    <s v="Company L"/>
    <x v="5"/>
    <s v="Steve"/>
    <x v="3"/>
    <x v="2"/>
    <n v="199"/>
    <n v="3"/>
    <n v="597"/>
    <n v="0"/>
  </r>
  <r>
    <s v="0467"/>
    <x v="55"/>
    <n v="4"/>
    <s v="Company D"/>
    <x v="2"/>
    <s v="Jeff"/>
    <x v="2"/>
    <x v="2"/>
    <n v="199"/>
    <n v="0"/>
    <n v="0"/>
    <n v="0"/>
  </r>
  <r>
    <s v="0475"/>
    <x v="58"/>
    <n v="13"/>
    <s v="Company M"/>
    <x v="3"/>
    <s v="Sara"/>
    <x v="3"/>
    <x v="2"/>
    <n v="199"/>
    <n v="2"/>
    <n v="398"/>
    <n v="0"/>
  </r>
  <r>
    <s v="0484"/>
    <x v="316"/>
    <n v="4"/>
    <s v="Company D"/>
    <x v="4"/>
    <s v="Sara"/>
    <x v="2"/>
    <x v="2"/>
    <n v="199"/>
    <n v="4"/>
    <n v="796"/>
    <n v="0"/>
  </r>
  <r>
    <s v="0485"/>
    <x v="317"/>
    <n v="16"/>
    <s v="Company P"/>
    <x v="6"/>
    <s v="Jeff"/>
    <x v="0"/>
    <x v="2"/>
    <n v="199"/>
    <n v="7"/>
    <n v="1393"/>
    <n v="0"/>
  </r>
  <r>
    <s v="0495"/>
    <x v="59"/>
    <n v="13"/>
    <s v="Company M"/>
    <x v="3"/>
    <s v="Sara"/>
    <x v="3"/>
    <x v="2"/>
    <n v="199"/>
    <n v="5"/>
    <n v="995"/>
    <n v="0"/>
  </r>
  <r>
    <s v="0499"/>
    <x v="59"/>
    <n v="18"/>
    <s v="Company R"/>
    <x v="6"/>
    <s v="Jeff"/>
    <x v="0"/>
    <x v="2"/>
    <n v="199"/>
    <n v="8"/>
    <n v="1592"/>
    <n v="0"/>
  </r>
  <r>
    <s v="0501"/>
    <x v="318"/>
    <n v="2"/>
    <s v="Company B"/>
    <x v="2"/>
    <s v="Jeff"/>
    <x v="2"/>
    <x v="2"/>
    <n v="199"/>
    <n v="5"/>
    <n v="995"/>
    <n v="0"/>
  </r>
  <r>
    <s v="0502"/>
    <x v="318"/>
    <n v="2"/>
    <s v="Company B"/>
    <x v="2"/>
    <s v="Jeff"/>
    <x v="2"/>
    <x v="2"/>
    <n v="199"/>
    <n v="0"/>
    <n v="0"/>
    <n v="0"/>
  </r>
  <r>
    <s v="0504"/>
    <x v="459"/>
    <n v="9"/>
    <s v="Company I"/>
    <x v="7"/>
    <s v="Philip"/>
    <x v="1"/>
    <x v="2"/>
    <n v="199"/>
    <n v="6"/>
    <n v="1194"/>
    <n v="0"/>
  </r>
  <r>
    <s v="0505"/>
    <x v="60"/>
    <n v="12"/>
    <s v="Company L"/>
    <x v="5"/>
    <s v="Steve"/>
    <x v="3"/>
    <x v="2"/>
    <n v="199"/>
    <n v="2"/>
    <n v="398"/>
    <n v="0"/>
  </r>
  <r>
    <s v="0518"/>
    <x v="321"/>
    <n v="9"/>
    <s v="Company I"/>
    <x v="7"/>
    <s v="Philip"/>
    <x v="1"/>
    <x v="2"/>
    <n v="199"/>
    <n v="7"/>
    <n v="1393"/>
    <n v="0"/>
  </r>
  <r>
    <s v="0519"/>
    <x v="61"/>
    <n v="5"/>
    <s v="Company E"/>
    <x v="4"/>
    <s v="Sara"/>
    <x v="2"/>
    <x v="2"/>
    <n v="199"/>
    <n v="9"/>
    <n v="1791"/>
    <n v="0"/>
  </r>
  <r>
    <s v="0522"/>
    <x v="61"/>
    <n v="12"/>
    <s v="Company L"/>
    <x v="5"/>
    <s v="Steve"/>
    <x v="3"/>
    <x v="2"/>
    <n v="199"/>
    <n v="9"/>
    <n v="1791"/>
    <n v="0"/>
  </r>
  <r>
    <s v="0529"/>
    <x v="61"/>
    <n v="13"/>
    <s v="Company M"/>
    <x v="5"/>
    <s v="Steve"/>
    <x v="3"/>
    <x v="2"/>
    <n v="199"/>
    <n v="8"/>
    <n v="1592"/>
    <n v="0"/>
  </r>
  <r>
    <s v="0531"/>
    <x v="62"/>
    <n v="8"/>
    <s v="Company H"/>
    <x v="7"/>
    <s v="Philip"/>
    <x v="1"/>
    <x v="2"/>
    <n v="199"/>
    <n v="3"/>
    <n v="597"/>
    <n v="0"/>
  </r>
  <r>
    <s v="0533"/>
    <x v="460"/>
    <n v="8"/>
    <s v="Company H"/>
    <x v="1"/>
    <s v="Steve"/>
    <x v="1"/>
    <x v="2"/>
    <n v="199"/>
    <n v="5"/>
    <n v="995"/>
    <n v="0"/>
  </r>
  <r>
    <s v="0535"/>
    <x v="460"/>
    <n v="19"/>
    <s v="Company S"/>
    <x v="6"/>
    <s v="Jeff"/>
    <x v="0"/>
    <x v="2"/>
    <n v="199"/>
    <n v="2"/>
    <n v="398"/>
    <n v="0"/>
  </r>
  <r>
    <s v="0537"/>
    <x v="461"/>
    <n v="9"/>
    <s v="Company I"/>
    <x v="1"/>
    <s v="Steve"/>
    <x v="1"/>
    <x v="2"/>
    <n v="199"/>
    <n v="1"/>
    <n v="199"/>
    <n v="0"/>
  </r>
  <r>
    <s v="0538"/>
    <x v="461"/>
    <n v="8"/>
    <s v="Company H"/>
    <x v="1"/>
    <s v="Steve"/>
    <x v="1"/>
    <x v="2"/>
    <n v="199"/>
    <n v="2"/>
    <n v="398"/>
    <n v="0"/>
  </r>
  <r>
    <s v="0539"/>
    <x v="462"/>
    <n v="19"/>
    <s v="Company S"/>
    <x v="6"/>
    <s v="Jeff"/>
    <x v="0"/>
    <x v="2"/>
    <n v="199"/>
    <n v="0"/>
    <n v="0"/>
    <n v="0"/>
  </r>
  <r>
    <s v="0546"/>
    <x v="463"/>
    <n v="4"/>
    <s v="Company D"/>
    <x v="4"/>
    <s v="Sara"/>
    <x v="2"/>
    <x v="2"/>
    <n v="199"/>
    <n v="5"/>
    <n v="995"/>
    <n v="0"/>
  </r>
  <r>
    <s v="0548"/>
    <x v="65"/>
    <n v="2"/>
    <s v="Company B"/>
    <x v="4"/>
    <s v="Sara"/>
    <x v="2"/>
    <x v="2"/>
    <n v="199"/>
    <n v="7"/>
    <n v="1393"/>
    <n v="0"/>
  </r>
  <r>
    <s v="0549"/>
    <x v="65"/>
    <n v="17"/>
    <s v="Company Q"/>
    <x v="6"/>
    <s v="Jeff"/>
    <x v="0"/>
    <x v="2"/>
    <n v="199"/>
    <n v="2"/>
    <n v="398"/>
    <n v="0"/>
  </r>
  <r>
    <s v="0554"/>
    <x v="66"/>
    <n v="19"/>
    <s v="Company S"/>
    <x v="6"/>
    <s v="Jeff"/>
    <x v="0"/>
    <x v="2"/>
    <n v="199"/>
    <n v="4"/>
    <n v="796"/>
    <n v="0"/>
  </r>
  <r>
    <s v="0555"/>
    <x v="66"/>
    <n v="6"/>
    <s v="Company F"/>
    <x v="7"/>
    <s v="Philip"/>
    <x v="1"/>
    <x v="2"/>
    <n v="199"/>
    <n v="9"/>
    <n v="1791"/>
    <n v="0"/>
  </r>
  <r>
    <s v="0565"/>
    <x v="68"/>
    <n v="1"/>
    <s v="Company A"/>
    <x v="2"/>
    <s v="Jeff"/>
    <x v="2"/>
    <x v="2"/>
    <n v="199"/>
    <n v="0"/>
    <n v="0"/>
    <n v="0"/>
  </r>
  <r>
    <s v="0585"/>
    <x v="71"/>
    <n v="5"/>
    <s v="Company E"/>
    <x v="2"/>
    <s v="Jeff"/>
    <x v="2"/>
    <x v="2"/>
    <n v="199"/>
    <n v="1"/>
    <n v="199"/>
    <n v="0"/>
  </r>
  <r>
    <s v="0595"/>
    <x v="73"/>
    <n v="10"/>
    <s v="Company J"/>
    <x v="1"/>
    <s v="Steve"/>
    <x v="1"/>
    <x v="2"/>
    <n v="199"/>
    <n v="6"/>
    <n v="1194"/>
    <n v="0"/>
  </r>
  <r>
    <s v="0602"/>
    <x v="74"/>
    <n v="12"/>
    <s v="Company L"/>
    <x v="5"/>
    <s v="Steve"/>
    <x v="3"/>
    <x v="2"/>
    <n v="199"/>
    <n v="3"/>
    <n v="597"/>
    <n v="0"/>
  </r>
  <r>
    <s v="0617"/>
    <x v="76"/>
    <n v="19"/>
    <s v="Company S"/>
    <x v="0"/>
    <s v="Jeff"/>
    <x v="0"/>
    <x v="2"/>
    <n v="199"/>
    <n v="8"/>
    <n v="1592"/>
    <n v="0"/>
  </r>
  <r>
    <s v="0623"/>
    <x v="328"/>
    <n v="14"/>
    <s v="Company N"/>
    <x v="5"/>
    <s v="Steve"/>
    <x v="3"/>
    <x v="2"/>
    <n v="199"/>
    <n v="0"/>
    <n v="0"/>
    <n v="0"/>
  </r>
  <r>
    <s v="0624"/>
    <x v="77"/>
    <n v="3"/>
    <s v="Company C"/>
    <x v="4"/>
    <s v="Sara"/>
    <x v="2"/>
    <x v="2"/>
    <n v="199"/>
    <n v="4"/>
    <n v="796"/>
    <n v="0"/>
  </r>
  <r>
    <s v="0631"/>
    <x v="464"/>
    <n v="13"/>
    <s v="Company M"/>
    <x v="3"/>
    <s v="Sara"/>
    <x v="3"/>
    <x v="2"/>
    <n v="199"/>
    <n v="4"/>
    <n v="796"/>
    <n v="0"/>
  </r>
  <r>
    <s v="0644"/>
    <x v="329"/>
    <n v="6"/>
    <s v="Company F"/>
    <x v="1"/>
    <s v="Steve"/>
    <x v="1"/>
    <x v="2"/>
    <n v="199"/>
    <n v="6"/>
    <n v="1194"/>
    <n v="0"/>
  </r>
  <r>
    <s v="0646"/>
    <x v="329"/>
    <n v="14"/>
    <s v="Company N"/>
    <x v="3"/>
    <s v="Sara"/>
    <x v="3"/>
    <x v="2"/>
    <n v="199"/>
    <n v="0"/>
    <n v="0"/>
    <n v="0"/>
  </r>
  <r>
    <s v="0648"/>
    <x v="329"/>
    <n v="8"/>
    <s v="Company H"/>
    <x v="7"/>
    <s v="Philip"/>
    <x v="1"/>
    <x v="2"/>
    <n v="199"/>
    <n v="1"/>
    <n v="199"/>
    <n v="0"/>
  </r>
  <r>
    <s v="0659"/>
    <x v="331"/>
    <n v="15"/>
    <s v="Company O"/>
    <x v="5"/>
    <s v="Steve"/>
    <x v="3"/>
    <x v="2"/>
    <n v="199"/>
    <n v="1"/>
    <n v="199"/>
    <n v="0"/>
  </r>
  <r>
    <s v="0670"/>
    <x v="85"/>
    <n v="2"/>
    <s v="Company B"/>
    <x v="2"/>
    <s v="Jeff"/>
    <x v="2"/>
    <x v="2"/>
    <n v="199"/>
    <n v="1"/>
    <n v="199"/>
    <n v="0"/>
  </r>
  <r>
    <s v="0685"/>
    <x v="86"/>
    <n v="11"/>
    <s v="Company K"/>
    <x v="5"/>
    <s v="Steve"/>
    <x v="3"/>
    <x v="2"/>
    <n v="199"/>
    <n v="4"/>
    <n v="796"/>
    <n v="0"/>
  </r>
  <r>
    <s v="0688"/>
    <x v="86"/>
    <n v="19"/>
    <s v="Company S"/>
    <x v="6"/>
    <s v="Jeff"/>
    <x v="0"/>
    <x v="2"/>
    <n v="199"/>
    <n v="5"/>
    <n v="995"/>
    <n v="0"/>
  </r>
  <r>
    <s v="0693"/>
    <x v="86"/>
    <n v="11"/>
    <s v="Company K"/>
    <x v="3"/>
    <s v="Sara"/>
    <x v="3"/>
    <x v="2"/>
    <n v="199"/>
    <n v="5"/>
    <n v="995"/>
    <n v="0"/>
  </r>
  <r>
    <s v="0696"/>
    <x v="465"/>
    <n v="3"/>
    <s v="Company C"/>
    <x v="4"/>
    <s v="Sara"/>
    <x v="2"/>
    <x v="2"/>
    <n v="199"/>
    <n v="8"/>
    <n v="1592"/>
    <n v="0"/>
  </r>
  <r>
    <s v="0699"/>
    <x v="466"/>
    <n v="5"/>
    <s v="Company E"/>
    <x v="4"/>
    <s v="Sara"/>
    <x v="2"/>
    <x v="2"/>
    <n v="199"/>
    <n v="3"/>
    <n v="597"/>
    <n v="0"/>
  </r>
  <r>
    <s v="0702"/>
    <x v="337"/>
    <n v="6"/>
    <s v="Company F"/>
    <x v="1"/>
    <s v="Steve"/>
    <x v="1"/>
    <x v="2"/>
    <n v="199"/>
    <n v="3"/>
    <n v="597"/>
    <n v="0"/>
  </r>
  <r>
    <s v="0707"/>
    <x v="337"/>
    <n v="10"/>
    <s v="Company J"/>
    <x v="1"/>
    <s v="Steve"/>
    <x v="1"/>
    <x v="2"/>
    <n v="199"/>
    <n v="1"/>
    <n v="199"/>
    <n v="0"/>
  </r>
  <r>
    <s v="0711"/>
    <x v="337"/>
    <n v="19"/>
    <s v="Company S"/>
    <x v="6"/>
    <s v="Jeff"/>
    <x v="0"/>
    <x v="2"/>
    <n v="199"/>
    <n v="1"/>
    <n v="199"/>
    <n v="0"/>
  </r>
  <r>
    <s v="0717"/>
    <x v="338"/>
    <n v="12"/>
    <s v="Company L"/>
    <x v="3"/>
    <s v="Sara"/>
    <x v="3"/>
    <x v="2"/>
    <n v="199"/>
    <n v="2"/>
    <n v="398"/>
    <n v="0"/>
  </r>
  <r>
    <s v="0729"/>
    <x v="340"/>
    <n v="6"/>
    <s v="Company F"/>
    <x v="1"/>
    <s v="Steve"/>
    <x v="1"/>
    <x v="2"/>
    <n v="199"/>
    <n v="7"/>
    <n v="1393"/>
    <n v="0"/>
  </r>
  <r>
    <s v="0740"/>
    <x v="467"/>
    <n v="19"/>
    <s v="Company S"/>
    <x v="0"/>
    <s v="Jeff"/>
    <x v="0"/>
    <x v="2"/>
    <n v="199"/>
    <n v="4"/>
    <n v="796"/>
    <n v="0"/>
  </r>
  <r>
    <s v="0747"/>
    <x v="468"/>
    <n v="6"/>
    <s v="Company F"/>
    <x v="7"/>
    <s v="Philip"/>
    <x v="1"/>
    <x v="2"/>
    <n v="199"/>
    <n v="3"/>
    <n v="597"/>
    <n v="0"/>
  </r>
  <r>
    <s v="0748"/>
    <x v="342"/>
    <n v="8"/>
    <s v="Company H"/>
    <x v="7"/>
    <s v="Philip"/>
    <x v="1"/>
    <x v="2"/>
    <n v="199"/>
    <n v="7"/>
    <n v="1393"/>
    <n v="0"/>
  </r>
  <r>
    <s v="0754"/>
    <x v="93"/>
    <n v="14"/>
    <s v="Company N"/>
    <x v="5"/>
    <s v="Steve"/>
    <x v="3"/>
    <x v="2"/>
    <n v="199"/>
    <n v="2"/>
    <n v="398"/>
    <n v="0"/>
  </r>
  <r>
    <s v="0755"/>
    <x v="93"/>
    <n v="20"/>
    <s v="Company T"/>
    <x v="6"/>
    <s v="Jeff"/>
    <x v="0"/>
    <x v="2"/>
    <n v="199"/>
    <n v="6"/>
    <n v="1194"/>
    <n v="0"/>
  </r>
  <r>
    <s v="0767"/>
    <x v="469"/>
    <n v="13"/>
    <s v="Company M"/>
    <x v="3"/>
    <s v="Sara"/>
    <x v="3"/>
    <x v="2"/>
    <n v="199"/>
    <n v="1"/>
    <n v="199"/>
    <n v="0"/>
  </r>
  <r>
    <s v="0784"/>
    <x v="99"/>
    <n v="2"/>
    <s v="Company B"/>
    <x v="2"/>
    <s v="Jeff"/>
    <x v="2"/>
    <x v="2"/>
    <n v="199"/>
    <n v="5"/>
    <n v="995"/>
    <n v="0"/>
  </r>
  <r>
    <s v="0788"/>
    <x v="470"/>
    <n v="14"/>
    <s v="Company N"/>
    <x v="5"/>
    <s v="Steve"/>
    <x v="3"/>
    <x v="2"/>
    <n v="199"/>
    <n v="6"/>
    <n v="1194"/>
    <n v="0"/>
  </r>
  <r>
    <s v="0794"/>
    <x v="101"/>
    <n v="11"/>
    <s v="Company K"/>
    <x v="3"/>
    <s v="Sara"/>
    <x v="3"/>
    <x v="2"/>
    <n v="199"/>
    <n v="8"/>
    <n v="1592"/>
    <n v="0"/>
  </r>
  <r>
    <s v="0795"/>
    <x v="101"/>
    <n v="13"/>
    <s v="Company M"/>
    <x v="5"/>
    <s v="Steve"/>
    <x v="3"/>
    <x v="2"/>
    <n v="199"/>
    <n v="9"/>
    <n v="1791"/>
    <n v="0"/>
  </r>
  <r>
    <s v="0803"/>
    <x v="102"/>
    <n v="17"/>
    <s v="Company Q"/>
    <x v="0"/>
    <s v="Jeff"/>
    <x v="0"/>
    <x v="2"/>
    <n v="199"/>
    <n v="5"/>
    <n v="995"/>
    <n v="0"/>
  </r>
  <r>
    <s v="0809"/>
    <x v="471"/>
    <n v="19"/>
    <s v="Company S"/>
    <x v="6"/>
    <s v="Jeff"/>
    <x v="0"/>
    <x v="2"/>
    <n v="199"/>
    <n v="9"/>
    <n v="1791"/>
    <n v="0"/>
  </r>
  <r>
    <s v="0828"/>
    <x v="472"/>
    <n v="5"/>
    <s v="Company E"/>
    <x v="2"/>
    <s v="Jeff"/>
    <x v="2"/>
    <x v="2"/>
    <n v="199"/>
    <n v="3"/>
    <n v="597"/>
    <n v="0"/>
  </r>
  <r>
    <s v="0831"/>
    <x v="343"/>
    <n v="1"/>
    <s v="Company A"/>
    <x v="2"/>
    <s v="Jeff"/>
    <x v="2"/>
    <x v="2"/>
    <n v="199"/>
    <n v="1"/>
    <n v="199"/>
    <n v="0"/>
  </r>
  <r>
    <s v="0837"/>
    <x v="473"/>
    <n v="3"/>
    <s v="Company C"/>
    <x v="4"/>
    <s v="Sara"/>
    <x v="2"/>
    <x v="2"/>
    <n v="199"/>
    <n v="6"/>
    <n v="1194"/>
    <n v="0"/>
  </r>
  <r>
    <s v="0842"/>
    <x v="345"/>
    <n v="12"/>
    <s v="Company L"/>
    <x v="5"/>
    <s v="Steve"/>
    <x v="3"/>
    <x v="2"/>
    <n v="199"/>
    <n v="4"/>
    <n v="796"/>
    <n v="0"/>
  </r>
  <r>
    <s v="0843"/>
    <x v="345"/>
    <n v="4"/>
    <s v="Company D"/>
    <x v="2"/>
    <s v="Jeff"/>
    <x v="2"/>
    <x v="2"/>
    <n v="199"/>
    <n v="7"/>
    <n v="1393"/>
    <n v="0"/>
  </r>
  <r>
    <s v="0846"/>
    <x v="112"/>
    <n v="8"/>
    <s v="Company H"/>
    <x v="1"/>
    <s v="Steve"/>
    <x v="1"/>
    <x v="2"/>
    <n v="199"/>
    <n v="8"/>
    <n v="1592"/>
    <n v="0"/>
  </r>
  <r>
    <s v="0849"/>
    <x v="112"/>
    <n v="4"/>
    <s v="Company D"/>
    <x v="2"/>
    <s v="Jeff"/>
    <x v="2"/>
    <x v="2"/>
    <n v="199"/>
    <n v="8"/>
    <n v="1592"/>
    <n v="0"/>
  </r>
  <r>
    <s v="0854"/>
    <x v="112"/>
    <n v="7"/>
    <s v="Company G"/>
    <x v="7"/>
    <s v="Philip"/>
    <x v="1"/>
    <x v="2"/>
    <n v="199"/>
    <n v="5"/>
    <n v="995"/>
    <n v="0"/>
  </r>
  <r>
    <s v="0860"/>
    <x v="113"/>
    <n v="6"/>
    <s v="Company F"/>
    <x v="1"/>
    <s v="Steve"/>
    <x v="1"/>
    <x v="2"/>
    <n v="199"/>
    <n v="8"/>
    <n v="1592"/>
    <n v="0"/>
  </r>
  <r>
    <s v="0863"/>
    <x v="348"/>
    <n v="16"/>
    <s v="Company P"/>
    <x v="6"/>
    <s v="Jeff"/>
    <x v="0"/>
    <x v="2"/>
    <n v="199"/>
    <n v="0"/>
    <n v="0"/>
    <n v="0"/>
  </r>
  <r>
    <s v="0867"/>
    <x v="474"/>
    <n v="7"/>
    <s v="Company G"/>
    <x v="1"/>
    <s v="Steve"/>
    <x v="1"/>
    <x v="2"/>
    <n v="199"/>
    <n v="6"/>
    <n v="1194"/>
    <n v="0"/>
  </r>
  <r>
    <s v="0873"/>
    <x v="349"/>
    <n v="20"/>
    <s v="Company T"/>
    <x v="6"/>
    <s v="Jeff"/>
    <x v="0"/>
    <x v="2"/>
    <n v="199"/>
    <n v="3"/>
    <n v="597"/>
    <n v="0"/>
  </r>
  <r>
    <s v="0879"/>
    <x v="350"/>
    <n v="20"/>
    <s v="Company T"/>
    <x v="0"/>
    <s v="Jeff"/>
    <x v="0"/>
    <x v="2"/>
    <n v="199"/>
    <n v="1"/>
    <n v="199"/>
    <n v="0"/>
  </r>
  <r>
    <s v="0880"/>
    <x v="350"/>
    <n v="6"/>
    <s v="Company F"/>
    <x v="7"/>
    <s v="Philip"/>
    <x v="1"/>
    <x v="2"/>
    <n v="199"/>
    <n v="7"/>
    <n v="1393"/>
    <n v="0"/>
  </r>
  <r>
    <s v="0883"/>
    <x v="351"/>
    <n v="3"/>
    <s v="Company C"/>
    <x v="4"/>
    <s v="Sara"/>
    <x v="2"/>
    <x v="2"/>
    <n v="199"/>
    <n v="5"/>
    <n v="995"/>
    <n v="0"/>
  </r>
  <r>
    <s v="0888"/>
    <x v="352"/>
    <n v="15"/>
    <s v="Company O"/>
    <x v="3"/>
    <s v="Sara"/>
    <x v="3"/>
    <x v="2"/>
    <n v="199"/>
    <n v="3"/>
    <n v="597"/>
    <n v="0"/>
  </r>
  <r>
    <s v="0889"/>
    <x v="353"/>
    <n v="20"/>
    <s v="Company T"/>
    <x v="6"/>
    <s v="Jeff"/>
    <x v="0"/>
    <x v="2"/>
    <n v="199"/>
    <n v="3"/>
    <n v="597"/>
    <n v="0"/>
  </r>
  <r>
    <s v="0891"/>
    <x v="353"/>
    <n v="4"/>
    <s v="Company D"/>
    <x v="2"/>
    <s v="Jeff"/>
    <x v="2"/>
    <x v="2"/>
    <n v="199"/>
    <n v="9"/>
    <n v="1791"/>
    <n v="0"/>
  </r>
  <r>
    <s v="0895"/>
    <x v="116"/>
    <n v="9"/>
    <s v="Company I"/>
    <x v="7"/>
    <s v="Philip"/>
    <x v="1"/>
    <x v="2"/>
    <n v="199"/>
    <n v="2"/>
    <n v="398"/>
    <n v="0"/>
  </r>
  <r>
    <s v="0896"/>
    <x v="116"/>
    <n v="6"/>
    <s v="Company F"/>
    <x v="1"/>
    <s v="Steve"/>
    <x v="1"/>
    <x v="2"/>
    <n v="199"/>
    <n v="8"/>
    <n v="1592"/>
    <n v="0"/>
  </r>
  <r>
    <s v="0898"/>
    <x v="116"/>
    <n v="17"/>
    <s v="Company Q"/>
    <x v="0"/>
    <s v="Jeff"/>
    <x v="0"/>
    <x v="2"/>
    <n v="199"/>
    <n v="2"/>
    <n v="398"/>
    <n v="0"/>
  </r>
  <r>
    <s v="0899"/>
    <x v="475"/>
    <n v="1"/>
    <s v="Company A"/>
    <x v="4"/>
    <s v="Sara"/>
    <x v="2"/>
    <x v="2"/>
    <n v="199"/>
    <n v="4"/>
    <n v="796"/>
    <n v="0"/>
  </r>
  <r>
    <s v="0906"/>
    <x v="355"/>
    <n v="19"/>
    <s v="Company S"/>
    <x v="6"/>
    <s v="Jeff"/>
    <x v="0"/>
    <x v="2"/>
    <n v="199"/>
    <n v="5"/>
    <n v="995"/>
    <n v="0"/>
  </r>
  <r>
    <s v="0907"/>
    <x v="356"/>
    <n v="10"/>
    <s v="Company J"/>
    <x v="7"/>
    <s v="Philip"/>
    <x v="1"/>
    <x v="2"/>
    <n v="199"/>
    <n v="1"/>
    <n v="199"/>
    <n v="0"/>
  </r>
  <r>
    <s v="0910"/>
    <x v="357"/>
    <n v="19"/>
    <s v="Company S"/>
    <x v="6"/>
    <s v="Jeff"/>
    <x v="0"/>
    <x v="2"/>
    <n v="199"/>
    <n v="3"/>
    <n v="597"/>
    <n v="0"/>
  </r>
  <r>
    <s v="0913"/>
    <x v="357"/>
    <n v="9"/>
    <s v="Company I"/>
    <x v="1"/>
    <s v="Steve"/>
    <x v="1"/>
    <x v="2"/>
    <n v="199"/>
    <n v="5"/>
    <n v="995"/>
    <n v="0"/>
  </r>
  <r>
    <s v="0920"/>
    <x v="119"/>
    <n v="2"/>
    <s v="Company B"/>
    <x v="4"/>
    <s v="Sara"/>
    <x v="2"/>
    <x v="2"/>
    <n v="199"/>
    <n v="3"/>
    <n v="597"/>
    <n v="0"/>
  </r>
  <r>
    <s v="0925"/>
    <x v="120"/>
    <n v="12"/>
    <s v="Company L"/>
    <x v="3"/>
    <s v="Sara"/>
    <x v="3"/>
    <x v="2"/>
    <n v="199"/>
    <n v="7"/>
    <n v="1393"/>
    <n v="0"/>
  </r>
  <r>
    <s v="0926"/>
    <x v="476"/>
    <n v="1"/>
    <s v="Company A"/>
    <x v="4"/>
    <s v="Sara"/>
    <x v="2"/>
    <x v="2"/>
    <n v="199"/>
    <n v="0"/>
    <n v="0"/>
    <n v="0"/>
  </r>
  <r>
    <s v="0927"/>
    <x v="476"/>
    <n v="8"/>
    <s v="Company H"/>
    <x v="1"/>
    <s v="Steve"/>
    <x v="1"/>
    <x v="2"/>
    <n v="199"/>
    <n v="8"/>
    <n v="1592"/>
    <n v="0"/>
  </r>
  <r>
    <s v="0930"/>
    <x v="476"/>
    <n v="10"/>
    <s v="Company J"/>
    <x v="1"/>
    <s v="Steve"/>
    <x v="1"/>
    <x v="2"/>
    <n v="199"/>
    <n v="3"/>
    <n v="597"/>
    <n v="0"/>
  </r>
  <r>
    <s v="0932"/>
    <x v="477"/>
    <n v="5"/>
    <s v="Company E"/>
    <x v="4"/>
    <s v="Sara"/>
    <x v="2"/>
    <x v="2"/>
    <n v="199"/>
    <n v="6"/>
    <n v="1194"/>
    <n v="0"/>
  </r>
  <r>
    <s v="0940"/>
    <x v="122"/>
    <n v="5"/>
    <s v="Company E"/>
    <x v="2"/>
    <s v="Jeff"/>
    <x v="2"/>
    <x v="2"/>
    <n v="199"/>
    <n v="5"/>
    <n v="995"/>
    <n v="0"/>
  </r>
  <r>
    <s v="0945"/>
    <x v="478"/>
    <n v="17"/>
    <s v="Company Q"/>
    <x v="0"/>
    <s v="Jeff"/>
    <x v="0"/>
    <x v="2"/>
    <n v="199"/>
    <n v="5"/>
    <n v="995"/>
    <n v="0"/>
  </r>
  <r>
    <s v="0946"/>
    <x v="479"/>
    <n v="1"/>
    <s v="Company A"/>
    <x v="2"/>
    <s v="Jeff"/>
    <x v="2"/>
    <x v="2"/>
    <n v="199"/>
    <n v="1"/>
    <n v="199"/>
    <n v="0"/>
  </r>
  <r>
    <s v="0948"/>
    <x v="479"/>
    <n v="9"/>
    <s v="Company I"/>
    <x v="1"/>
    <s v="Steve"/>
    <x v="1"/>
    <x v="2"/>
    <n v="199"/>
    <n v="5"/>
    <n v="995"/>
    <n v="0"/>
  </r>
  <r>
    <s v="0951"/>
    <x v="125"/>
    <n v="17"/>
    <s v="Company Q"/>
    <x v="0"/>
    <s v="Jeff"/>
    <x v="0"/>
    <x v="2"/>
    <n v="199"/>
    <n v="1"/>
    <n v="199"/>
    <n v="0"/>
  </r>
  <r>
    <s v="0953"/>
    <x v="125"/>
    <n v="3"/>
    <s v="Company C"/>
    <x v="4"/>
    <s v="Sara"/>
    <x v="2"/>
    <x v="2"/>
    <n v="199"/>
    <n v="1"/>
    <n v="199"/>
    <n v="0"/>
  </r>
  <r>
    <s v="0954"/>
    <x v="125"/>
    <n v="4"/>
    <s v="Company D"/>
    <x v="2"/>
    <s v="Jeff"/>
    <x v="2"/>
    <x v="2"/>
    <n v="199"/>
    <n v="8"/>
    <n v="1592"/>
    <n v="0"/>
  </r>
  <r>
    <s v="0955"/>
    <x v="480"/>
    <n v="10"/>
    <s v="Company J"/>
    <x v="7"/>
    <s v="Philip"/>
    <x v="1"/>
    <x v="2"/>
    <n v="199"/>
    <n v="0"/>
    <n v="0"/>
    <n v="0"/>
  </r>
  <r>
    <s v="0965"/>
    <x v="126"/>
    <n v="2"/>
    <s v="Company B"/>
    <x v="4"/>
    <s v="Sara"/>
    <x v="2"/>
    <x v="2"/>
    <n v="199"/>
    <n v="7"/>
    <n v="1393"/>
    <n v="0"/>
  </r>
  <r>
    <s v="0971"/>
    <x v="481"/>
    <n v="14"/>
    <s v="Company N"/>
    <x v="5"/>
    <s v="Steve"/>
    <x v="3"/>
    <x v="2"/>
    <n v="199"/>
    <n v="0"/>
    <n v="0"/>
    <n v="0"/>
  </r>
  <r>
    <s v="0977"/>
    <x v="482"/>
    <n v="5"/>
    <s v="Company E"/>
    <x v="4"/>
    <s v="Sara"/>
    <x v="2"/>
    <x v="2"/>
    <n v="199"/>
    <n v="9"/>
    <n v="1791"/>
    <n v="0"/>
  </r>
  <r>
    <s v="0982"/>
    <x v="131"/>
    <n v="8"/>
    <s v="Company H"/>
    <x v="1"/>
    <s v="Steve"/>
    <x v="1"/>
    <x v="2"/>
    <n v="199"/>
    <n v="1"/>
    <n v="199"/>
    <n v="0"/>
  </r>
  <r>
    <s v="0987"/>
    <x v="132"/>
    <n v="8"/>
    <s v="Company H"/>
    <x v="7"/>
    <s v="Philip"/>
    <x v="1"/>
    <x v="2"/>
    <n v="199"/>
    <n v="7"/>
    <n v="1393"/>
    <n v="0"/>
  </r>
  <r>
    <s v="0988"/>
    <x v="132"/>
    <n v="17"/>
    <s v="Company Q"/>
    <x v="6"/>
    <s v="Jeff"/>
    <x v="0"/>
    <x v="2"/>
    <n v="199"/>
    <n v="2"/>
    <n v="398"/>
    <n v="0"/>
  </r>
  <r>
    <s v="0992"/>
    <x v="133"/>
    <n v="19"/>
    <s v="Company S"/>
    <x v="0"/>
    <s v="Jeff"/>
    <x v="0"/>
    <x v="2"/>
    <n v="199"/>
    <n v="8"/>
    <n v="1592"/>
    <n v="0"/>
  </r>
  <r>
    <s v="0996"/>
    <x v="483"/>
    <n v="7"/>
    <s v="Company G"/>
    <x v="7"/>
    <s v="Philip"/>
    <x v="1"/>
    <x v="2"/>
    <n v="199"/>
    <n v="0"/>
    <n v="0"/>
    <n v="0"/>
  </r>
  <r>
    <s v="0997"/>
    <x v="483"/>
    <n v="13"/>
    <s v="Company M"/>
    <x v="5"/>
    <s v="Steve"/>
    <x v="3"/>
    <x v="2"/>
    <n v="199"/>
    <n v="9"/>
    <n v="1791"/>
    <n v="0"/>
  </r>
  <r>
    <s v="0998"/>
    <x v="484"/>
    <n v="14"/>
    <s v="Company N"/>
    <x v="5"/>
    <s v="Steve"/>
    <x v="3"/>
    <x v="2"/>
    <n v="199"/>
    <n v="5"/>
    <n v="995"/>
    <n v="0"/>
  </r>
  <r>
    <s v="0999"/>
    <x v="485"/>
    <n v="2"/>
    <s v="Company B"/>
    <x v="2"/>
    <s v="Jeff"/>
    <x v="2"/>
    <x v="2"/>
    <n v="199"/>
    <n v="3"/>
    <n v="597"/>
    <n v="0"/>
  </r>
  <r>
    <s v="1000"/>
    <x v="486"/>
    <n v="1"/>
    <s v="Company A"/>
    <x v="4"/>
    <s v="Sara"/>
    <x v="2"/>
    <x v="2"/>
    <n v="199"/>
    <n v="7"/>
    <n v="1393"/>
    <n v="0"/>
  </r>
  <r>
    <s v="1002"/>
    <x v="360"/>
    <n v="2"/>
    <s v="Company B"/>
    <x v="4"/>
    <s v="Sara"/>
    <x v="2"/>
    <x v="2"/>
    <n v="199"/>
    <n v="2"/>
    <n v="398"/>
    <n v="0"/>
  </r>
  <r>
    <s v="1004"/>
    <x v="360"/>
    <n v="17"/>
    <s v="Company Q"/>
    <x v="6"/>
    <s v="Jeff"/>
    <x v="0"/>
    <x v="2"/>
    <n v="199"/>
    <n v="9"/>
    <n v="1791"/>
    <n v="0"/>
  </r>
  <r>
    <s v="1005"/>
    <x v="360"/>
    <n v="10"/>
    <s v="Company J"/>
    <x v="7"/>
    <s v="Philip"/>
    <x v="1"/>
    <x v="2"/>
    <n v="199"/>
    <n v="1"/>
    <n v="199"/>
    <n v="0"/>
  </r>
  <r>
    <s v="1007"/>
    <x v="360"/>
    <n v="6"/>
    <s v="Company F"/>
    <x v="7"/>
    <s v="Philip"/>
    <x v="1"/>
    <x v="2"/>
    <n v="199"/>
    <n v="7"/>
    <n v="1393"/>
    <n v="0"/>
  </r>
  <r>
    <s v="1010"/>
    <x v="361"/>
    <n v="1"/>
    <s v="Company A"/>
    <x v="2"/>
    <s v="Jeff"/>
    <x v="2"/>
    <x v="2"/>
    <n v="199"/>
    <n v="2"/>
    <n v="398"/>
    <n v="0"/>
  </r>
  <r>
    <s v="1014"/>
    <x v="487"/>
    <n v="2"/>
    <s v="Company B"/>
    <x v="4"/>
    <s v="Sara"/>
    <x v="2"/>
    <x v="2"/>
    <n v="199"/>
    <n v="6"/>
    <n v="1194"/>
    <n v="0"/>
  </r>
  <r>
    <s v="1017"/>
    <x v="135"/>
    <n v="12"/>
    <s v="Company L"/>
    <x v="3"/>
    <s v="Sara"/>
    <x v="3"/>
    <x v="2"/>
    <n v="199"/>
    <n v="4"/>
    <n v="796"/>
    <n v="0"/>
  </r>
  <r>
    <s v="1025"/>
    <x v="138"/>
    <n v="2"/>
    <s v="Company B"/>
    <x v="4"/>
    <s v="Sara"/>
    <x v="2"/>
    <x v="2"/>
    <n v="199"/>
    <n v="9"/>
    <n v="1791"/>
    <n v="0"/>
  </r>
  <r>
    <s v="1032"/>
    <x v="138"/>
    <n v="13"/>
    <s v="Company M"/>
    <x v="3"/>
    <s v="Sara"/>
    <x v="3"/>
    <x v="2"/>
    <n v="199"/>
    <n v="7"/>
    <n v="1393"/>
    <n v="0"/>
  </r>
  <r>
    <s v="1038"/>
    <x v="139"/>
    <n v="17"/>
    <s v="Company Q"/>
    <x v="0"/>
    <s v="Jeff"/>
    <x v="0"/>
    <x v="2"/>
    <n v="199"/>
    <n v="3"/>
    <n v="597"/>
    <n v="0"/>
  </r>
  <r>
    <s v="1040"/>
    <x v="140"/>
    <n v="7"/>
    <s v="Company G"/>
    <x v="1"/>
    <s v="Steve"/>
    <x v="1"/>
    <x v="2"/>
    <n v="199"/>
    <n v="5"/>
    <n v="995"/>
    <n v="0"/>
  </r>
  <r>
    <s v="1057"/>
    <x v="143"/>
    <n v="8"/>
    <s v="Company H"/>
    <x v="1"/>
    <s v="Steve"/>
    <x v="1"/>
    <x v="2"/>
    <n v="199"/>
    <n v="3"/>
    <n v="597"/>
    <n v="0"/>
  </r>
  <r>
    <s v="1069"/>
    <x v="488"/>
    <n v="4"/>
    <s v="Company D"/>
    <x v="2"/>
    <s v="Jeff"/>
    <x v="2"/>
    <x v="2"/>
    <n v="199"/>
    <n v="2"/>
    <n v="398"/>
    <n v="0"/>
  </r>
  <r>
    <s v="1070"/>
    <x v="488"/>
    <n v="14"/>
    <s v="Company N"/>
    <x v="3"/>
    <s v="Sara"/>
    <x v="3"/>
    <x v="2"/>
    <n v="199"/>
    <n v="3"/>
    <n v="597"/>
    <n v="0"/>
  </r>
  <r>
    <s v="1071"/>
    <x v="488"/>
    <n v="4"/>
    <s v="Company D"/>
    <x v="2"/>
    <s v="Jeff"/>
    <x v="2"/>
    <x v="2"/>
    <n v="199"/>
    <n v="5"/>
    <n v="995"/>
    <n v="0"/>
  </r>
  <r>
    <s v="1084"/>
    <x v="148"/>
    <n v="2"/>
    <s v="Company B"/>
    <x v="2"/>
    <s v="Jeff"/>
    <x v="2"/>
    <x v="2"/>
    <n v="199"/>
    <n v="4"/>
    <n v="796"/>
    <n v="0"/>
  </r>
  <r>
    <s v="1085"/>
    <x v="148"/>
    <n v="5"/>
    <s v="Company E"/>
    <x v="4"/>
    <s v="Sara"/>
    <x v="2"/>
    <x v="2"/>
    <n v="199"/>
    <n v="9"/>
    <n v="1791"/>
    <n v="0"/>
  </r>
  <r>
    <s v="1098"/>
    <x v="150"/>
    <n v="10"/>
    <s v="Company J"/>
    <x v="7"/>
    <s v="Philip"/>
    <x v="1"/>
    <x v="2"/>
    <n v="199"/>
    <n v="3"/>
    <n v="597"/>
    <n v="0"/>
  </r>
  <r>
    <s v="1104"/>
    <x v="150"/>
    <n v="12"/>
    <s v="Company L"/>
    <x v="5"/>
    <s v="Steve"/>
    <x v="3"/>
    <x v="2"/>
    <n v="199"/>
    <n v="2"/>
    <n v="398"/>
    <n v="0"/>
  </r>
  <r>
    <s v="1107"/>
    <x v="150"/>
    <n v="7"/>
    <s v="Company G"/>
    <x v="1"/>
    <s v="Steve"/>
    <x v="1"/>
    <x v="2"/>
    <n v="199"/>
    <n v="9"/>
    <n v="1791"/>
    <n v="0"/>
  </r>
  <r>
    <s v="1115"/>
    <x v="151"/>
    <n v="20"/>
    <s v="Company T"/>
    <x v="0"/>
    <s v="Jeff"/>
    <x v="0"/>
    <x v="2"/>
    <n v="199"/>
    <n v="1"/>
    <n v="199"/>
    <n v="0"/>
  </r>
  <r>
    <s v="1119"/>
    <x v="151"/>
    <n v="10"/>
    <s v="Company J"/>
    <x v="7"/>
    <s v="Philip"/>
    <x v="1"/>
    <x v="2"/>
    <n v="199"/>
    <n v="6"/>
    <n v="1194"/>
    <n v="0"/>
  </r>
  <r>
    <s v="1127"/>
    <x v="373"/>
    <n v="17"/>
    <s v="Company Q"/>
    <x v="0"/>
    <s v="Jeff"/>
    <x v="0"/>
    <x v="2"/>
    <n v="199"/>
    <n v="9"/>
    <n v="1791"/>
    <n v="0"/>
  </r>
  <r>
    <s v="1130"/>
    <x v="374"/>
    <n v="18"/>
    <s v="Company R"/>
    <x v="0"/>
    <s v="Jeff"/>
    <x v="0"/>
    <x v="2"/>
    <n v="199"/>
    <n v="8"/>
    <n v="1592"/>
    <n v="0"/>
  </r>
  <r>
    <s v="1132"/>
    <x v="374"/>
    <n v="17"/>
    <s v="Company Q"/>
    <x v="6"/>
    <s v="Jeff"/>
    <x v="0"/>
    <x v="2"/>
    <n v="199"/>
    <n v="3"/>
    <n v="597"/>
    <n v="0"/>
  </r>
  <r>
    <s v="1146"/>
    <x v="489"/>
    <n v="4"/>
    <s v="Company D"/>
    <x v="2"/>
    <s v="Jeff"/>
    <x v="2"/>
    <x v="2"/>
    <n v="199"/>
    <n v="8"/>
    <n v="1592"/>
    <n v="0"/>
  </r>
  <r>
    <s v="1148"/>
    <x v="490"/>
    <n v="19"/>
    <s v="Company S"/>
    <x v="0"/>
    <s v="Jeff"/>
    <x v="0"/>
    <x v="2"/>
    <n v="199"/>
    <n v="0"/>
    <n v="0"/>
    <n v="0"/>
  </r>
  <r>
    <s v="1158"/>
    <x v="377"/>
    <n v="17"/>
    <s v="Company Q"/>
    <x v="6"/>
    <s v="Jeff"/>
    <x v="0"/>
    <x v="2"/>
    <n v="199"/>
    <n v="6"/>
    <n v="1194"/>
    <n v="0"/>
  </r>
  <r>
    <s v="1160"/>
    <x v="378"/>
    <n v="20"/>
    <s v="Company T"/>
    <x v="0"/>
    <s v="Jeff"/>
    <x v="0"/>
    <x v="2"/>
    <n v="199"/>
    <n v="0"/>
    <n v="0"/>
    <n v="0"/>
  </r>
  <r>
    <s v="1162"/>
    <x v="378"/>
    <n v="15"/>
    <s v="Company O"/>
    <x v="5"/>
    <s v="Steve"/>
    <x v="3"/>
    <x v="2"/>
    <n v="199"/>
    <n v="7"/>
    <n v="1393"/>
    <n v="0"/>
  </r>
  <r>
    <s v="1163"/>
    <x v="379"/>
    <n v="17"/>
    <s v="Company Q"/>
    <x v="0"/>
    <s v="Jeff"/>
    <x v="0"/>
    <x v="2"/>
    <n v="199"/>
    <n v="0"/>
    <n v="0"/>
    <n v="0"/>
  </r>
  <r>
    <s v="1165"/>
    <x v="379"/>
    <n v="6"/>
    <s v="Company F"/>
    <x v="7"/>
    <s v="Philip"/>
    <x v="1"/>
    <x v="2"/>
    <n v="199"/>
    <n v="1"/>
    <n v="199"/>
    <n v="0"/>
  </r>
  <r>
    <s v="1171"/>
    <x v="491"/>
    <n v="14"/>
    <s v="Company N"/>
    <x v="3"/>
    <s v="Sara"/>
    <x v="3"/>
    <x v="2"/>
    <n v="199"/>
    <n v="7"/>
    <n v="1393"/>
    <n v="0"/>
  </r>
  <r>
    <s v="1173"/>
    <x v="491"/>
    <n v="6"/>
    <s v="Company F"/>
    <x v="1"/>
    <s v="Steve"/>
    <x v="1"/>
    <x v="2"/>
    <n v="199"/>
    <n v="2"/>
    <n v="398"/>
    <n v="0"/>
  </r>
  <r>
    <s v="1174"/>
    <x v="492"/>
    <n v="11"/>
    <s v="Company K"/>
    <x v="3"/>
    <s v="Sara"/>
    <x v="3"/>
    <x v="2"/>
    <n v="199"/>
    <n v="6"/>
    <n v="1194"/>
    <n v="0"/>
  </r>
  <r>
    <s v="1177"/>
    <x v="158"/>
    <n v="5"/>
    <s v="Company E"/>
    <x v="4"/>
    <s v="Sara"/>
    <x v="2"/>
    <x v="2"/>
    <n v="199"/>
    <n v="9"/>
    <n v="1791"/>
    <n v="0"/>
  </r>
  <r>
    <s v="1184"/>
    <x v="159"/>
    <n v="15"/>
    <s v="Company O"/>
    <x v="5"/>
    <s v="Steve"/>
    <x v="3"/>
    <x v="2"/>
    <n v="199"/>
    <n v="3"/>
    <n v="597"/>
    <n v="0"/>
  </r>
  <r>
    <s v="1197"/>
    <x v="493"/>
    <n v="6"/>
    <s v="Company F"/>
    <x v="7"/>
    <s v="Philip"/>
    <x v="1"/>
    <x v="2"/>
    <n v="199"/>
    <n v="2"/>
    <n v="398"/>
    <n v="0"/>
  </r>
  <r>
    <s v="1210"/>
    <x v="162"/>
    <n v="11"/>
    <s v="Company K"/>
    <x v="5"/>
    <s v="Steve"/>
    <x v="3"/>
    <x v="2"/>
    <n v="199"/>
    <n v="7"/>
    <n v="1393"/>
    <n v="0"/>
  </r>
  <r>
    <s v="1224"/>
    <x v="164"/>
    <n v="4"/>
    <s v="Company D"/>
    <x v="2"/>
    <s v="Jeff"/>
    <x v="2"/>
    <x v="2"/>
    <n v="199"/>
    <n v="5"/>
    <n v="995"/>
    <n v="0"/>
  </r>
  <r>
    <s v="1229"/>
    <x v="165"/>
    <n v="12"/>
    <s v="Company L"/>
    <x v="5"/>
    <s v="Steve"/>
    <x v="3"/>
    <x v="2"/>
    <n v="199"/>
    <n v="4"/>
    <n v="796"/>
    <n v="0"/>
  </r>
  <r>
    <s v="1240"/>
    <x v="494"/>
    <n v="12"/>
    <s v="Company L"/>
    <x v="3"/>
    <s v="Sara"/>
    <x v="3"/>
    <x v="2"/>
    <n v="199"/>
    <n v="3"/>
    <n v="597"/>
    <n v="0"/>
  </r>
  <r>
    <s v="1245"/>
    <x v="167"/>
    <n v="8"/>
    <s v="Company H"/>
    <x v="7"/>
    <s v="Philip"/>
    <x v="1"/>
    <x v="2"/>
    <n v="199"/>
    <n v="0"/>
    <n v="0"/>
    <n v="0"/>
  </r>
  <r>
    <s v="1251"/>
    <x v="167"/>
    <n v="3"/>
    <s v="Company C"/>
    <x v="4"/>
    <s v="Sara"/>
    <x v="2"/>
    <x v="2"/>
    <n v="199"/>
    <n v="1"/>
    <n v="199"/>
    <n v="0"/>
  </r>
  <r>
    <s v="1254"/>
    <x v="168"/>
    <n v="15"/>
    <s v="Company O"/>
    <x v="3"/>
    <s v="Sara"/>
    <x v="3"/>
    <x v="2"/>
    <n v="199"/>
    <n v="8"/>
    <n v="1592"/>
    <n v="0"/>
  </r>
  <r>
    <s v="1260"/>
    <x v="169"/>
    <n v="8"/>
    <s v="Company H"/>
    <x v="1"/>
    <s v="Steve"/>
    <x v="1"/>
    <x v="2"/>
    <n v="199"/>
    <n v="3"/>
    <n v="597"/>
    <n v="0"/>
  </r>
  <r>
    <s v="1261"/>
    <x v="495"/>
    <n v="5"/>
    <s v="Company E"/>
    <x v="4"/>
    <s v="Sara"/>
    <x v="2"/>
    <x v="2"/>
    <n v="199"/>
    <n v="5"/>
    <n v="995"/>
    <n v="0"/>
  </r>
  <r>
    <s v="1266"/>
    <x v="496"/>
    <n v="8"/>
    <s v="Company H"/>
    <x v="1"/>
    <s v="Steve"/>
    <x v="1"/>
    <x v="2"/>
    <n v="199"/>
    <n v="7"/>
    <n v="1393"/>
    <n v="0"/>
  </r>
  <r>
    <s v="1267"/>
    <x v="496"/>
    <n v="17"/>
    <s v="Company Q"/>
    <x v="6"/>
    <s v="Jeff"/>
    <x v="0"/>
    <x v="2"/>
    <n v="199"/>
    <n v="9"/>
    <n v="1791"/>
    <n v="0"/>
  </r>
  <r>
    <s v="1271"/>
    <x v="497"/>
    <n v="16"/>
    <s v="Company P"/>
    <x v="6"/>
    <s v="Jeff"/>
    <x v="0"/>
    <x v="2"/>
    <n v="199"/>
    <n v="1"/>
    <n v="199"/>
    <n v="0"/>
  </r>
  <r>
    <s v="1273"/>
    <x v="173"/>
    <n v="20"/>
    <s v="Company T"/>
    <x v="0"/>
    <s v="Jeff"/>
    <x v="0"/>
    <x v="2"/>
    <n v="199"/>
    <n v="5"/>
    <n v="995"/>
    <n v="0"/>
  </r>
  <r>
    <s v="1281"/>
    <x v="174"/>
    <n v="19"/>
    <s v="Company S"/>
    <x v="6"/>
    <s v="Jeff"/>
    <x v="0"/>
    <x v="2"/>
    <n v="199"/>
    <n v="0"/>
    <n v="0"/>
    <n v="0"/>
  </r>
  <r>
    <s v="1284"/>
    <x v="174"/>
    <n v="8"/>
    <s v="Company H"/>
    <x v="1"/>
    <s v="Steve"/>
    <x v="1"/>
    <x v="2"/>
    <n v="199"/>
    <n v="5"/>
    <n v="995"/>
    <n v="0"/>
  </r>
  <r>
    <s v="1288"/>
    <x v="174"/>
    <n v="7"/>
    <s v="Company G"/>
    <x v="1"/>
    <s v="Steve"/>
    <x v="1"/>
    <x v="2"/>
    <n v="199"/>
    <n v="1"/>
    <n v="199"/>
    <n v="0"/>
  </r>
  <r>
    <s v="1289"/>
    <x v="174"/>
    <n v="17"/>
    <s v="Company Q"/>
    <x v="0"/>
    <s v="Jeff"/>
    <x v="0"/>
    <x v="2"/>
    <n v="199"/>
    <n v="4"/>
    <n v="796"/>
    <n v="0"/>
  </r>
  <r>
    <s v="1292"/>
    <x v="391"/>
    <n v="2"/>
    <s v="Company B"/>
    <x v="2"/>
    <s v="Jeff"/>
    <x v="2"/>
    <x v="2"/>
    <n v="199"/>
    <n v="3"/>
    <n v="597"/>
    <n v="0"/>
  </r>
  <r>
    <s v="1299"/>
    <x v="176"/>
    <n v="16"/>
    <s v="Company P"/>
    <x v="0"/>
    <s v="Jeff"/>
    <x v="0"/>
    <x v="2"/>
    <n v="199"/>
    <n v="2"/>
    <n v="398"/>
    <n v="0"/>
  </r>
  <r>
    <s v="1301"/>
    <x v="176"/>
    <n v="3"/>
    <s v="Company C"/>
    <x v="4"/>
    <s v="Sara"/>
    <x v="2"/>
    <x v="2"/>
    <n v="199"/>
    <n v="9"/>
    <n v="1791"/>
    <n v="0"/>
  </r>
  <r>
    <s v="1305"/>
    <x v="177"/>
    <n v="6"/>
    <s v="Company F"/>
    <x v="1"/>
    <s v="Steve"/>
    <x v="1"/>
    <x v="2"/>
    <n v="199"/>
    <n v="8"/>
    <n v="1592"/>
    <n v="0"/>
  </r>
  <r>
    <s v="1314"/>
    <x v="179"/>
    <n v="11"/>
    <s v="Company K"/>
    <x v="3"/>
    <s v="Sara"/>
    <x v="3"/>
    <x v="2"/>
    <n v="199"/>
    <n v="9"/>
    <n v="1791"/>
    <n v="0"/>
  </r>
  <r>
    <s v="1319"/>
    <x v="498"/>
    <n v="11"/>
    <s v="Company K"/>
    <x v="5"/>
    <s v="Steve"/>
    <x v="3"/>
    <x v="2"/>
    <n v="199"/>
    <n v="9"/>
    <n v="1791"/>
    <n v="0"/>
  </r>
  <r>
    <s v="1327"/>
    <x v="181"/>
    <n v="3"/>
    <s v="Company C"/>
    <x v="2"/>
    <s v="Jeff"/>
    <x v="2"/>
    <x v="2"/>
    <n v="199"/>
    <n v="6"/>
    <n v="1194"/>
    <n v="0"/>
  </r>
  <r>
    <s v="1333"/>
    <x v="183"/>
    <n v="16"/>
    <s v="Company P"/>
    <x v="0"/>
    <s v="Jeff"/>
    <x v="0"/>
    <x v="2"/>
    <n v="199"/>
    <n v="5"/>
    <n v="995"/>
    <n v="0"/>
  </r>
  <r>
    <s v="1340"/>
    <x v="184"/>
    <n v="2"/>
    <s v="Company B"/>
    <x v="2"/>
    <s v="Jeff"/>
    <x v="2"/>
    <x v="2"/>
    <n v="199"/>
    <n v="7"/>
    <n v="1393"/>
    <n v="0"/>
  </r>
  <r>
    <s v="1343"/>
    <x v="184"/>
    <n v="4"/>
    <s v="Company D"/>
    <x v="4"/>
    <s v="Sara"/>
    <x v="2"/>
    <x v="2"/>
    <n v="199"/>
    <n v="1"/>
    <n v="199"/>
    <n v="0"/>
  </r>
  <r>
    <s v="1344"/>
    <x v="184"/>
    <n v="6"/>
    <s v="Company F"/>
    <x v="7"/>
    <s v="Philip"/>
    <x v="1"/>
    <x v="2"/>
    <n v="199"/>
    <n v="0"/>
    <n v="0"/>
    <n v="0"/>
  </r>
  <r>
    <s v="1348"/>
    <x v="499"/>
    <n v="4"/>
    <s v="Company D"/>
    <x v="4"/>
    <s v="Sara"/>
    <x v="2"/>
    <x v="2"/>
    <n v="199"/>
    <n v="6"/>
    <n v="1194"/>
    <n v="0"/>
  </r>
  <r>
    <s v="1349"/>
    <x v="499"/>
    <n v="19"/>
    <s v="Company S"/>
    <x v="0"/>
    <s v="Jeff"/>
    <x v="0"/>
    <x v="2"/>
    <n v="199"/>
    <n v="4"/>
    <n v="796"/>
    <n v="0"/>
  </r>
  <r>
    <s v="1350"/>
    <x v="499"/>
    <n v="8"/>
    <s v="Company H"/>
    <x v="7"/>
    <s v="Philip"/>
    <x v="1"/>
    <x v="2"/>
    <n v="199"/>
    <n v="7"/>
    <n v="1393"/>
    <n v="0"/>
  </r>
  <r>
    <s v="1352"/>
    <x v="185"/>
    <n v="15"/>
    <s v="Company O"/>
    <x v="5"/>
    <s v="Steve"/>
    <x v="3"/>
    <x v="2"/>
    <n v="199"/>
    <n v="2"/>
    <n v="398"/>
    <n v="0"/>
  </r>
  <r>
    <s v="1365"/>
    <x v="186"/>
    <n v="14"/>
    <s v="Company N"/>
    <x v="3"/>
    <s v="Sara"/>
    <x v="3"/>
    <x v="2"/>
    <n v="199"/>
    <n v="1"/>
    <n v="199"/>
    <n v="0"/>
  </r>
  <r>
    <s v="1367"/>
    <x v="186"/>
    <n v="8"/>
    <s v="Company H"/>
    <x v="7"/>
    <s v="Philip"/>
    <x v="1"/>
    <x v="2"/>
    <n v="199"/>
    <n v="5"/>
    <n v="995"/>
    <n v="0"/>
  </r>
  <r>
    <s v="1369"/>
    <x v="188"/>
    <n v="11"/>
    <s v="Company K"/>
    <x v="3"/>
    <s v="Sara"/>
    <x v="3"/>
    <x v="2"/>
    <n v="199"/>
    <n v="0"/>
    <n v="0"/>
    <n v="0"/>
  </r>
  <r>
    <s v="1373"/>
    <x v="500"/>
    <n v="1"/>
    <s v="Company A"/>
    <x v="4"/>
    <s v="Sara"/>
    <x v="2"/>
    <x v="2"/>
    <n v="199"/>
    <n v="4"/>
    <n v="796"/>
    <n v="0"/>
  </r>
  <r>
    <s v="1384"/>
    <x v="190"/>
    <n v="15"/>
    <s v="Company O"/>
    <x v="3"/>
    <s v="Sara"/>
    <x v="3"/>
    <x v="2"/>
    <n v="199"/>
    <n v="9"/>
    <n v="1791"/>
    <n v="0"/>
  </r>
  <r>
    <s v="1386"/>
    <x v="190"/>
    <n v="2"/>
    <s v="Company B"/>
    <x v="4"/>
    <s v="Sara"/>
    <x v="2"/>
    <x v="2"/>
    <n v="199"/>
    <n v="8"/>
    <n v="1592"/>
    <n v="0"/>
  </r>
  <r>
    <s v="1395"/>
    <x v="501"/>
    <n v="4"/>
    <s v="Company D"/>
    <x v="2"/>
    <s v="Jeff"/>
    <x v="2"/>
    <x v="2"/>
    <n v="199"/>
    <n v="3"/>
    <n v="597"/>
    <n v="0"/>
  </r>
  <r>
    <s v="1399"/>
    <x v="192"/>
    <n v="2"/>
    <s v="Company B"/>
    <x v="4"/>
    <s v="Sara"/>
    <x v="2"/>
    <x v="2"/>
    <n v="199"/>
    <n v="8"/>
    <n v="1592"/>
    <n v="0"/>
  </r>
  <r>
    <s v="1405"/>
    <x v="192"/>
    <n v="11"/>
    <s v="Company K"/>
    <x v="5"/>
    <s v="Steve"/>
    <x v="3"/>
    <x v="2"/>
    <n v="199"/>
    <n v="8"/>
    <n v="1592"/>
    <n v="0"/>
  </r>
  <r>
    <s v="1411"/>
    <x v="395"/>
    <n v="8"/>
    <s v="Company H"/>
    <x v="1"/>
    <s v="Steve"/>
    <x v="1"/>
    <x v="2"/>
    <n v="199"/>
    <n v="1"/>
    <n v="199"/>
    <n v="0"/>
  </r>
  <r>
    <s v="1417"/>
    <x v="195"/>
    <n v="18"/>
    <s v="Company R"/>
    <x v="6"/>
    <s v="Jeff"/>
    <x v="0"/>
    <x v="2"/>
    <n v="199"/>
    <n v="2"/>
    <n v="398"/>
    <n v="0"/>
  </r>
  <r>
    <s v="1420"/>
    <x v="502"/>
    <n v="18"/>
    <s v="Company R"/>
    <x v="0"/>
    <s v="Jeff"/>
    <x v="0"/>
    <x v="2"/>
    <n v="199"/>
    <n v="0"/>
    <n v="0"/>
    <n v="0"/>
  </r>
  <r>
    <s v="1421"/>
    <x v="502"/>
    <n v="2"/>
    <s v="Company B"/>
    <x v="2"/>
    <s v="Jeff"/>
    <x v="2"/>
    <x v="2"/>
    <n v="199"/>
    <n v="0"/>
    <n v="0"/>
    <n v="0"/>
  </r>
  <r>
    <s v="1422"/>
    <x v="196"/>
    <n v="2"/>
    <s v="Company B"/>
    <x v="4"/>
    <s v="Sara"/>
    <x v="2"/>
    <x v="2"/>
    <n v="199"/>
    <n v="9"/>
    <n v="1791"/>
    <n v="0"/>
  </r>
  <r>
    <s v="1428"/>
    <x v="197"/>
    <n v="5"/>
    <s v="Company E"/>
    <x v="4"/>
    <s v="Sara"/>
    <x v="2"/>
    <x v="2"/>
    <n v="199"/>
    <n v="9"/>
    <n v="1791"/>
    <n v="0"/>
  </r>
  <r>
    <s v="1430"/>
    <x v="198"/>
    <n v="10"/>
    <s v="Company J"/>
    <x v="7"/>
    <s v="Philip"/>
    <x v="1"/>
    <x v="2"/>
    <n v="199"/>
    <n v="6"/>
    <n v="1194"/>
    <n v="0"/>
  </r>
  <r>
    <s v="1437"/>
    <x v="398"/>
    <n v="7"/>
    <s v="Company G"/>
    <x v="1"/>
    <s v="Steve"/>
    <x v="1"/>
    <x v="2"/>
    <n v="199"/>
    <n v="8"/>
    <n v="1592"/>
    <n v="0"/>
  </r>
  <r>
    <s v="1439"/>
    <x v="398"/>
    <n v="16"/>
    <s v="Company P"/>
    <x v="0"/>
    <s v="Jeff"/>
    <x v="0"/>
    <x v="2"/>
    <n v="199"/>
    <n v="9"/>
    <n v="1791"/>
    <n v="0"/>
  </r>
  <r>
    <s v="1440"/>
    <x v="398"/>
    <n v="18"/>
    <s v="Company R"/>
    <x v="0"/>
    <s v="Jeff"/>
    <x v="0"/>
    <x v="2"/>
    <n v="199"/>
    <n v="2"/>
    <n v="398"/>
    <n v="0"/>
  </r>
  <r>
    <s v="1441"/>
    <x v="398"/>
    <n v="13"/>
    <s v="Company M"/>
    <x v="5"/>
    <s v="Steve"/>
    <x v="3"/>
    <x v="2"/>
    <n v="199"/>
    <n v="5"/>
    <n v="995"/>
    <n v="0"/>
  </r>
  <r>
    <s v="1445"/>
    <x v="399"/>
    <n v="1"/>
    <s v="Company A"/>
    <x v="4"/>
    <s v="Sara"/>
    <x v="2"/>
    <x v="2"/>
    <n v="199"/>
    <n v="3"/>
    <n v="597"/>
    <n v="0"/>
  </r>
  <r>
    <s v="1450"/>
    <x v="200"/>
    <n v="4"/>
    <s v="Company D"/>
    <x v="4"/>
    <s v="Sara"/>
    <x v="2"/>
    <x v="2"/>
    <n v="199"/>
    <n v="5"/>
    <n v="995"/>
    <n v="0"/>
  </r>
  <r>
    <s v="1456"/>
    <x v="201"/>
    <n v="17"/>
    <s v="Company Q"/>
    <x v="6"/>
    <s v="Jeff"/>
    <x v="0"/>
    <x v="2"/>
    <n v="199"/>
    <n v="7"/>
    <n v="1393"/>
    <n v="0"/>
  </r>
  <r>
    <s v="1459"/>
    <x v="503"/>
    <n v="17"/>
    <s v="Company Q"/>
    <x v="0"/>
    <s v="Jeff"/>
    <x v="0"/>
    <x v="2"/>
    <n v="199"/>
    <n v="5"/>
    <n v="995"/>
    <n v="0"/>
  </r>
  <r>
    <s v="1460"/>
    <x v="504"/>
    <n v="13"/>
    <s v="Company M"/>
    <x v="3"/>
    <s v="Sara"/>
    <x v="3"/>
    <x v="2"/>
    <n v="199"/>
    <n v="9"/>
    <n v="1791"/>
    <n v="0"/>
  </r>
  <r>
    <s v="1463"/>
    <x v="400"/>
    <n v="13"/>
    <s v="Company M"/>
    <x v="3"/>
    <s v="Sara"/>
    <x v="3"/>
    <x v="2"/>
    <n v="199"/>
    <n v="3"/>
    <n v="597"/>
    <n v="0"/>
  </r>
  <r>
    <s v="1467"/>
    <x v="204"/>
    <n v="3"/>
    <s v="Company C"/>
    <x v="4"/>
    <s v="Sara"/>
    <x v="2"/>
    <x v="2"/>
    <n v="199"/>
    <n v="5"/>
    <n v="995"/>
    <n v="0"/>
  </r>
  <r>
    <s v="1488"/>
    <x v="208"/>
    <n v="12"/>
    <s v="Company L"/>
    <x v="5"/>
    <s v="Steve"/>
    <x v="3"/>
    <x v="2"/>
    <n v="199"/>
    <n v="8"/>
    <n v="1592"/>
    <n v="0"/>
  </r>
  <r>
    <s v="1497"/>
    <x v="403"/>
    <n v="13"/>
    <s v="Company M"/>
    <x v="5"/>
    <s v="Steve"/>
    <x v="3"/>
    <x v="2"/>
    <n v="199"/>
    <n v="5"/>
    <n v="995"/>
    <n v="0"/>
  </r>
  <r>
    <s v="1508"/>
    <x v="405"/>
    <n v="2"/>
    <s v="Company B"/>
    <x v="2"/>
    <s v="Jeff"/>
    <x v="2"/>
    <x v="2"/>
    <n v="199"/>
    <n v="4"/>
    <n v="796"/>
    <n v="0"/>
  </r>
  <r>
    <s v="1514"/>
    <x v="211"/>
    <n v="11"/>
    <s v="Company K"/>
    <x v="3"/>
    <s v="Sara"/>
    <x v="3"/>
    <x v="2"/>
    <n v="199"/>
    <n v="2"/>
    <n v="398"/>
    <n v="0"/>
  </r>
  <r>
    <s v="1529"/>
    <x v="213"/>
    <n v="18"/>
    <s v="Company R"/>
    <x v="0"/>
    <s v="Jeff"/>
    <x v="0"/>
    <x v="2"/>
    <n v="199"/>
    <n v="1"/>
    <n v="199"/>
    <n v="0"/>
  </r>
  <r>
    <s v="1531"/>
    <x v="505"/>
    <n v="4"/>
    <s v="Company D"/>
    <x v="2"/>
    <s v="Jeff"/>
    <x v="2"/>
    <x v="2"/>
    <n v="199"/>
    <n v="7"/>
    <n v="1393"/>
    <n v="0"/>
  </r>
  <r>
    <s v="1539"/>
    <x v="506"/>
    <n v="15"/>
    <s v="Company O"/>
    <x v="5"/>
    <s v="Steve"/>
    <x v="3"/>
    <x v="2"/>
    <n v="199"/>
    <n v="7"/>
    <n v="1393"/>
    <n v="0"/>
  </r>
  <r>
    <s v="1542"/>
    <x v="215"/>
    <n v="5"/>
    <s v="Company E"/>
    <x v="4"/>
    <s v="Sara"/>
    <x v="2"/>
    <x v="2"/>
    <n v="199"/>
    <n v="6"/>
    <n v="1194"/>
    <n v="0"/>
  </r>
  <r>
    <s v="1544"/>
    <x v="215"/>
    <n v="19"/>
    <s v="Company S"/>
    <x v="0"/>
    <s v="Jeff"/>
    <x v="0"/>
    <x v="2"/>
    <n v="199"/>
    <n v="5"/>
    <n v="995"/>
    <n v="0"/>
  </r>
  <r>
    <s v="1546"/>
    <x v="507"/>
    <n v="15"/>
    <s v="Company O"/>
    <x v="5"/>
    <s v="Steve"/>
    <x v="3"/>
    <x v="2"/>
    <n v="199"/>
    <n v="7"/>
    <n v="1393"/>
    <n v="0"/>
  </r>
  <r>
    <s v="1550"/>
    <x v="217"/>
    <n v="15"/>
    <s v="Company O"/>
    <x v="3"/>
    <s v="Sara"/>
    <x v="3"/>
    <x v="2"/>
    <n v="199"/>
    <n v="3"/>
    <n v="597"/>
    <n v="0"/>
  </r>
  <r>
    <s v="1556"/>
    <x v="217"/>
    <n v="17"/>
    <s v="Company Q"/>
    <x v="6"/>
    <s v="Jeff"/>
    <x v="0"/>
    <x v="2"/>
    <n v="199"/>
    <n v="2"/>
    <n v="398"/>
    <n v="0"/>
  </r>
  <r>
    <s v="1560"/>
    <x v="219"/>
    <n v="20"/>
    <s v="Company T"/>
    <x v="6"/>
    <s v="Jeff"/>
    <x v="0"/>
    <x v="2"/>
    <n v="199"/>
    <n v="2"/>
    <n v="398"/>
    <n v="0"/>
  </r>
  <r>
    <s v="1564"/>
    <x v="220"/>
    <n v="2"/>
    <s v="Company B"/>
    <x v="2"/>
    <s v="Jeff"/>
    <x v="2"/>
    <x v="2"/>
    <n v="199"/>
    <n v="9"/>
    <n v="1791"/>
    <n v="0"/>
  </r>
  <r>
    <s v="1577"/>
    <x v="222"/>
    <n v="13"/>
    <s v="Company M"/>
    <x v="5"/>
    <s v="Steve"/>
    <x v="3"/>
    <x v="2"/>
    <n v="199"/>
    <n v="0"/>
    <n v="0"/>
    <n v="0"/>
  </r>
  <r>
    <s v="1579"/>
    <x v="222"/>
    <n v="1"/>
    <s v="Company A"/>
    <x v="4"/>
    <s v="Sara"/>
    <x v="2"/>
    <x v="2"/>
    <n v="199"/>
    <n v="1"/>
    <n v="199"/>
    <n v="0"/>
  </r>
  <r>
    <s v="1580"/>
    <x v="222"/>
    <n v="11"/>
    <s v="Company K"/>
    <x v="5"/>
    <s v="Steve"/>
    <x v="3"/>
    <x v="2"/>
    <n v="199"/>
    <n v="6"/>
    <n v="1194"/>
    <n v="0"/>
  </r>
  <r>
    <s v="1584"/>
    <x v="222"/>
    <n v="5"/>
    <s v="Company E"/>
    <x v="4"/>
    <s v="Sara"/>
    <x v="2"/>
    <x v="2"/>
    <n v="199"/>
    <n v="8"/>
    <n v="1592"/>
    <n v="0"/>
  </r>
  <r>
    <s v="1587"/>
    <x v="412"/>
    <n v="11"/>
    <s v="Company K"/>
    <x v="5"/>
    <s v="Steve"/>
    <x v="3"/>
    <x v="2"/>
    <n v="199"/>
    <n v="1"/>
    <n v="199"/>
    <n v="0"/>
  </r>
  <r>
    <s v="1595"/>
    <x v="223"/>
    <n v="19"/>
    <s v="Company S"/>
    <x v="6"/>
    <s v="Jeff"/>
    <x v="0"/>
    <x v="2"/>
    <n v="199"/>
    <n v="0"/>
    <n v="0"/>
    <n v="0"/>
  </r>
  <r>
    <s v="1597"/>
    <x v="508"/>
    <n v="16"/>
    <s v="Company P"/>
    <x v="6"/>
    <s v="Jeff"/>
    <x v="0"/>
    <x v="2"/>
    <n v="199"/>
    <n v="8"/>
    <n v="1592"/>
    <n v="0"/>
  </r>
  <r>
    <s v="1600"/>
    <x v="508"/>
    <n v="9"/>
    <s v="Company I"/>
    <x v="1"/>
    <s v="Steve"/>
    <x v="1"/>
    <x v="2"/>
    <n v="199"/>
    <n v="1"/>
    <n v="199"/>
    <n v="0"/>
  </r>
  <r>
    <s v="1602"/>
    <x v="224"/>
    <n v="4"/>
    <s v="Company D"/>
    <x v="4"/>
    <s v="Sara"/>
    <x v="2"/>
    <x v="2"/>
    <n v="199"/>
    <n v="1"/>
    <n v="199"/>
    <n v="0"/>
  </r>
  <r>
    <s v="1603"/>
    <x v="224"/>
    <n v="18"/>
    <s v="Company R"/>
    <x v="6"/>
    <s v="Jeff"/>
    <x v="0"/>
    <x v="2"/>
    <n v="199"/>
    <n v="8"/>
    <n v="1592"/>
    <n v="0"/>
  </r>
  <r>
    <s v="1604"/>
    <x v="224"/>
    <n v="13"/>
    <s v="Company M"/>
    <x v="5"/>
    <s v="Steve"/>
    <x v="3"/>
    <x v="2"/>
    <n v="199"/>
    <n v="7"/>
    <n v="1393"/>
    <n v="0"/>
  </r>
  <r>
    <s v="1625"/>
    <x v="226"/>
    <n v="14"/>
    <s v="Company N"/>
    <x v="5"/>
    <s v="Steve"/>
    <x v="3"/>
    <x v="2"/>
    <n v="199"/>
    <n v="7"/>
    <n v="1393"/>
    <n v="0"/>
  </r>
  <r>
    <s v="1626"/>
    <x v="226"/>
    <n v="15"/>
    <s v="Company O"/>
    <x v="3"/>
    <s v="Sara"/>
    <x v="3"/>
    <x v="2"/>
    <n v="199"/>
    <n v="6"/>
    <n v="1194"/>
    <n v="0"/>
  </r>
  <r>
    <s v="1638"/>
    <x v="227"/>
    <n v="4"/>
    <s v="Company D"/>
    <x v="4"/>
    <s v="Sara"/>
    <x v="2"/>
    <x v="2"/>
    <n v="199"/>
    <n v="1"/>
    <n v="199"/>
    <n v="0"/>
  </r>
  <r>
    <s v="1643"/>
    <x v="227"/>
    <n v="7"/>
    <s v="Company G"/>
    <x v="1"/>
    <s v="Steve"/>
    <x v="1"/>
    <x v="2"/>
    <n v="199"/>
    <n v="9"/>
    <n v="1791"/>
    <n v="0"/>
  </r>
  <r>
    <s v="1646"/>
    <x v="229"/>
    <n v="11"/>
    <s v="Company K"/>
    <x v="3"/>
    <s v="Sara"/>
    <x v="3"/>
    <x v="2"/>
    <n v="199"/>
    <n v="4"/>
    <n v="796"/>
    <n v="0"/>
  </r>
  <r>
    <s v="1652"/>
    <x v="230"/>
    <n v="9"/>
    <s v="Company I"/>
    <x v="1"/>
    <s v="Steve"/>
    <x v="1"/>
    <x v="2"/>
    <n v="199"/>
    <n v="5"/>
    <n v="995"/>
    <n v="0"/>
  </r>
  <r>
    <s v="1655"/>
    <x v="232"/>
    <n v="17"/>
    <s v="Company Q"/>
    <x v="0"/>
    <s v="Jeff"/>
    <x v="0"/>
    <x v="2"/>
    <n v="199"/>
    <n v="8"/>
    <n v="1592"/>
    <n v="0"/>
  </r>
  <r>
    <s v="1665"/>
    <x v="233"/>
    <n v="17"/>
    <s v="Company Q"/>
    <x v="0"/>
    <s v="Jeff"/>
    <x v="0"/>
    <x v="2"/>
    <n v="199"/>
    <n v="3"/>
    <n v="597"/>
    <n v="0"/>
  </r>
  <r>
    <s v="1666"/>
    <x v="234"/>
    <n v="20"/>
    <s v="Company T"/>
    <x v="0"/>
    <s v="Jeff"/>
    <x v="0"/>
    <x v="2"/>
    <n v="199"/>
    <n v="7"/>
    <n v="1393"/>
    <n v="0"/>
  </r>
  <r>
    <s v="1675"/>
    <x v="509"/>
    <n v="13"/>
    <s v="Company M"/>
    <x v="3"/>
    <s v="Sara"/>
    <x v="3"/>
    <x v="2"/>
    <n v="199"/>
    <n v="0"/>
    <n v="0"/>
    <n v="0"/>
  </r>
  <r>
    <s v="1676"/>
    <x v="509"/>
    <n v="11"/>
    <s v="Company K"/>
    <x v="3"/>
    <s v="Sara"/>
    <x v="3"/>
    <x v="2"/>
    <n v="199"/>
    <n v="7"/>
    <n v="1393"/>
    <n v="0"/>
  </r>
  <r>
    <s v="1679"/>
    <x v="510"/>
    <n v="20"/>
    <s v="Company T"/>
    <x v="6"/>
    <s v="Jeff"/>
    <x v="0"/>
    <x v="2"/>
    <n v="199"/>
    <n v="7"/>
    <n v="1393"/>
    <n v="0"/>
  </r>
  <r>
    <s v="1682"/>
    <x v="511"/>
    <n v="3"/>
    <s v="Company C"/>
    <x v="4"/>
    <s v="Sara"/>
    <x v="2"/>
    <x v="2"/>
    <n v="199"/>
    <n v="5"/>
    <n v="995"/>
    <n v="0"/>
  </r>
  <r>
    <s v="1695"/>
    <x v="239"/>
    <n v="8"/>
    <s v="Company H"/>
    <x v="1"/>
    <s v="Steve"/>
    <x v="1"/>
    <x v="2"/>
    <n v="199"/>
    <n v="3"/>
    <n v="597"/>
    <n v="0"/>
  </r>
  <r>
    <s v="1698"/>
    <x v="512"/>
    <n v="8"/>
    <s v="Company H"/>
    <x v="1"/>
    <s v="Steve"/>
    <x v="1"/>
    <x v="2"/>
    <n v="199"/>
    <n v="3"/>
    <n v="597"/>
    <n v="0"/>
  </r>
  <r>
    <s v="1702"/>
    <x v="241"/>
    <n v="8"/>
    <s v="Company H"/>
    <x v="7"/>
    <s v="Philip"/>
    <x v="1"/>
    <x v="2"/>
    <n v="199"/>
    <n v="5"/>
    <n v="995"/>
    <n v="0"/>
  </r>
  <r>
    <s v="1705"/>
    <x v="513"/>
    <n v="9"/>
    <s v="Company I"/>
    <x v="7"/>
    <s v="Philip"/>
    <x v="1"/>
    <x v="2"/>
    <n v="199"/>
    <n v="2"/>
    <n v="398"/>
    <n v="0"/>
  </r>
  <r>
    <s v="1708"/>
    <x v="242"/>
    <n v="5"/>
    <s v="Company E"/>
    <x v="2"/>
    <s v="Jeff"/>
    <x v="2"/>
    <x v="2"/>
    <n v="199"/>
    <n v="3"/>
    <n v="597"/>
    <n v="0"/>
  </r>
  <r>
    <s v="1709"/>
    <x v="242"/>
    <n v="8"/>
    <s v="Company H"/>
    <x v="1"/>
    <s v="Steve"/>
    <x v="1"/>
    <x v="2"/>
    <n v="199"/>
    <n v="6"/>
    <n v="1194"/>
    <n v="0"/>
  </r>
  <r>
    <s v="1714"/>
    <x v="244"/>
    <n v="13"/>
    <s v="Company M"/>
    <x v="3"/>
    <s v="Sara"/>
    <x v="3"/>
    <x v="2"/>
    <n v="199"/>
    <n v="3"/>
    <n v="597"/>
    <n v="0"/>
  </r>
  <r>
    <s v="1721"/>
    <x v="514"/>
    <n v="6"/>
    <s v="Company F"/>
    <x v="1"/>
    <s v="Steve"/>
    <x v="1"/>
    <x v="2"/>
    <n v="199"/>
    <n v="1"/>
    <n v="199"/>
    <n v="0"/>
  </r>
  <r>
    <s v="1722"/>
    <x v="245"/>
    <n v="16"/>
    <s v="Company P"/>
    <x v="0"/>
    <s v="Jeff"/>
    <x v="0"/>
    <x v="2"/>
    <n v="199"/>
    <n v="8"/>
    <n v="1592"/>
    <n v="0"/>
  </r>
  <r>
    <s v="1723"/>
    <x v="245"/>
    <n v="10"/>
    <s v="Company J"/>
    <x v="1"/>
    <s v="Steve"/>
    <x v="1"/>
    <x v="2"/>
    <n v="199"/>
    <n v="2"/>
    <n v="398"/>
    <n v="0"/>
  </r>
  <r>
    <s v="1727"/>
    <x v="245"/>
    <n v="4"/>
    <s v="Company D"/>
    <x v="2"/>
    <s v="Jeff"/>
    <x v="2"/>
    <x v="2"/>
    <n v="199"/>
    <n v="3"/>
    <n v="597"/>
    <n v="0"/>
  </r>
  <r>
    <s v="1740"/>
    <x v="419"/>
    <n v="2"/>
    <s v="Company B"/>
    <x v="2"/>
    <s v="Jeff"/>
    <x v="2"/>
    <x v="2"/>
    <n v="199"/>
    <n v="4"/>
    <n v="796"/>
    <n v="0"/>
  </r>
  <r>
    <s v="1745"/>
    <x v="420"/>
    <n v="9"/>
    <s v="Company I"/>
    <x v="1"/>
    <s v="Steve"/>
    <x v="1"/>
    <x v="2"/>
    <n v="199"/>
    <n v="5"/>
    <n v="995"/>
    <n v="0"/>
  </r>
  <r>
    <s v="1747"/>
    <x v="515"/>
    <n v="6"/>
    <s v="Company F"/>
    <x v="1"/>
    <s v="Steve"/>
    <x v="1"/>
    <x v="2"/>
    <n v="199"/>
    <n v="0"/>
    <n v="0"/>
    <n v="0"/>
  </r>
  <r>
    <s v="1760"/>
    <x v="516"/>
    <n v="18"/>
    <s v="Company R"/>
    <x v="6"/>
    <s v="Jeff"/>
    <x v="0"/>
    <x v="2"/>
    <n v="199"/>
    <n v="0"/>
    <n v="0"/>
    <n v="0"/>
  </r>
  <r>
    <s v="1761"/>
    <x v="517"/>
    <n v="11"/>
    <s v="Company K"/>
    <x v="3"/>
    <s v="Sara"/>
    <x v="3"/>
    <x v="2"/>
    <n v="199"/>
    <n v="4"/>
    <n v="796"/>
    <n v="0"/>
  </r>
  <r>
    <s v="1763"/>
    <x v="518"/>
    <n v="2"/>
    <s v="Company B"/>
    <x v="2"/>
    <s v="Jeff"/>
    <x v="2"/>
    <x v="2"/>
    <n v="199"/>
    <n v="7"/>
    <n v="1393"/>
    <n v="0"/>
  </r>
  <r>
    <s v="1765"/>
    <x v="519"/>
    <n v="9"/>
    <s v="Company I"/>
    <x v="1"/>
    <s v="Steve"/>
    <x v="1"/>
    <x v="2"/>
    <n v="199"/>
    <n v="3"/>
    <n v="597"/>
    <n v="0"/>
  </r>
  <r>
    <s v="1771"/>
    <x v="520"/>
    <n v="4"/>
    <s v="Company D"/>
    <x v="2"/>
    <s v="Jeff"/>
    <x v="2"/>
    <x v="2"/>
    <n v="199"/>
    <n v="7"/>
    <n v="1393"/>
    <n v="0"/>
  </r>
  <r>
    <s v="1772"/>
    <x v="521"/>
    <n v="18"/>
    <s v="Company R"/>
    <x v="0"/>
    <s v="Jeff"/>
    <x v="0"/>
    <x v="2"/>
    <n v="199"/>
    <n v="8"/>
    <n v="1592"/>
    <n v="0"/>
  </r>
  <r>
    <s v="1773"/>
    <x v="521"/>
    <n v="5"/>
    <s v="Company E"/>
    <x v="2"/>
    <s v="Jeff"/>
    <x v="2"/>
    <x v="2"/>
    <n v="199"/>
    <n v="2"/>
    <n v="398"/>
    <n v="0"/>
  </r>
  <r>
    <s v="1774"/>
    <x v="521"/>
    <n v="8"/>
    <s v="Company H"/>
    <x v="1"/>
    <s v="Steve"/>
    <x v="1"/>
    <x v="2"/>
    <n v="199"/>
    <n v="1"/>
    <n v="199"/>
    <n v="0"/>
  </r>
  <r>
    <s v="1782"/>
    <x v="255"/>
    <n v="13"/>
    <s v="Company M"/>
    <x v="3"/>
    <s v="Sara"/>
    <x v="3"/>
    <x v="2"/>
    <n v="199"/>
    <n v="3"/>
    <n v="597"/>
    <n v="0"/>
  </r>
  <r>
    <s v="1789"/>
    <x v="522"/>
    <n v="4"/>
    <s v="Company D"/>
    <x v="4"/>
    <s v="Sara"/>
    <x v="2"/>
    <x v="2"/>
    <n v="199"/>
    <n v="9"/>
    <n v="1791"/>
    <n v="0"/>
  </r>
  <r>
    <s v="1797"/>
    <x v="258"/>
    <n v="10"/>
    <s v="Company J"/>
    <x v="7"/>
    <s v="Philip"/>
    <x v="1"/>
    <x v="2"/>
    <n v="199"/>
    <n v="2"/>
    <n v="398"/>
    <n v="0"/>
  </r>
  <r>
    <s v="1800"/>
    <x v="258"/>
    <n v="9"/>
    <s v="Company I"/>
    <x v="7"/>
    <s v="Philip"/>
    <x v="1"/>
    <x v="2"/>
    <n v="199"/>
    <n v="8"/>
    <n v="1592"/>
    <n v="0"/>
  </r>
  <r>
    <s v="1802"/>
    <x v="258"/>
    <n v="6"/>
    <s v="Company F"/>
    <x v="1"/>
    <s v="Steve"/>
    <x v="1"/>
    <x v="2"/>
    <n v="199"/>
    <n v="6"/>
    <n v="1194"/>
    <n v="0"/>
  </r>
  <r>
    <s v="1804"/>
    <x v="258"/>
    <n v="8"/>
    <s v="Company H"/>
    <x v="1"/>
    <s v="Steve"/>
    <x v="1"/>
    <x v="2"/>
    <n v="199"/>
    <n v="6"/>
    <n v="1194"/>
    <n v="0"/>
  </r>
  <r>
    <s v="1808"/>
    <x v="523"/>
    <n v="9"/>
    <s v="Company I"/>
    <x v="1"/>
    <s v="Steve"/>
    <x v="1"/>
    <x v="2"/>
    <n v="199"/>
    <n v="3"/>
    <n v="597"/>
    <n v="0"/>
  </r>
  <r>
    <s v="1815"/>
    <x v="524"/>
    <n v="5"/>
    <s v="Company E"/>
    <x v="4"/>
    <s v="Sara"/>
    <x v="2"/>
    <x v="2"/>
    <n v="199"/>
    <n v="2"/>
    <n v="398"/>
    <n v="0"/>
  </r>
  <r>
    <s v="1818"/>
    <x v="525"/>
    <n v="5"/>
    <s v="Company E"/>
    <x v="2"/>
    <s v="Jeff"/>
    <x v="2"/>
    <x v="2"/>
    <n v="199"/>
    <n v="4"/>
    <n v="796"/>
    <n v="0"/>
  </r>
  <r>
    <s v="1819"/>
    <x v="525"/>
    <n v="9"/>
    <s v="Company I"/>
    <x v="7"/>
    <s v="Philip"/>
    <x v="1"/>
    <x v="2"/>
    <n v="199"/>
    <n v="9"/>
    <n v="1791"/>
    <n v="0"/>
  </r>
  <r>
    <s v="1821"/>
    <x v="525"/>
    <n v="7"/>
    <s v="Company G"/>
    <x v="1"/>
    <s v="Steve"/>
    <x v="1"/>
    <x v="2"/>
    <n v="199"/>
    <n v="6"/>
    <n v="1194"/>
    <n v="0"/>
  </r>
  <r>
    <s v="1823"/>
    <x v="424"/>
    <n v="9"/>
    <s v="Company I"/>
    <x v="7"/>
    <s v="Philip"/>
    <x v="1"/>
    <x v="2"/>
    <n v="199"/>
    <n v="3"/>
    <n v="597"/>
    <n v="0"/>
  </r>
  <r>
    <s v="1825"/>
    <x v="425"/>
    <n v="11"/>
    <s v="Company K"/>
    <x v="3"/>
    <s v="Sara"/>
    <x v="3"/>
    <x v="2"/>
    <n v="199"/>
    <n v="5"/>
    <n v="995"/>
    <n v="0"/>
  </r>
  <r>
    <s v="1831"/>
    <x v="427"/>
    <n v="8"/>
    <s v="Company H"/>
    <x v="7"/>
    <s v="Philip"/>
    <x v="1"/>
    <x v="2"/>
    <n v="199"/>
    <n v="3"/>
    <n v="597"/>
    <n v="0"/>
  </r>
  <r>
    <s v="1834"/>
    <x v="427"/>
    <n v="5"/>
    <s v="Company E"/>
    <x v="4"/>
    <s v="Sara"/>
    <x v="2"/>
    <x v="2"/>
    <n v="199"/>
    <n v="7"/>
    <n v="1393"/>
    <n v="0"/>
  </r>
  <r>
    <s v="1836"/>
    <x v="427"/>
    <n v="9"/>
    <s v="Company I"/>
    <x v="1"/>
    <s v="Steve"/>
    <x v="1"/>
    <x v="2"/>
    <n v="199"/>
    <n v="5"/>
    <n v="995"/>
    <n v="0"/>
  </r>
  <r>
    <s v="1840"/>
    <x v="259"/>
    <n v="17"/>
    <s v="Company Q"/>
    <x v="0"/>
    <s v="Jeff"/>
    <x v="0"/>
    <x v="2"/>
    <n v="199"/>
    <n v="5"/>
    <n v="995"/>
    <n v="0"/>
  </r>
  <r>
    <s v="1841"/>
    <x v="259"/>
    <n v="3"/>
    <s v="Company C"/>
    <x v="4"/>
    <s v="Sara"/>
    <x v="2"/>
    <x v="2"/>
    <n v="199"/>
    <n v="4"/>
    <n v="796"/>
    <n v="0"/>
  </r>
  <r>
    <s v="1843"/>
    <x v="259"/>
    <n v="20"/>
    <s v="Company T"/>
    <x v="6"/>
    <s v="Jeff"/>
    <x v="0"/>
    <x v="2"/>
    <n v="199"/>
    <n v="1"/>
    <n v="199"/>
    <n v="0"/>
  </r>
  <r>
    <s v="1844"/>
    <x v="259"/>
    <n v="5"/>
    <s v="Company E"/>
    <x v="2"/>
    <s v="Jeff"/>
    <x v="2"/>
    <x v="2"/>
    <n v="199"/>
    <n v="4"/>
    <n v="796"/>
    <n v="0"/>
  </r>
  <r>
    <s v="1857"/>
    <x v="261"/>
    <n v="7"/>
    <s v="Company G"/>
    <x v="1"/>
    <s v="Steve"/>
    <x v="1"/>
    <x v="2"/>
    <n v="199"/>
    <n v="1"/>
    <n v="199"/>
    <n v="0"/>
  </r>
  <r>
    <s v="1868"/>
    <x v="428"/>
    <n v="15"/>
    <s v="Company O"/>
    <x v="3"/>
    <s v="Sara"/>
    <x v="3"/>
    <x v="2"/>
    <n v="199"/>
    <n v="5"/>
    <n v="995"/>
    <n v="0"/>
  </r>
  <r>
    <s v="1873"/>
    <x v="526"/>
    <n v="8"/>
    <s v="Company H"/>
    <x v="1"/>
    <s v="Steve"/>
    <x v="1"/>
    <x v="2"/>
    <n v="199"/>
    <n v="6"/>
    <n v="1194"/>
    <n v="0"/>
  </r>
  <r>
    <s v="1876"/>
    <x v="266"/>
    <n v="16"/>
    <s v="Company P"/>
    <x v="6"/>
    <s v="Jeff"/>
    <x v="0"/>
    <x v="2"/>
    <n v="199"/>
    <n v="8"/>
    <n v="1592"/>
    <n v="0"/>
  </r>
  <r>
    <s v="1882"/>
    <x v="527"/>
    <n v="2"/>
    <s v="Company B"/>
    <x v="2"/>
    <s v="Jeff"/>
    <x v="2"/>
    <x v="2"/>
    <n v="199"/>
    <n v="1"/>
    <n v="199"/>
    <n v="0"/>
  </r>
  <r>
    <s v="1885"/>
    <x v="267"/>
    <n v="14"/>
    <s v="Company N"/>
    <x v="5"/>
    <s v="Steve"/>
    <x v="3"/>
    <x v="2"/>
    <n v="199"/>
    <n v="3"/>
    <n v="597"/>
    <n v="0"/>
  </r>
  <r>
    <s v="1890"/>
    <x v="528"/>
    <n v="10"/>
    <s v="Company J"/>
    <x v="1"/>
    <s v="Steve"/>
    <x v="1"/>
    <x v="2"/>
    <n v="199"/>
    <n v="5"/>
    <n v="995"/>
    <n v="0"/>
  </r>
  <r>
    <s v="1893"/>
    <x v="268"/>
    <n v="15"/>
    <s v="Company O"/>
    <x v="5"/>
    <s v="Steve"/>
    <x v="3"/>
    <x v="2"/>
    <n v="199"/>
    <n v="1"/>
    <n v="199"/>
    <n v="0"/>
  </r>
  <r>
    <s v="1898"/>
    <x v="529"/>
    <n v="3"/>
    <s v="Company C"/>
    <x v="4"/>
    <s v="Sara"/>
    <x v="2"/>
    <x v="2"/>
    <n v="199"/>
    <n v="1"/>
    <n v="199"/>
    <n v="0"/>
  </r>
  <r>
    <s v="1899"/>
    <x v="530"/>
    <n v="9"/>
    <s v="Company I"/>
    <x v="1"/>
    <s v="Steve"/>
    <x v="1"/>
    <x v="2"/>
    <n v="199"/>
    <n v="0"/>
    <n v="0"/>
    <n v="0"/>
  </r>
  <r>
    <s v="1900"/>
    <x v="531"/>
    <n v="2"/>
    <s v="Company B"/>
    <x v="2"/>
    <s v="Jeff"/>
    <x v="2"/>
    <x v="2"/>
    <n v="199"/>
    <n v="6"/>
    <n v="1194"/>
    <n v="0"/>
  </r>
  <r>
    <s v="1908"/>
    <x v="272"/>
    <n v="20"/>
    <s v="Company T"/>
    <x v="0"/>
    <s v="Jeff"/>
    <x v="0"/>
    <x v="2"/>
    <n v="199"/>
    <n v="7"/>
    <n v="1393"/>
    <n v="0"/>
  </r>
  <r>
    <s v="1915"/>
    <x v="429"/>
    <n v="11"/>
    <s v="Company K"/>
    <x v="3"/>
    <s v="Sara"/>
    <x v="3"/>
    <x v="2"/>
    <n v="199"/>
    <n v="9"/>
    <n v="1791"/>
    <n v="0"/>
  </r>
  <r>
    <s v="1919"/>
    <x v="273"/>
    <n v="11"/>
    <s v="Company K"/>
    <x v="5"/>
    <s v="Steve"/>
    <x v="3"/>
    <x v="2"/>
    <n v="199"/>
    <n v="4"/>
    <n v="796"/>
    <n v="0"/>
  </r>
  <r>
    <s v="1924"/>
    <x v="273"/>
    <n v="6"/>
    <s v="Company F"/>
    <x v="7"/>
    <s v="Philip"/>
    <x v="1"/>
    <x v="2"/>
    <n v="199"/>
    <n v="0"/>
    <n v="0"/>
    <n v="0"/>
  </r>
  <r>
    <s v="1926"/>
    <x v="274"/>
    <n v="1"/>
    <s v="Company A"/>
    <x v="2"/>
    <s v="Jeff"/>
    <x v="2"/>
    <x v="2"/>
    <n v="199"/>
    <n v="3"/>
    <n v="597"/>
    <n v="0"/>
  </r>
  <r>
    <s v="1929"/>
    <x v="274"/>
    <n v="9"/>
    <s v="Company I"/>
    <x v="1"/>
    <s v="Steve"/>
    <x v="1"/>
    <x v="2"/>
    <n v="199"/>
    <n v="3"/>
    <n v="597"/>
    <n v="0"/>
  </r>
  <r>
    <s v="1942"/>
    <x v="532"/>
    <n v="4"/>
    <s v="Company D"/>
    <x v="2"/>
    <s v="Jeff"/>
    <x v="2"/>
    <x v="2"/>
    <n v="199"/>
    <n v="0"/>
    <n v="0"/>
    <n v="0"/>
  </r>
  <r>
    <s v="1944"/>
    <x v="277"/>
    <n v="12"/>
    <s v="Company L"/>
    <x v="5"/>
    <s v="Steve"/>
    <x v="3"/>
    <x v="2"/>
    <n v="199"/>
    <n v="2"/>
    <n v="398"/>
    <n v="0"/>
  </r>
  <r>
    <s v="1946"/>
    <x v="277"/>
    <n v="16"/>
    <s v="Company P"/>
    <x v="0"/>
    <s v="Jeff"/>
    <x v="0"/>
    <x v="2"/>
    <n v="199"/>
    <n v="4"/>
    <n v="796"/>
    <n v="0"/>
  </r>
  <r>
    <s v="1947"/>
    <x v="277"/>
    <n v="19"/>
    <s v="Company S"/>
    <x v="0"/>
    <s v="Jeff"/>
    <x v="0"/>
    <x v="2"/>
    <n v="199"/>
    <n v="2"/>
    <n v="398"/>
    <n v="0"/>
  </r>
  <r>
    <s v="1955"/>
    <x v="433"/>
    <n v="10"/>
    <s v="Company J"/>
    <x v="7"/>
    <s v="Philip"/>
    <x v="1"/>
    <x v="2"/>
    <n v="199"/>
    <n v="7"/>
    <n v="1393"/>
    <n v="0"/>
  </r>
  <r>
    <s v="1965"/>
    <x v="281"/>
    <n v="4"/>
    <s v="Company D"/>
    <x v="4"/>
    <s v="Sara"/>
    <x v="2"/>
    <x v="2"/>
    <n v="199"/>
    <n v="2"/>
    <n v="398"/>
    <n v="0"/>
  </r>
  <r>
    <s v="1969"/>
    <x v="281"/>
    <n v="3"/>
    <s v="Company C"/>
    <x v="4"/>
    <s v="Sara"/>
    <x v="2"/>
    <x v="2"/>
    <n v="199"/>
    <n v="1"/>
    <n v="199"/>
    <n v="0"/>
  </r>
  <r>
    <s v="1978"/>
    <x v="533"/>
    <n v="14"/>
    <s v="Company N"/>
    <x v="5"/>
    <s v="Steve"/>
    <x v="3"/>
    <x v="2"/>
    <n v="199"/>
    <n v="0"/>
    <n v="0"/>
    <n v="0"/>
  </r>
  <r>
    <s v="1984"/>
    <x v="534"/>
    <n v="20"/>
    <s v="Company T"/>
    <x v="6"/>
    <s v="Jeff"/>
    <x v="0"/>
    <x v="2"/>
    <n v="199"/>
    <n v="1"/>
    <n v="199"/>
    <n v="0"/>
  </r>
  <r>
    <s v="1988"/>
    <x v="436"/>
    <n v="2"/>
    <s v="Company B"/>
    <x v="4"/>
    <s v="Sara"/>
    <x v="2"/>
    <x v="2"/>
    <n v="199"/>
    <n v="5"/>
    <n v="995"/>
    <n v="0"/>
  </r>
  <r>
    <s v="1990"/>
    <x v="436"/>
    <n v="11"/>
    <s v="Company K"/>
    <x v="3"/>
    <s v="Sara"/>
    <x v="3"/>
    <x v="2"/>
    <n v="199"/>
    <n v="4"/>
    <n v="796"/>
    <n v="0"/>
  </r>
  <r>
    <s v="1991"/>
    <x v="535"/>
    <n v="3"/>
    <s v="Company C"/>
    <x v="2"/>
    <s v="Jeff"/>
    <x v="2"/>
    <x v="2"/>
    <n v="199"/>
    <n v="7"/>
    <n v="1393"/>
    <n v="0"/>
  </r>
  <r>
    <s v="1993"/>
    <x v="284"/>
    <n v="15"/>
    <s v="Company O"/>
    <x v="5"/>
    <s v="Steve"/>
    <x v="3"/>
    <x v="2"/>
    <n v="199"/>
    <n v="1"/>
    <n v="199"/>
    <n v="0"/>
  </r>
  <r>
    <s v="1995"/>
    <x v="284"/>
    <n v="1"/>
    <s v="Company A"/>
    <x v="2"/>
    <s v="Jeff"/>
    <x v="2"/>
    <x v="2"/>
    <n v="199"/>
    <n v="8"/>
    <n v="1592"/>
    <n v="0"/>
  </r>
  <r>
    <s v="2000"/>
    <x v="284"/>
    <n v="14"/>
    <s v="Company N"/>
    <x v="3"/>
    <s v="Sara"/>
    <x v="3"/>
    <x v="2"/>
    <n v="199"/>
    <n v="4"/>
    <n v="796"/>
    <n v="0"/>
  </r>
  <r>
    <s v="0003"/>
    <x v="286"/>
    <n v="9"/>
    <s v="Company I"/>
    <x v="7"/>
    <s v="Philip"/>
    <x v="1"/>
    <x v="3"/>
    <n v="159"/>
    <n v="3"/>
    <n v="477"/>
    <n v="0"/>
  </r>
  <r>
    <s v="0018"/>
    <x v="1"/>
    <n v="19"/>
    <s v="Company S"/>
    <x v="6"/>
    <s v="Jeff"/>
    <x v="0"/>
    <x v="3"/>
    <n v="159"/>
    <n v="5"/>
    <n v="795"/>
    <n v="0"/>
  </r>
  <r>
    <s v="0023"/>
    <x v="1"/>
    <n v="8"/>
    <s v="Company H"/>
    <x v="1"/>
    <s v="Steve"/>
    <x v="1"/>
    <x v="3"/>
    <n v="159"/>
    <n v="4"/>
    <n v="636"/>
    <n v="0"/>
  </r>
  <r>
    <s v="0031"/>
    <x v="3"/>
    <n v="6"/>
    <s v="Company F"/>
    <x v="7"/>
    <s v="Philip"/>
    <x v="1"/>
    <x v="3"/>
    <n v="159"/>
    <n v="2"/>
    <n v="318"/>
    <n v="0"/>
  </r>
  <r>
    <s v="0043"/>
    <x v="6"/>
    <n v="13"/>
    <s v="Company M"/>
    <x v="5"/>
    <s v="Steve"/>
    <x v="3"/>
    <x v="3"/>
    <n v="159"/>
    <n v="8"/>
    <n v="1272"/>
    <n v="0"/>
  </r>
  <r>
    <s v="0046"/>
    <x v="6"/>
    <n v="14"/>
    <s v="Company N"/>
    <x v="3"/>
    <s v="Sara"/>
    <x v="3"/>
    <x v="3"/>
    <n v="159"/>
    <n v="7"/>
    <n v="1113"/>
    <n v="0"/>
  </r>
  <r>
    <s v="0049"/>
    <x v="6"/>
    <n v="4"/>
    <s v="Company D"/>
    <x v="4"/>
    <s v="Sara"/>
    <x v="2"/>
    <x v="3"/>
    <n v="159"/>
    <n v="5"/>
    <n v="795"/>
    <n v="0"/>
  </r>
  <r>
    <s v="0050"/>
    <x v="6"/>
    <n v="5"/>
    <s v="Company E"/>
    <x v="4"/>
    <s v="Sara"/>
    <x v="2"/>
    <x v="3"/>
    <n v="159"/>
    <n v="7"/>
    <n v="1113"/>
    <n v="0"/>
  </r>
  <r>
    <s v="0061"/>
    <x v="536"/>
    <n v="2"/>
    <s v="Company B"/>
    <x v="2"/>
    <s v="Jeff"/>
    <x v="2"/>
    <x v="3"/>
    <n v="159"/>
    <n v="8"/>
    <n v="1272"/>
    <n v="0"/>
  </r>
  <r>
    <s v="0062"/>
    <x v="288"/>
    <n v="20"/>
    <s v="Company T"/>
    <x v="0"/>
    <s v="Jeff"/>
    <x v="0"/>
    <x v="3"/>
    <n v="159"/>
    <n v="9"/>
    <n v="1431"/>
    <n v="0"/>
  </r>
  <r>
    <s v="0071"/>
    <x v="439"/>
    <n v="17"/>
    <s v="Company Q"/>
    <x v="6"/>
    <s v="Jeff"/>
    <x v="0"/>
    <x v="3"/>
    <n v="159"/>
    <n v="4"/>
    <n v="636"/>
    <n v="0"/>
  </r>
  <r>
    <s v="0073"/>
    <x v="290"/>
    <n v="15"/>
    <s v="Company O"/>
    <x v="5"/>
    <s v="Steve"/>
    <x v="3"/>
    <x v="3"/>
    <n v="159"/>
    <n v="1"/>
    <n v="159"/>
    <n v="0"/>
  </r>
  <r>
    <s v="0087"/>
    <x v="291"/>
    <n v="17"/>
    <s v="Company Q"/>
    <x v="0"/>
    <s v="Jeff"/>
    <x v="0"/>
    <x v="3"/>
    <n v="159"/>
    <n v="3"/>
    <n v="477"/>
    <n v="0"/>
  </r>
  <r>
    <s v="0098"/>
    <x v="440"/>
    <n v="19"/>
    <s v="Company S"/>
    <x v="6"/>
    <s v="Jeff"/>
    <x v="0"/>
    <x v="3"/>
    <n v="159"/>
    <n v="8"/>
    <n v="1272"/>
    <n v="0"/>
  </r>
  <r>
    <s v="0105"/>
    <x v="15"/>
    <n v="11"/>
    <s v="Company K"/>
    <x v="3"/>
    <s v="Sara"/>
    <x v="3"/>
    <x v="3"/>
    <n v="159"/>
    <n v="0"/>
    <n v="0"/>
    <n v="0"/>
  </r>
  <r>
    <s v="0106"/>
    <x v="15"/>
    <n v="2"/>
    <s v="Company B"/>
    <x v="4"/>
    <s v="Sara"/>
    <x v="2"/>
    <x v="3"/>
    <n v="159"/>
    <n v="5"/>
    <n v="795"/>
    <n v="0"/>
  </r>
  <r>
    <s v="0107"/>
    <x v="15"/>
    <n v="7"/>
    <s v="Company G"/>
    <x v="7"/>
    <s v="Philip"/>
    <x v="1"/>
    <x v="3"/>
    <n v="159"/>
    <n v="5"/>
    <n v="795"/>
    <n v="0"/>
  </r>
  <r>
    <s v="0109"/>
    <x v="15"/>
    <n v="20"/>
    <s v="Company T"/>
    <x v="6"/>
    <s v="Jeff"/>
    <x v="0"/>
    <x v="3"/>
    <n v="159"/>
    <n v="7"/>
    <n v="1113"/>
    <n v="0"/>
  </r>
  <r>
    <s v="0114"/>
    <x v="18"/>
    <n v="9"/>
    <s v="Company I"/>
    <x v="7"/>
    <s v="Philip"/>
    <x v="1"/>
    <x v="3"/>
    <n v="159"/>
    <n v="4"/>
    <n v="636"/>
    <n v="0"/>
  </r>
  <r>
    <s v="0120"/>
    <x v="292"/>
    <n v="14"/>
    <s v="Company N"/>
    <x v="3"/>
    <s v="Sara"/>
    <x v="3"/>
    <x v="3"/>
    <n v="159"/>
    <n v="3"/>
    <n v="477"/>
    <n v="0"/>
  </r>
  <r>
    <s v="0125"/>
    <x v="19"/>
    <n v="10"/>
    <s v="Company J"/>
    <x v="7"/>
    <s v="Philip"/>
    <x v="1"/>
    <x v="3"/>
    <n v="159"/>
    <n v="0"/>
    <n v="0"/>
    <n v="0"/>
  </r>
  <r>
    <s v="0127"/>
    <x v="19"/>
    <n v="8"/>
    <s v="Company H"/>
    <x v="1"/>
    <s v="Steve"/>
    <x v="1"/>
    <x v="3"/>
    <n v="159"/>
    <n v="4"/>
    <n v="636"/>
    <n v="0"/>
  </r>
  <r>
    <s v="0132"/>
    <x v="20"/>
    <n v="7"/>
    <s v="Company G"/>
    <x v="7"/>
    <s v="Philip"/>
    <x v="1"/>
    <x v="3"/>
    <n v="159"/>
    <n v="9"/>
    <n v="1431"/>
    <n v="0"/>
  </r>
  <r>
    <s v="0134"/>
    <x v="537"/>
    <n v="13"/>
    <s v="Company M"/>
    <x v="3"/>
    <s v="Sara"/>
    <x v="3"/>
    <x v="3"/>
    <n v="159"/>
    <n v="7"/>
    <n v="1113"/>
    <n v="0"/>
  </r>
  <r>
    <s v="0141"/>
    <x v="21"/>
    <n v="10"/>
    <s v="Company J"/>
    <x v="7"/>
    <s v="Philip"/>
    <x v="1"/>
    <x v="3"/>
    <n v="159"/>
    <n v="8"/>
    <n v="1272"/>
    <n v="0"/>
  </r>
  <r>
    <s v="0144"/>
    <x v="21"/>
    <n v="13"/>
    <s v="Company M"/>
    <x v="5"/>
    <s v="Steve"/>
    <x v="3"/>
    <x v="3"/>
    <n v="159"/>
    <n v="2"/>
    <n v="318"/>
    <n v="0"/>
  </r>
  <r>
    <s v="0147"/>
    <x v="21"/>
    <n v="13"/>
    <s v="Company M"/>
    <x v="5"/>
    <s v="Steve"/>
    <x v="3"/>
    <x v="3"/>
    <n v="159"/>
    <n v="5"/>
    <n v="795"/>
    <n v="0"/>
  </r>
  <r>
    <s v="0152"/>
    <x v="21"/>
    <n v="12"/>
    <s v="Company L"/>
    <x v="3"/>
    <s v="Sara"/>
    <x v="3"/>
    <x v="3"/>
    <n v="159"/>
    <n v="6"/>
    <n v="954"/>
    <n v="0"/>
  </r>
  <r>
    <s v="0156"/>
    <x v="444"/>
    <n v="18"/>
    <s v="Company R"/>
    <x v="0"/>
    <s v="Jeff"/>
    <x v="0"/>
    <x v="3"/>
    <n v="159"/>
    <n v="4"/>
    <n v="636"/>
    <n v="0"/>
  </r>
  <r>
    <s v="0159"/>
    <x v="293"/>
    <n v="20"/>
    <s v="Company T"/>
    <x v="6"/>
    <s v="Jeff"/>
    <x v="0"/>
    <x v="3"/>
    <n v="159"/>
    <n v="6"/>
    <n v="954"/>
    <n v="0"/>
  </r>
  <r>
    <s v="0165"/>
    <x v="538"/>
    <n v="4"/>
    <s v="Company D"/>
    <x v="2"/>
    <s v="Jeff"/>
    <x v="2"/>
    <x v="3"/>
    <n v="159"/>
    <n v="1"/>
    <n v="159"/>
    <n v="0"/>
  </r>
  <r>
    <s v="0168"/>
    <x v="539"/>
    <n v="7"/>
    <s v="Company G"/>
    <x v="7"/>
    <s v="Philip"/>
    <x v="1"/>
    <x v="3"/>
    <n v="159"/>
    <n v="2"/>
    <n v="318"/>
    <n v="0"/>
  </r>
  <r>
    <s v="0178"/>
    <x v="295"/>
    <n v="13"/>
    <s v="Company M"/>
    <x v="3"/>
    <s v="Sara"/>
    <x v="3"/>
    <x v="3"/>
    <n v="159"/>
    <n v="1"/>
    <n v="159"/>
    <n v="0"/>
  </r>
  <r>
    <s v="0182"/>
    <x v="295"/>
    <n v="1"/>
    <s v="Company A"/>
    <x v="2"/>
    <s v="Jeff"/>
    <x v="2"/>
    <x v="3"/>
    <n v="159"/>
    <n v="2"/>
    <n v="318"/>
    <n v="0"/>
  </r>
  <r>
    <s v="0184"/>
    <x v="23"/>
    <n v="12"/>
    <s v="Company L"/>
    <x v="5"/>
    <s v="Steve"/>
    <x v="3"/>
    <x v="3"/>
    <n v="159"/>
    <n v="7"/>
    <n v="1113"/>
    <n v="0"/>
  </r>
  <r>
    <s v="0191"/>
    <x v="25"/>
    <n v="11"/>
    <s v="Company K"/>
    <x v="3"/>
    <s v="Sara"/>
    <x v="3"/>
    <x v="3"/>
    <n v="159"/>
    <n v="4"/>
    <n v="636"/>
    <n v="0"/>
  </r>
  <r>
    <s v="0193"/>
    <x v="446"/>
    <n v="9"/>
    <s v="Company I"/>
    <x v="1"/>
    <s v="Steve"/>
    <x v="1"/>
    <x v="3"/>
    <n v="159"/>
    <n v="1"/>
    <n v="159"/>
    <n v="0"/>
  </r>
  <r>
    <s v="0195"/>
    <x v="446"/>
    <n v="15"/>
    <s v="Company O"/>
    <x v="5"/>
    <s v="Steve"/>
    <x v="3"/>
    <x v="3"/>
    <n v="159"/>
    <n v="8"/>
    <n v="1272"/>
    <n v="0"/>
  </r>
  <r>
    <s v="0198"/>
    <x v="540"/>
    <n v="18"/>
    <s v="Company R"/>
    <x v="6"/>
    <s v="Jeff"/>
    <x v="0"/>
    <x v="3"/>
    <n v="159"/>
    <n v="6"/>
    <n v="954"/>
    <n v="0"/>
  </r>
  <r>
    <s v="0199"/>
    <x v="541"/>
    <n v="17"/>
    <s v="Company Q"/>
    <x v="0"/>
    <s v="Jeff"/>
    <x v="0"/>
    <x v="3"/>
    <n v="159"/>
    <n v="4"/>
    <n v="636"/>
    <n v="0"/>
  </r>
  <r>
    <s v="0209"/>
    <x v="27"/>
    <n v="16"/>
    <s v="Company P"/>
    <x v="0"/>
    <s v="Jeff"/>
    <x v="0"/>
    <x v="3"/>
    <n v="159"/>
    <n v="3"/>
    <n v="477"/>
    <n v="0"/>
  </r>
  <r>
    <s v="0213"/>
    <x v="542"/>
    <n v="1"/>
    <s v="Company A"/>
    <x v="4"/>
    <s v="Sara"/>
    <x v="2"/>
    <x v="3"/>
    <n v="159"/>
    <n v="2"/>
    <n v="318"/>
    <n v="0"/>
  </r>
  <r>
    <s v="0218"/>
    <x v="28"/>
    <n v="8"/>
    <s v="Company H"/>
    <x v="1"/>
    <s v="Steve"/>
    <x v="1"/>
    <x v="3"/>
    <n v="159"/>
    <n v="2"/>
    <n v="318"/>
    <n v="0"/>
  </r>
  <r>
    <s v="0219"/>
    <x v="28"/>
    <n v="7"/>
    <s v="Company G"/>
    <x v="1"/>
    <s v="Steve"/>
    <x v="1"/>
    <x v="3"/>
    <n v="159"/>
    <n v="1"/>
    <n v="159"/>
    <n v="0"/>
  </r>
  <r>
    <s v="0220"/>
    <x v="28"/>
    <n v="17"/>
    <s v="Company Q"/>
    <x v="0"/>
    <s v="Jeff"/>
    <x v="0"/>
    <x v="3"/>
    <n v="159"/>
    <n v="2"/>
    <n v="318"/>
    <n v="0"/>
  </r>
  <r>
    <s v="0221"/>
    <x v="28"/>
    <n v="13"/>
    <s v="Company M"/>
    <x v="3"/>
    <s v="Sara"/>
    <x v="3"/>
    <x v="3"/>
    <n v="159"/>
    <n v="3"/>
    <n v="477"/>
    <n v="0"/>
  </r>
  <r>
    <s v="0223"/>
    <x v="28"/>
    <n v="10"/>
    <s v="Company J"/>
    <x v="1"/>
    <s v="Steve"/>
    <x v="1"/>
    <x v="3"/>
    <n v="159"/>
    <n v="8"/>
    <n v="1272"/>
    <n v="0"/>
  </r>
  <r>
    <s v="0244"/>
    <x v="300"/>
    <n v="4"/>
    <s v="Company D"/>
    <x v="2"/>
    <s v="Jeff"/>
    <x v="2"/>
    <x v="3"/>
    <n v="159"/>
    <n v="2"/>
    <n v="318"/>
    <n v="0"/>
  </r>
  <r>
    <s v="0245"/>
    <x v="33"/>
    <n v="19"/>
    <s v="Company S"/>
    <x v="6"/>
    <s v="Jeff"/>
    <x v="0"/>
    <x v="3"/>
    <n v="159"/>
    <n v="0"/>
    <n v="0"/>
    <n v="0"/>
  </r>
  <r>
    <s v="0250"/>
    <x v="33"/>
    <n v="8"/>
    <s v="Company H"/>
    <x v="7"/>
    <s v="Philip"/>
    <x v="1"/>
    <x v="3"/>
    <n v="159"/>
    <n v="7"/>
    <n v="1113"/>
    <n v="0"/>
  </r>
  <r>
    <s v="0254"/>
    <x v="450"/>
    <n v="6"/>
    <s v="Company F"/>
    <x v="7"/>
    <s v="Philip"/>
    <x v="1"/>
    <x v="3"/>
    <n v="159"/>
    <n v="4"/>
    <n v="636"/>
    <n v="0"/>
  </r>
  <r>
    <s v="0256"/>
    <x v="450"/>
    <n v="18"/>
    <s v="Company R"/>
    <x v="6"/>
    <s v="Jeff"/>
    <x v="0"/>
    <x v="3"/>
    <n v="159"/>
    <n v="2"/>
    <n v="318"/>
    <n v="0"/>
  </r>
  <r>
    <s v="0262"/>
    <x v="543"/>
    <n v="8"/>
    <s v="Company H"/>
    <x v="1"/>
    <s v="Steve"/>
    <x v="1"/>
    <x v="3"/>
    <n v="159"/>
    <n v="1"/>
    <n v="159"/>
    <n v="0"/>
  </r>
  <r>
    <s v="0263"/>
    <x v="544"/>
    <n v="7"/>
    <s v="Company G"/>
    <x v="1"/>
    <s v="Steve"/>
    <x v="1"/>
    <x v="3"/>
    <n v="159"/>
    <n v="5"/>
    <n v="795"/>
    <n v="0"/>
  </r>
  <r>
    <s v="0276"/>
    <x v="35"/>
    <n v="2"/>
    <s v="Company B"/>
    <x v="2"/>
    <s v="Jeff"/>
    <x v="2"/>
    <x v="3"/>
    <n v="159"/>
    <n v="7"/>
    <n v="1113"/>
    <n v="0"/>
  </r>
  <r>
    <s v="0282"/>
    <x v="302"/>
    <n v="16"/>
    <s v="Company P"/>
    <x v="6"/>
    <s v="Jeff"/>
    <x v="0"/>
    <x v="3"/>
    <n v="159"/>
    <n v="6"/>
    <n v="954"/>
    <n v="0"/>
  </r>
  <r>
    <s v="0283"/>
    <x v="302"/>
    <n v="20"/>
    <s v="Company T"/>
    <x v="0"/>
    <s v="Jeff"/>
    <x v="0"/>
    <x v="3"/>
    <n v="159"/>
    <n v="0"/>
    <n v="0"/>
    <n v="0"/>
  </r>
  <r>
    <s v="0284"/>
    <x v="302"/>
    <n v="2"/>
    <s v="Company B"/>
    <x v="2"/>
    <s v="Jeff"/>
    <x v="2"/>
    <x v="3"/>
    <n v="159"/>
    <n v="4"/>
    <n v="636"/>
    <n v="0"/>
  </r>
  <r>
    <s v="0288"/>
    <x v="302"/>
    <n v="3"/>
    <s v="Company C"/>
    <x v="4"/>
    <s v="Sara"/>
    <x v="2"/>
    <x v="3"/>
    <n v="159"/>
    <n v="2"/>
    <n v="318"/>
    <n v="0"/>
  </r>
  <r>
    <s v="0290"/>
    <x v="545"/>
    <n v="3"/>
    <s v="Company C"/>
    <x v="2"/>
    <s v="Jeff"/>
    <x v="2"/>
    <x v="3"/>
    <n v="159"/>
    <n v="9"/>
    <n v="1431"/>
    <n v="0"/>
  </r>
  <r>
    <s v="0292"/>
    <x v="452"/>
    <n v="1"/>
    <s v="Company A"/>
    <x v="4"/>
    <s v="Sara"/>
    <x v="2"/>
    <x v="3"/>
    <n v="159"/>
    <n v="0"/>
    <n v="0"/>
    <n v="0"/>
  </r>
  <r>
    <s v="0294"/>
    <x v="452"/>
    <n v="16"/>
    <s v="Company P"/>
    <x v="6"/>
    <s v="Jeff"/>
    <x v="0"/>
    <x v="3"/>
    <n v="159"/>
    <n v="2"/>
    <n v="318"/>
    <n v="0"/>
  </r>
  <r>
    <s v="0303"/>
    <x v="546"/>
    <n v="20"/>
    <s v="Company T"/>
    <x v="6"/>
    <s v="Jeff"/>
    <x v="0"/>
    <x v="3"/>
    <n v="159"/>
    <n v="0"/>
    <n v="0"/>
    <n v="0"/>
  </r>
  <r>
    <s v="0306"/>
    <x v="304"/>
    <n v="1"/>
    <s v="Company A"/>
    <x v="2"/>
    <s v="Jeff"/>
    <x v="2"/>
    <x v="3"/>
    <n v="159"/>
    <n v="3"/>
    <n v="477"/>
    <n v="0"/>
  </r>
  <r>
    <s v="0324"/>
    <x v="40"/>
    <n v="17"/>
    <s v="Company Q"/>
    <x v="0"/>
    <s v="Jeff"/>
    <x v="0"/>
    <x v="3"/>
    <n v="159"/>
    <n v="4"/>
    <n v="636"/>
    <n v="0"/>
  </r>
  <r>
    <s v="0336"/>
    <x v="547"/>
    <n v="4"/>
    <s v="Company D"/>
    <x v="2"/>
    <s v="Jeff"/>
    <x v="2"/>
    <x v="3"/>
    <n v="159"/>
    <n v="9"/>
    <n v="1431"/>
    <n v="0"/>
  </r>
  <r>
    <s v="0340"/>
    <x v="42"/>
    <n v="8"/>
    <s v="Company H"/>
    <x v="1"/>
    <s v="Steve"/>
    <x v="1"/>
    <x v="3"/>
    <n v="159"/>
    <n v="6"/>
    <n v="954"/>
    <n v="0"/>
  </r>
  <r>
    <s v="0343"/>
    <x v="42"/>
    <n v="5"/>
    <s v="Company E"/>
    <x v="2"/>
    <s v="Jeff"/>
    <x v="2"/>
    <x v="3"/>
    <n v="159"/>
    <n v="0"/>
    <n v="0"/>
    <n v="0"/>
  </r>
  <r>
    <s v="0349"/>
    <x v="42"/>
    <n v="13"/>
    <s v="Company M"/>
    <x v="5"/>
    <s v="Steve"/>
    <x v="3"/>
    <x v="3"/>
    <n v="159"/>
    <n v="5"/>
    <n v="795"/>
    <n v="0"/>
  </r>
  <r>
    <s v="0352"/>
    <x v="42"/>
    <n v="10"/>
    <s v="Company J"/>
    <x v="1"/>
    <s v="Steve"/>
    <x v="1"/>
    <x v="3"/>
    <n v="159"/>
    <n v="9"/>
    <n v="1431"/>
    <n v="0"/>
  </r>
  <r>
    <s v="0363"/>
    <x v="45"/>
    <n v="5"/>
    <s v="Company E"/>
    <x v="4"/>
    <s v="Sara"/>
    <x v="2"/>
    <x v="3"/>
    <n v="159"/>
    <n v="5"/>
    <n v="795"/>
    <n v="0"/>
  </r>
  <r>
    <s v="0364"/>
    <x v="45"/>
    <n v="16"/>
    <s v="Company P"/>
    <x v="0"/>
    <s v="Jeff"/>
    <x v="0"/>
    <x v="3"/>
    <n v="159"/>
    <n v="9"/>
    <n v="1431"/>
    <n v="0"/>
  </r>
  <r>
    <s v="0369"/>
    <x v="310"/>
    <n v="6"/>
    <s v="Company F"/>
    <x v="1"/>
    <s v="Steve"/>
    <x v="1"/>
    <x v="3"/>
    <n v="159"/>
    <n v="7"/>
    <n v="1113"/>
    <n v="0"/>
  </r>
  <r>
    <s v="0371"/>
    <x v="310"/>
    <n v="18"/>
    <s v="Company R"/>
    <x v="0"/>
    <s v="Jeff"/>
    <x v="0"/>
    <x v="3"/>
    <n v="159"/>
    <n v="8"/>
    <n v="1272"/>
    <n v="0"/>
  </r>
  <r>
    <s v="0375"/>
    <x v="46"/>
    <n v="15"/>
    <s v="Company O"/>
    <x v="5"/>
    <s v="Steve"/>
    <x v="3"/>
    <x v="3"/>
    <n v="159"/>
    <n v="4"/>
    <n v="636"/>
    <n v="0"/>
  </r>
  <r>
    <s v="0379"/>
    <x v="46"/>
    <n v="15"/>
    <s v="Company O"/>
    <x v="3"/>
    <s v="Sara"/>
    <x v="3"/>
    <x v="3"/>
    <n v="159"/>
    <n v="0"/>
    <n v="0"/>
    <n v="0"/>
  </r>
  <r>
    <s v="0380"/>
    <x v="548"/>
    <n v="19"/>
    <s v="Company S"/>
    <x v="0"/>
    <s v="Jeff"/>
    <x v="0"/>
    <x v="3"/>
    <n v="159"/>
    <n v="5"/>
    <n v="795"/>
    <n v="0"/>
  </r>
  <r>
    <s v="0383"/>
    <x v="47"/>
    <n v="2"/>
    <s v="Company B"/>
    <x v="2"/>
    <s v="Jeff"/>
    <x v="2"/>
    <x v="3"/>
    <n v="159"/>
    <n v="7"/>
    <n v="1113"/>
    <n v="0"/>
  </r>
  <r>
    <s v="0384"/>
    <x v="47"/>
    <n v="1"/>
    <s v="Company A"/>
    <x v="4"/>
    <s v="Sara"/>
    <x v="2"/>
    <x v="3"/>
    <n v="159"/>
    <n v="5"/>
    <n v="795"/>
    <n v="0"/>
  </r>
  <r>
    <s v="0387"/>
    <x v="47"/>
    <n v="9"/>
    <s v="Company I"/>
    <x v="1"/>
    <s v="Steve"/>
    <x v="1"/>
    <x v="3"/>
    <n v="159"/>
    <n v="8"/>
    <n v="1272"/>
    <n v="0"/>
  </r>
  <r>
    <s v="0396"/>
    <x v="312"/>
    <n v="14"/>
    <s v="Company N"/>
    <x v="5"/>
    <s v="Steve"/>
    <x v="3"/>
    <x v="3"/>
    <n v="159"/>
    <n v="5"/>
    <n v="795"/>
    <n v="0"/>
  </r>
  <r>
    <s v="0398"/>
    <x v="48"/>
    <n v="18"/>
    <s v="Company R"/>
    <x v="0"/>
    <s v="Jeff"/>
    <x v="0"/>
    <x v="3"/>
    <n v="159"/>
    <n v="0"/>
    <n v="0"/>
    <n v="0"/>
  </r>
  <r>
    <s v="0404"/>
    <x v="313"/>
    <n v="5"/>
    <s v="Company E"/>
    <x v="2"/>
    <s v="Jeff"/>
    <x v="2"/>
    <x v="3"/>
    <n v="159"/>
    <n v="9"/>
    <n v="1431"/>
    <n v="0"/>
  </r>
  <r>
    <s v="0405"/>
    <x v="313"/>
    <n v="1"/>
    <s v="Company A"/>
    <x v="2"/>
    <s v="Jeff"/>
    <x v="2"/>
    <x v="3"/>
    <n v="159"/>
    <n v="5"/>
    <n v="795"/>
    <n v="0"/>
  </r>
  <r>
    <s v="0406"/>
    <x v="313"/>
    <n v="6"/>
    <s v="Company F"/>
    <x v="1"/>
    <s v="Steve"/>
    <x v="1"/>
    <x v="3"/>
    <n v="159"/>
    <n v="8"/>
    <n v="1272"/>
    <n v="0"/>
  </r>
  <r>
    <s v="0410"/>
    <x v="313"/>
    <n v="16"/>
    <s v="Company P"/>
    <x v="0"/>
    <s v="Jeff"/>
    <x v="0"/>
    <x v="3"/>
    <n v="159"/>
    <n v="4"/>
    <n v="636"/>
    <n v="0"/>
  </r>
  <r>
    <s v="0411"/>
    <x v="313"/>
    <n v="8"/>
    <s v="Company H"/>
    <x v="1"/>
    <s v="Steve"/>
    <x v="1"/>
    <x v="3"/>
    <n v="159"/>
    <n v="4"/>
    <n v="636"/>
    <n v="0"/>
  </r>
  <r>
    <s v="0415"/>
    <x v="456"/>
    <n v="17"/>
    <s v="Company Q"/>
    <x v="0"/>
    <s v="Jeff"/>
    <x v="0"/>
    <x v="3"/>
    <n v="159"/>
    <n v="7"/>
    <n v="1113"/>
    <n v="0"/>
  </r>
  <r>
    <s v="0418"/>
    <x v="457"/>
    <n v="6"/>
    <s v="Company F"/>
    <x v="1"/>
    <s v="Steve"/>
    <x v="1"/>
    <x v="3"/>
    <n v="159"/>
    <n v="9"/>
    <n v="1431"/>
    <n v="0"/>
  </r>
  <r>
    <s v="0420"/>
    <x v="549"/>
    <n v="18"/>
    <s v="Company R"/>
    <x v="0"/>
    <s v="Jeff"/>
    <x v="0"/>
    <x v="3"/>
    <n v="159"/>
    <n v="9"/>
    <n v="1431"/>
    <n v="0"/>
  </r>
  <r>
    <s v="0421"/>
    <x v="549"/>
    <n v="6"/>
    <s v="Company F"/>
    <x v="1"/>
    <s v="Steve"/>
    <x v="1"/>
    <x v="3"/>
    <n v="159"/>
    <n v="4"/>
    <n v="636"/>
    <n v="0"/>
  </r>
  <r>
    <s v="0422"/>
    <x v="314"/>
    <n v="4"/>
    <s v="Company D"/>
    <x v="4"/>
    <s v="Sara"/>
    <x v="2"/>
    <x v="3"/>
    <n v="159"/>
    <n v="9"/>
    <n v="1431"/>
    <n v="0"/>
  </r>
  <r>
    <s v="0439"/>
    <x v="51"/>
    <n v="16"/>
    <s v="Company P"/>
    <x v="0"/>
    <s v="Jeff"/>
    <x v="0"/>
    <x v="3"/>
    <n v="159"/>
    <n v="1"/>
    <n v="159"/>
    <n v="0"/>
  </r>
  <r>
    <s v="0448"/>
    <x v="52"/>
    <n v="10"/>
    <s v="Company J"/>
    <x v="7"/>
    <s v="Philip"/>
    <x v="1"/>
    <x v="3"/>
    <n v="159"/>
    <n v="1"/>
    <n v="159"/>
    <n v="0"/>
  </r>
  <r>
    <s v="0454"/>
    <x v="52"/>
    <n v="13"/>
    <s v="Company M"/>
    <x v="3"/>
    <s v="Sara"/>
    <x v="3"/>
    <x v="3"/>
    <n v="159"/>
    <n v="8"/>
    <n v="1272"/>
    <n v="0"/>
  </r>
  <r>
    <s v="0457"/>
    <x v="53"/>
    <n v="3"/>
    <s v="Company C"/>
    <x v="2"/>
    <s v="Jeff"/>
    <x v="2"/>
    <x v="3"/>
    <n v="159"/>
    <n v="9"/>
    <n v="1431"/>
    <n v="0"/>
  </r>
  <r>
    <s v="0459"/>
    <x v="53"/>
    <n v="5"/>
    <s v="Company E"/>
    <x v="4"/>
    <s v="Sara"/>
    <x v="2"/>
    <x v="3"/>
    <n v="159"/>
    <n v="1"/>
    <n v="159"/>
    <n v="0"/>
  </r>
  <r>
    <s v="0460"/>
    <x v="54"/>
    <n v="11"/>
    <s v="Company K"/>
    <x v="5"/>
    <s v="Steve"/>
    <x v="3"/>
    <x v="3"/>
    <n v="159"/>
    <n v="4"/>
    <n v="636"/>
    <n v="0"/>
  </r>
  <r>
    <s v="0465"/>
    <x v="55"/>
    <n v="11"/>
    <s v="Company K"/>
    <x v="5"/>
    <s v="Steve"/>
    <x v="3"/>
    <x v="3"/>
    <n v="159"/>
    <n v="9"/>
    <n v="1431"/>
    <n v="0"/>
  </r>
  <r>
    <s v="0466"/>
    <x v="55"/>
    <n v="2"/>
    <s v="Company B"/>
    <x v="2"/>
    <s v="Jeff"/>
    <x v="2"/>
    <x v="3"/>
    <n v="159"/>
    <n v="3"/>
    <n v="477"/>
    <n v="0"/>
  </r>
  <r>
    <s v="0468"/>
    <x v="55"/>
    <n v="18"/>
    <s v="Company R"/>
    <x v="0"/>
    <s v="Jeff"/>
    <x v="0"/>
    <x v="3"/>
    <n v="159"/>
    <n v="9"/>
    <n v="1431"/>
    <n v="0"/>
  </r>
  <r>
    <s v="0476"/>
    <x v="58"/>
    <n v="8"/>
    <s v="Company H"/>
    <x v="7"/>
    <s v="Philip"/>
    <x v="1"/>
    <x v="3"/>
    <n v="159"/>
    <n v="3"/>
    <n v="477"/>
    <n v="0"/>
  </r>
  <r>
    <s v="0478"/>
    <x v="58"/>
    <n v="6"/>
    <s v="Company F"/>
    <x v="7"/>
    <s v="Philip"/>
    <x v="1"/>
    <x v="3"/>
    <n v="159"/>
    <n v="3"/>
    <n v="477"/>
    <n v="0"/>
  </r>
  <r>
    <s v="0479"/>
    <x v="58"/>
    <n v="7"/>
    <s v="Company G"/>
    <x v="7"/>
    <s v="Philip"/>
    <x v="1"/>
    <x v="3"/>
    <n v="159"/>
    <n v="2"/>
    <n v="318"/>
    <n v="0"/>
  </r>
  <r>
    <s v="0486"/>
    <x v="317"/>
    <n v="8"/>
    <s v="Company H"/>
    <x v="7"/>
    <s v="Philip"/>
    <x v="1"/>
    <x v="3"/>
    <n v="159"/>
    <n v="4"/>
    <n v="636"/>
    <n v="0"/>
  </r>
  <r>
    <s v="0488"/>
    <x v="317"/>
    <n v="20"/>
    <s v="Company T"/>
    <x v="6"/>
    <s v="Jeff"/>
    <x v="0"/>
    <x v="3"/>
    <n v="159"/>
    <n v="2"/>
    <n v="318"/>
    <n v="0"/>
  </r>
  <r>
    <s v="0489"/>
    <x v="317"/>
    <n v="13"/>
    <s v="Company M"/>
    <x v="3"/>
    <s v="Sara"/>
    <x v="3"/>
    <x v="3"/>
    <n v="159"/>
    <n v="7"/>
    <n v="1113"/>
    <n v="0"/>
  </r>
  <r>
    <s v="0490"/>
    <x v="317"/>
    <n v="13"/>
    <s v="Company M"/>
    <x v="3"/>
    <s v="Sara"/>
    <x v="3"/>
    <x v="3"/>
    <n v="159"/>
    <n v="4"/>
    <n v="636"/>
    <n v="0"/>
  </r>
  <r>
    <s v="0494"/>
    <x v="59"/>
    <n v="16"/>
    <s v="Company P"/>
    <x v="0"/>
    <s v="Jeff"/>
    <x v="0"/>
    <x v="3"/>
    <n v="159"/>
    <n v="9"/>
    <n v="1431"/>
    <n v="0"/>
  </r>
  <r>
    <s v="0509"/>
    <x v="319"/>
    <n v="19"/>
    <s v="Company S"/>
    <x v="6"/>
    <s v="Jeff"/>
    <x v="0"/>
    <x v="3"/>
    <n v="159"/>
    <n v="8"/>
    <n v="1272"/>
    <n v="0"/>
  </r>
  <r>
    <s v="0525"/>
    <x v="61"/>
    <n v="7"/>
    <s v="Company G"/>
    <x v="7"/>
    <s v="Philip"/>
    <x v="1"/>
    <x v="3"/>
    <n v="159"/>
    <n v="3"/>
    <n v="477"/>
    <n v="0"/>
  </r>
  <r>
    <s v="0534"/>
    <x v="460"/>
    <n v="7"/>
    <s v="Company G"/>
    <x v="1"/>
    <s v="Steve"/>
    <x v="1"/>
    <x v="3"/>
    <n v="159"/>
    <n v="9"/>
    <n v="1431"/>
    <n v="0"/>
  </r>
  <r>
    <s v="0540"/>
    <x v="63"/>
    <n v="9"/>
    <s v="Company I"/>
    <x v="1"/>
    <s v="Steve"/>
    <x v="1"/>
    <x v="3"/>
    <n v="159"/>
    <n v="3"/>
    <n v="477"/>
    <n v="0"/>
  </r>
  <r>
    <s v="0543"/>
    <x v="63"/>
    <n v="20"/>
    <s v="Company T"/>
    <x v="0"/>
    <s v="Jeff"/>
    <x v="0"/>
    <x v="3"/>
    <n v="159"/>
    <n v="5"/>
    <n v="795"/>
    <n v="0"/>
  </r>
  <r>
    <s v="0550"/>
    <x v="65"/>
    <n v="18"/>
    <s v="Company R"/>
    <x v="6"/>
    <s v="Jeff"/>
    <x v="0"/>
    <x v="3"/>
    <n v="159"/>
    <n v="0"/>
    <n v="0"/>
    <n v="0"/>
  </r>
  <r>
    <s v="0557"/>
    <x v="66"/>
    <n v="5"/>
    <s v="Company E"/>
    <x v="4"/>
    <s v="Sara"/>
    <x v="2"/>
    <x v="3"/>
    <n v="159"/>
    <n v="1"/>
    <n v="159"/>
    <n v="0"/>
  </r>
  <r>
    <s v="0566"/>
    <x v="68"/>
    <n v="10"/>
    <s v="Company J"/>
    <x v="7"/>
    <s v="Philip"/>
    <x v="1"/>
    <x v="3"/>
    <n v="159"/>
    <n v="8"/>
    <n v="1272"/>
    <n v="0"/>
  </r>
  <r>
    <s v="0567"/>
    <x v="68"/>
    <n v="1"/>
    <s v="Company A"/>
    <x v="4"/>
    <s v="Sara"/>
    <x v="2"/>
    <x v="3"/>
    <n v="159"/>
    <n v="8"/>
    <n v="1272"/>
    <n v="0"/>
  </r>
  <r>
    <s v="0569"/>
    <x v="550"/>
    <n v="18"/>
    <s v="Company R"/>
    <x v="6"/>
    <s v="Jeff"/>
    <x v="0"/>
    <x v="3"/>
    <n v="159"/>
    <n v="7"/>
    <n v="1113"/>
    <n v="0"/>
  </r>
  <r>
    <s v="0572"/>
    <x v="324"/>
    <n v="11"/>
    <s v="Company K"/>
    <x v="5"/>
    <s v="Steve"/>
    <x v="3"/>
    <x v="3"/>
    <n v="159"/>
    <n v="4"/>
    <n v="636"/>
    <n v="0"/>
  </r>
  <r>
    <s v="0574"/>
    <x v="551"/>
    <n v="5"/>
    <s v="Company E"/>
    <x v="2"/>
    <s v="Jeff"/>
    <x v="2"/>
    <x v="3"/>
    <n v="159"/>
    <n v="3"/>
    <n v="477"/>
    <n v="0"/>
  </r>
  <r>
    <s v="0577"/>
    <x v="551"/>
    <n v="12"/>
    <s v="Company L"/>
    <x v="3"/>
    <s v="Sara"/>
    <x v="3"/>
    <x v="3"/>
    <n v="159"/>
    <n v="6"/>
    <n v="954"/>
    <n v="0"/>
  </r>
  <r>
    <s v="0580"/>
    <x v="71"/>
    <n v="15"/>
    <s v="Company O"/>
    <x v="5"/>
    <s v="Steve"/>
    <x v="3"/>
    <x v="3"/>
    <n v="159"/>
    <n v="6"/>
    <n v="954"/>
    <n v="0"/>
  </r>
  <r>
    <s v="0581"/>
    <x v="71"/>
    <n v="15"/>
    <s v="Company O"/>
    <x v="3"/>
    <s v="Sara"/>
    <x v="3"/>
    <x v="3"/>
    <n v="159"/>
    <n v="8"/>
    <n v="1272"/>
    <n v="0"/>
  </r>
  <r>
    <s v="0590"/>
    <x v="72"/>
    <n v="18"/>
    <s v="Company R"/>
    <x v="0"/>
    <s v="Jeff"/>
    <x v="0"/>
    <x v="3"/>
    <n v="159"/>
    <n v="5"/>
    <n v="795"/>
    <n v="0"/>
  </r>
  <r>
    <s v="0599"/>
    <x v="74"/>
    <n v="2"/>
    <s v="Company B"/>
    <x v="2"/>
    <s v="Jeff"/>
    <x v="2"/>
    <x v="3"/>
    <n v="159"/>
    <n v="5"/>
    <n v="795"/>
    <n v="0"/>
  </r>
  <r>
    <s v="0605"/>
    <x v="552"/>
    <n v="15"/>
    <s v="Company O"/>
    <x v="5"/>
    <s v="Steve"/>
    <x v="3"/>
    <x v="3"/>
    <n v="159"/>
    <n v="5"/>
    <n v="795"/>
    <n v="0"/>
  </r>
  <r>
    <s v="0615"/>
    <x v="553"/>
    <n v="10"/>
    <s v="Company J"/>
    <x v="7"/>
    <s v="Philip"/>
    <x v="1"/>
    <x v="3"/>
    <n v="159"/>
    <n v="2"/>
    <n v="318"/>
    <n v="0"/>
  </r>
  <r>
    <s v="0620"/>
    <x v="328"/>
    <n v="20"/>
    <s v="Company T"/>
    <x v="0"/>
    <s v="Jeff"/>
    <x v="0"/>
    <x v="3"/>
    <n v="159"/>
    <n v="9"/>
    <n v="1431"/>
    <n v="0"/>
  </r>
  <r>
    <s v="0621"/>
    <x v="328"/>
    <n v="10"/>
    <s v="Company J"/>
    <x v="1"/>
    <s v="Steve"/>
    <x v="1"/>
    <x v="3"/>
    <n v="159"/>
    <n v="7"/>
    <n v="1113"/>
    <n v="0"/>
  </r>
  <r>
    <s v="0622"/>
    <x v="328"/>
    <n v="13"/>
    <s v="Company M"/>
    <x v="5"/>
    <s v="Steve"/>
    <x v="3"/>
    <x v="3"/>
    <n v="159"/>
    <n v="9"/>
    <n v="1431"/>
    <n v="0"/>
  </r>
  <r>
    <s v="0630"/>
    <x v="554"/>
    <n v="10"/>
    <s v="Company J"/>
    <x v="7"/>
    <s v="Philip"/>
    <x v="1"/>
    <x v="3"/>
    <n v="159"/>
    <n v="3"/>
    <n v="477"/>
    <n v="0"/>
  </r>
  <r>
    <s v="0633"/>
    <x v="78"/>
    <n v="20"/>
    <s v="Company T"/>
    <x v="6"/>
    <s v="Jeff"/>
    <x v="0"/>
    <x v="3"/>
    <n v="159"/>
    <n v="3"/>
    <n v="477"/>
    <n v="0"/>
  </r>
  <r>
    <s v="0635"/>
    <x v="78"/>
    <n v="3"/>
    <s v="Company C"/>
    <x v="2"/>
    <s v="Jeff"/>
    <x v="2"/>
    <x v="3"/>
    <n v="159"/>
    <n v="5"/>
    <n v="795"/>
    <n v="0"/>
  </r>
  <r>
    <s v="0637"/>
    <x v="79"/>
    <n v="17"/>
    <s v="Company Q"/>
    <x v="6"/>
    <s v="Jeff"/>
    <x v="0"/>
    <x v="3"/>
    <n v="159"/>
    <n v="6"/>
    <n v="954"/>
    <n v="0"/>
  </r>
  <r>
    <s v="0638"/>
    <x v="79"/>
    <n v="11"/>
    <s v="Company K"/>
    <x v="3"/>
    <s v="Sara"/>
    <x v="3"/>
    <x v="3"/>
    <n v="159"/>
    <n v="5"/>
    <n v="795"/>
    <n v="0"/>
  </r>
  <r>
    <s v="0651"/>
    <x v="82"/>
    <n v="17"/>
    <s v="Company Q"/>
    <x v="0"/>
    <s v="Jeff"/>
    <x v="0"/>
    <x v="3"/>
    <n v="159"/>
    <n v="2"/>
    <n v="318"/>
    <n v="0"/>
  </r>
  <r>
    <s v="0652"/>
    <x v="82"/>
    <n v="15"/>
    <s v="Company O"/>
    <x v="5"/>
    <s v="Steve"/>
    <x v="3"/>
    <x v="3"/>
    <n v="159"/>
    <n v="3"/>
    <n v="477"/>
    <n v="0"/>
  </r>
  <r>
    <s v="0653"/>
    <x v="330"/>
    <n v="5"/>
    <s v="Company E"/>
    <x v="4"/>
    <s v="Sara"/>
    <x v="2"/>
    <x v="3"/>
    <n v="159"/>
    <n v="1"/>
    <n v="159"/>
    <n v="0"/>
  </r>
  <r>
    <s v="0656"/>
    <x v="330"/>
    <n v="12"/>
    <s v="Company L"/>
    <x v="5"/>
    <s v="Steve"/>
    <x v="3"/>
    <x v="3"/>
    <n v="159"/>
    <n v="5"/>
    <n v="795"/>
    <n v="0"/>
  </r>
  <r>
    <s v="0658"/>
    <x v="330"/>
    <n v="5"/>
    <s v="Company E"/>
    <x v="2"/>
    <s v="Jeff"/>
    <x v="2"/>
    <x v="3"/>
    <n v="159"/>
    <n v="9"/>
    <n v="1431"/>
    <n v="0"/>
  </r>
  <r>
    <s v="0661"/>
    <x v="555"/>
    <n v="16"/>
    <s v="Company P"/>
    <x v="6"/>
    <s v="Jeff"/>
    <x v="0"/>
    <x v="3"/>
    <n v="159"/>
    <n v="3"/>
    <n v="477"/>
    <n v="0"/>
  </r>
  <r>
    <s v="0663"/>
    <x v="555"/>
    <n v="20"/>
    <s v="Company T"/>
    <x v="6"/>
    <s v="Jeff"/>
    <x v="0"/>
    <x v="3"/>
    <n v="159"/>
    <n v="4"/>
    <n v="636"/>
    <n v="0"/>
  </r>
  <r>
    <s v="0672"/>
    <x v="556"/>
    <n v="12"/>
    <s v="Company L"/>
    <x v="3"/>
    <s v="Sara"/>
    <x v="3"/>
    <x v="3"/>
    <n v="159"/>
    <n v="7"/>
    <n v="1113"/>
    <n v="0"/>
  </r>
  <r>
    <s v="0673"/>
    <x v="556"/>
    <n v="17"/>
    <s v="Company Q"/>
    <x v="6"/>
    <s v="Jeff"/>
    <x v="0"/>
    <x v="3"/>
    <n v="159"/>
    <n v="8"/>
    <n v="1272"/>
    <n v="0"/>
  </r>
  <r>
    <s v="0675"/>
    <x v="332"/>
    <n v="13"/>
    <s v="Company M"/>
    <x v="3"/>
    <s v="Sara"/>
    <x v="3"/>
    <x v="3"/>
    <n v="159"/>
    <n v="4"/>
    <n v="636"/>
    <n v="0"/>
  </r>
  <r>
    <s v="0677"/>
    <x v="332"/>
    <n v="15"/>
    <s v="Company O"/>
    <x v="3"/>
    <s v="Sara"/>
    <x v="3"/>
    <x v="3"/>
    <n v="159"/>
    <n v="9"/>
    <n v="1431"/>
    <n v="0"/>
  </r>
  <r>
    <s v="0679"/>
    <x v="332"/>
    <n v="7"/>
    <s v="Company G"/>
    <x v="7"/>
    <s v="Philip"/>
    <x v="1"/>
    <x v="3"/>
    <n v="159"/>
    <n v="6"/>
    <n v="954"/>
    <n v="0"/>
  </r>
  <r>
    <s v="0684"/>
    <x v="86"/>
    <n v="18"/>
    <s v="Company R"/>
    <x v="6"/>
    <s v="Jeff"/>
    <x v="0"/>
    <x v="3"/>
    <n v="159"/>
    <n v="3"/>
    <n v="477"/>
    <n v="0"/>
  </r>
  <r>
    <s v="0689"/>
    <x v="86"/>
    <n v="19"/>
    <s v="Company S"/>
    <x v="0"/>
    <s v="Jeff"/>
    <x v="0"/>
    <x v="3"/>
    <n v="159"/>
    <n v="8"/>
    <n v="1272"/>
    <n v="0"/>
  </r>
  <r>
    <s v="0694"/>
    <x v="86"/>
    <n v="8"/>
    <s v="Company H"/>
    <x v="1"/>
    <s v="Steve"/>
    <x v="1"/>
    <x v="3"/>
    <n v="159"/>
    <n v="8"/>
    <n v="1272"/>
    <n v="0"/>
  </r>
  <r>
    <s v="0697"/>
    <x v="465"/>
    <n v="5"/>
    <s v="Company E"/>
    <x v="4"/>
    <s v="Sara"/>
    <x v="2"/>
    <x v="3"/>
    <n v="159"/>
    <n v="1"/>
    <n v="159"/>
    <n v="0"/>
  </r>
  <r>
    <s v="0706"/>
    <x v="337"/>
    <n v="7"/>
    <s v="Company G"/>
    <x v="1"/>
    <s v="Steve"/>
    <x v="1"/>
    <x v="3"/>
    <n v="159"/>
    <n v="2"/>
    <n v="318"/>
    <n v="0"/>
  </r>
  <r>
    <s v="0709"/>
    <x v="337"/>
    <n v="1"/>
    <s v="Company A"/>
    <x v="2"/>
    <s v="Jeff"/>
    <x v="2"/>
    <x v="3"/>
    <n v="159"/>
    <n v="9"/>
    <n v="1431"/>
    <n v="0"/>
  </r>
  <r>
    <s v="0712"/>
    <x v="557"/>
    <n v="12"/>
    <s v="Company L"/>
    <x v="3"/>
    <s v="Sara"/>
    <x v="3"/>
    <x v="3"/>
    <n v="159"/>
    <n v="0"/>
    <n v="0"/>
    <n v="0"/>
  </r>
  <r>
    <s v="0713"/>
    <x v="557"/>
    <n v="19"/>
    <s v="Company S"/>
    <x v="6"/>
    <s v="Jeff"/>
    <x v="0"/>
    <x v="3"/>
    <n v="159"/>
    <n v="8"/>
    <n v="1272"/>
    <n v="0"/>
  </r>
  <r>
    <s v="0715"/>
    <x v="338"/>
    <n v="13"/>
    <s v="Company M"/>
    <x v="5"/>
    <s v="Steve"/>
    <x v="3"/>
    <x v="3"/>
    <n v="159"/>
    <n v="5"/>
    <n v="795"/>
    <n v="0"/>
  </r>
  <r>
    <s v="0718"/>
    <x v="558"/>
    <n v="13"/>
    <s v="Company M"/>
    <x v="5"/>
    <s v="Steve"/>
    <x v="3"/>
    <x v="3"/>
    <n v="159"/>
    <n v="3"/>
    <n v="477"/>
    <n v="0"/>
  </r>
  <r>
    <s v="0719"/>
    <x v="558"/>
    <n v="2"/>
    <s v="Company B"/>
    <x v="4"/>
    <s v="Sara"/>
    <x v="2"/>
    <x v="3"/>
    <n v="159"/>
    <n v="4"/>
    <n v="636"/>
    <n v="0"/>
  </r>
  <r>
    <s v="0721"/>
    <x v="339"/>
    <n v="7"/>
    <s v="Company G"/>
    <x v="1"/>
    <s v="Steve"/>
    <x v="1"/>
    <x v="3"/>
    <n v="159"/>
    <n v="5"/>
    <n v="795"/>
    <n v="0"/>
  </r>
  <r>
    <s v="0722"/>
    <x v="339"/>
    <n v="11"/>
    <s v="Company K"/>
    <x v="5"/>
    <s v="Steve"/>
    <x v="3"/>
    <x v="3"/>
    <n v="159"/>
    <n v="4"/>
    <n v="636"/>
    <n v="0"/>
  </r>
  <r>
    <s v="0733"/>
    <x v="88"/>
    <n v="17"/>
    <s v="Company Q"/>
    <x v="0"/>
    <s v="Jeff"/>
    <x v="0"/>
    <x v="3"/>
    <n v="159"/>
    <n v="4"/>
    <n v="636"/>
    <n v="0"/>
  </r>
  <r>
    <s v="0736"/>
    <x v="89"/>
    <n v="14"/>
    <s v="Company N"/>
    <x v="3"/>
    <s v="Sara"/>
    <x v="3"/>
    <x v="3"/>
    <n v="159"/>
    <n v="6"/>
    <n v="954"/>
    <n v="0"/>
  </r>
  <r>
    <s v="0737"/>
    <x v="89"/>
    <n v="12"/>
    <s v="Company L"/>
    <x v="5"/>
    <s v="Steve"/>
    <x v="3"/>
    <x v="3"/>
    <n v="159"/>
    <n v="5"/>
    <n v="795"/>
    <n v="0"/>
  </r>
  <r>
    <s v="0746"/>
    <x v="468"/>
    <n v="2"/>
    <s v="Company B"/>
    <x v="4"/>
    <s v="Sara"/>
    <x v="2"/>
    <x v="3"/>
    <n v="159"/>
    <n v="8"/>
    <n v="1272"/>
    <n v="0"/>
  </r>
  <r>
    <s v="0750"/>
    <x v="342"/>
    <n v="20"/>
    <s v="Company T"/>
    <x v="0"/>
    <s v="Jeff"/>
    <x v="0"/>
    <x v="3"/>
    <n v="159"/>
    <n v="9"/>
    <n v="1431"/>
    <n v="0"/>
  </r>
  <r>
    <s v="0761"/>
    <x v="94"/>
    <n v="16"/>
    <s v="Company P"/>
    <x v="0"/>
    <s v="Jeff"/>
    <x v="0"/>
    <x v="3"/>
    <n v="159"/>
    <n v="6"/>
    <n v="954"/>
    <n v="0"/>
  </r>
  <r>
    <s v="0765"/>
    <x v="95"/>
    <n v="19"/>
    <s v="Company S"/>
    <x v="0"/>
    <s v="Jeff"/>
    <x v="0"/>
    <x v="3"/>
    <n v="159"/>
    <n v="8"/>
    <n v="1272"/>
    <n v="0"/>
  </r>
  <r>
    <s v="0768"/>
    <x v="559"/>
    <n v="15"/>
    <s v="Company O"/>
    <x v="5"/>
    <s v="Steve"/>
    <x v="3"/>
    <x v="3"/>
    <n v="159"/>
    <n v="1"/>
    <n v="159"/>
    <n v="0"/>
  </r>
  <r>
    <s v="0782"/>
    <x v="99"/>
    <n v="1"/>
    <s v="Company A"/>
    <x v="2"/>
    <s v="Jeff"/>
    <x v="2"/>
    <x v="3"/>
    <n v="159"/>
    <n v="9"/>
    <n v="1431"/>
    <n v="0"/>
  </r>
  <r>
    <s v="0789"/>
    <x v="470"/>
    <n v="6"/>
    <s v="Company F"/>
    <x v="1"/>
    <s v="Steve"/>
    <x v="1"/>
    <x v="3"/>
    <n v="159"/>
    <n v="8"/>
    <n v="1272"/>
    <n v="0"/>
  </r>
  <r>
    <s v="0790"/>
    <x v="470"/>
    <n v="13"/>
    <s v="Company M"/>
    <x v="5"/>
    <s v="Steve"/>
    <x v="3"/>
    <x v="3"/>
    <n v="159"/>
    <n v="8"/>
    <n v="1272"/>
    <n v="0"/>
  </r>
  <r>
    <s v="0792"/>
    <x v="100"/>
    <n v="16"/>
    <s v="Company P"/>
    <x v="6"/>
    <s v="Jeff"/>
    <x v="0"/>
    <x v="3"/>
    <n v="159"/>
    <n v="9"/>
    <n v="1431"/>
    <n v="0"/>
  </r>
  <r>
    <s v="0800"/>
    <x v="102"/>
    <n v="3"/>
    <s v="Company C"/>
    <x v="4"/>
    <s v="Sara"/>
    <x v="2"/>
    <x v="3"/>
    <n v="159"/>
    <n v="4"/>
    <n v="636"/>
    <n v="0"/>
  </r>
  <r>
    <s v="0807"/>
    <x v="103"/>
    <n v="11"/>
    <s v="Company K"/>
    <x v="3"/>
    <s v="Sara"/>
    <x v="3"/>
    <x v="3"/>
    <n v="159"/>
    <n v="5"/>
    <n v="795"/>
    <n v="0"/>
  </r>
  <r>
    <s v="0813"/>
    <x v="105"/>
    <n v="16"/>
    <s v="Company P"/>
    <x v="0"/>
    <s v="Jeff"/>
    <x v="0"/>
    <x v="3"/>
    <n v="159"/>
    <n v="8"/>
    <n v="1272"/>
    <n v="0"/>
  </r>
  <r>
    <s v="0814"/>
    <x v="105"/>
    <n v="16"/>
    <s v="Company P"/>
    <x v="6"/>
    <s v="Jeff"/>
    <x v="0"/>
    <x v="3"/>
    <n v="159"/>
    <n v="4"/>
    <n v="636"/>
    <n v="0"/>
  </r>
  <r>
    <s v="0815"/>
    <x v="105"/>
    <n v="3"/>
    <s v="Company C"/>
    <x v="2"/>
    <s v="Jeff"/>
    <x v="2"/>
    <x v="3"/>
    <n v="159"/>
    <n v="8"/>
    <n v="1272"/>
    <n v="0"/>
  </r>
  <r>
    <s v="0820"/>
    <x v="107"/>
    <n v="11"/>
    <s v="Company K"/>
    <x v="5"/>
    <s v="Steve"/>
    <x v="3"/>
    <x v="3"/>
    <n v="159"/>
    <n v="4"/>
    <n v="636"/>
    <n v="0"/>
  </r>
  <r>
    <s v="0821"/>
    <x v="107"/>
    <n v="12"/>
    <s v="Company L"/>
    <x v="3"/>
    <s v="Sara"/>
    <x v="3"/>
    <x v="3"/>
    <n v="159"/>
    <n v="4"/>
    <n v="636"/>
    <n v="0"/>
  </r>
  <r>
    <s v="0827"/>
    <x v="108"/>
    <n v="1"/>
    <s v="Company A"/>
    <x v="2"/>
    <s v="Jeff"/>
    <x v="2"/>
    <x v="3"/>
    <n v="159"/>
    <n v="3"/>
    <n v="477"/>
    <n v="0"/>
  </r>
  <r>
    <s v="0840"/>
    <x v="345"/>
    <n v="6"/>
    <s v="Company F"/>
    <x v="1"/>
    <s v="Steve"/>
    <x v="1"/>
    <x v="3"/>
    <n v="159"/>
    <n v="8"/>
    <n v="1272"/>
    <n v="0"/>
  </r>
  <r>
    <s v="0845"/>
    <x v="346"/>
    <n v="8"/>
    <s v="Company H"/>
    <x v="1"/>
    <s v="Steve"/>
    <x v="1"/>
    <x v="3"/>
    <n v="159"/>
    <n v="7"/>
    <n v="1113"/>
    <n v="0"/>
  </r>
  <r>
    <s v="0847"/>
    <x v="112"/>
    <n v="5"/>
    <s v="Company E"/>
    <x v="2"/>
    <s v="Jeff"/>
    <x v="2"/>
    <x v="3"/>
    <n v="159"/>
    <n v="0"/>
    <n v="0"/>
    <n v="0"/>
  </r>
  <r>
    <s v="0856"/>
    <x v="112"/>
    <n v="19"/>
    <s v="Company S"/>
    <x v="0"/>
    <s v="Jeff"/>
    <x v="0"/>
    <x v="3"/>
    <n v="159"/>
    <n v="3"/>
    <n v="477"/>
    <n v="0"/>
  </r>
  <r>
    <s v="0870"/>
    <x v="114"/>
    <n v="3"/>
    <s v="Company C"/>
    <x v="4"/>
    <s v="Sara"/>
    <x v="2"/>
    <x v="3"/>
    <n v="159"/>
    <n v="5"/>
    <n v="795"/>
    <n v="0"/>
  </r>
  <r>
    <s v="0872"/>
    <x v="114"/>
    <n v="1"/>
    <s v="Company A"/>
    <x v="2"/>
    <s v="Jeff"/>
    <x v="2"/>
    <x v="3"/>
    <n v="159"/>
    <n v="5"/>
    <n v="795"/>
    <n v="0"/>
  </r>
  <r>
    <s v="0878"/>
    <x v="350"/>
    <n v="15"/>
    <s v="Company O"/>
    <x v="5"/>
    <s v="Steve"/>
    <x v="3"/>
    <x v="3"/>
    <n v="159"/>
    <n v="0"/>
    <n v="0"/>
    <n v="0"/>
  </r>
  <r>
    <s v="0882"/>
    <x v="115"/>
    <n v="7"/>
    <s v="Company G"/>
    <x v="1"/>
    <s v="Steve"/>
    <x v="1"/>
    <x v="3"/>
    <n v="159"/>
    <n v="2"/>
    <n v="318"/>
    <n v="0"/>
  </r>
  <r>
    <s v="0885"/>
    <x v="351"/>
    <n v="15"/>
    <s v="Company O"/>
    <x v="5"/>
    <s v="Steve"/>
    <x v="3"/>
    <x v="3"/>
    <n v="159"/>
    <n v="8"/>
    <n v="1272"/>
    <n v="0"/>
  </r>
  <r>
    <s v="0886"/>
    <x v="560"/>
    <n v="20"/>
    <s v="Company T"/>
    <x v="6"/>
    <s v="Jeff"/>
    <x v="0"/>
    <x v="3"/>
    <n v="159"/>
    <n v="1"/>
    <n v="159"/>
    <n v="0"/>
  </r>
  <r>
    <s v="0892"/>
    <x v="353"/>
    <n v="16"/>
    <s v="Company P"/>
    <x v="0"/>
    <s v="Jeff"/>
    <x v="0"/>
    <x v="3"/>
    <n v="159"/>
    <n v="7"/>
    <n v="1113"/>
    <n v="0"/>
  </r>
  <r>
    <s v="0894"/>
    <x v="116"/>
    <n v="11"/>
    <s v="Company K"/>
    <x v="5"/>
    <s v="Steve"/>
    <x v="3"/>
    <x v="3"/>
    <n v="159"/>
    <n v="6"/>
    <n v="954"/>
    <n v="0"/>
  </r>
  <r>
    <s v="0900"/>
    <x v="475"/>
    <n v="4"/>
    <s v="Company D"/>
    <x v="2"/>
    <s v="Jeff"/>
    <x v="2"/>
    <x v="3"/>
    <n v="159"/>
    <n v="5"/>
    <n v="795"/>
    <n v="0"/>
  </r>
  <r>
    <s v="0909"/>
    <x v="357"/>
    <n v="7"/>
    <s v="Company G"/>
    <x v="1"/>
    <s v="Steve"/>
    <x v="1"/>
    <x v="3"/>
    <n v="159"/>
    <n v="8"/>
    <n v="1272"/>
    <n v="0"/>
  </r>
  <r>
    <s v="0914"/>
    <x v="357"/>
    <n v="14"/>
    <s v="Company N"/>
    <x v="3"/>
    <s v="Sara"/>
    <x v="3"/>
    <x v="3"/>
    <n v="159"/>
    <n v="7"/>
    <n v="1113"/>
    <n v="0"/>
  </r>
  <r>
    <s v="0918"/>
    <x v="119"/>
    <n v="18"/>
    <s v="Company R"/>
    <x v="0"/>
    <s v="Jeff"/>
    <x v="0"/>
    <x v="3"/>
    <n v="159"/>
    <n v="5"/>
    <n v="795"/>
    <n v="0"/>
  </r>
  <r>
    <s v="0923"/>
    <x v="120"/>
    <n v="15"/>
    <s v="Company O"/>
    <x v="5"/>
    <s v="Steve"/>
    <x v="3"/>
    <x v="3"/>
    <n v="159"/>
    <n v="3"/>
    <n v="477"/>
    <n v="0"/>
  </r>
  <r>
    <s v="0928"/>
    <x v="476"/>
    <n v="20"/>
    <s v="Company T"/>
    <x v="0"/>
    <s v="Jeff"/>
    <x v="0"/>
    <x v="3"/>
    <n v="159"/>
    <n v="8"/>
    <n v="1272"/>
    <n v="0"/>
  </r>
  <r>
    <s v="0929"/>
    <x v="476"/>
    <n v="14"/>
    <s v="Company N"/>
    <x v="5"/>
    <s v="Steve"/>
    <x v="3"/>
    <x v="3"/>
    <n v="159"/>
    <n v="5"/>
    <n v="795"/>
    <n v="0"/>
  </r>
  <r>
    <s v="0933"/>
    <x v="477"/>
    <n v="10"/>
    <s v="Company J"/>
    <x v="1"/>
    <s v="Steve"/>
    <x v="1"/>
    <x v="3"/>
    <n v="159"/>
    <n v="6"/>
    <n v="954"/>
    <n v="0"/>
  </r>
  <r>
    <s v="0934"/>
    <x v="359"/>
    <n v="17"/>
    <s v="Company Q"/>
    <x v="0"/>
    <s v="Jeff"/>
    <x v="0"/>
    <x v="3"/>
    <n v="159"/>
    <n v="1"/>
    <n v="159"/>
    <n v="0"/>
  </r>
  <r>
    <s v="0941"/>
    <x v="122"/>
    <n v="20"/>
    <s v="Company T"/>
    <x v="6"/>
    <s v="Jeff"/>
    <x v="0"/>
    <x v="3"/>
    <n v="159"/>
    <n v="5"/>
    <n v="795"/>
    <n v="0"/>
  </r>
  <r>
    <s v="0943"/>
    <x v="122"/>
    <n v="6"/>
    <s v="Company F"/>
    <x v="7"/>
    <s v="Philip"/>
    <x v="1"/>
    <x v="3"/>
    <n v="159"/>
    <n v="6"/>
    <n v="954"/>
    <n v="0"/>
  </r>
  <r>
    <s v="0956"/>
    <x v="126"/>
    <n v="6"/>
    <s v="Company F"/>
    <x v="7"/>
    <s v="Philip"/>
    <x v="1"/>
    <x v="3"/>
    <n v="159"/>
    <n v="4"/>
    <n v="636"/>
    <n v="0"/>
  </r>
  <r>
    <s v="0963"/>
    <x v="126"/>
    <n v="14"/>
    <s v="Company N"/>
    <x v="3"/>
    <s v="Sara"/>
    <x v="3"/>
    <x v="3"/>
    <n v="159"/>
    <n v="1"/>
    <n v="159"/>
    <n v="0"/>
  </r>
  <r>
    <s v="0966"/>
    <x v="126"/>
    <n v="18"/>
    <s v="Company R"/>
    <x v="0"/>
    <s v="Jeff"/>
    <x v="0"/>
    <x v="3"/>
    <n v="159"/>
    <n v="7"/>
    <n v="1113"/>
    <n v="0"/>
  </r>
  <r>
    <s v="0969"/>
    <x v="127"/>
    <n v="7"/>
    <s v="Company G"/>
    <x v="1"/>
    <s v="Steve"/>
    <x v="1"/>
    <x v="3"/>
    <n v="159"/>
    <n v="1"/>
    <n v="159"/>
    <n v="0"/>
  </r>
  <r>
    <s v="0972"/>
    <x v="561"/>
    <n v="19"/>
    <s v="Company S"/>
    <x v="6"/>
    <s v="Jeff"/>
    <x v="0"/>
    <x v="3"/>
    <n v="159"/>
    <n v="4"/>
    <n v="636"/>
    <n v="0"/>
  </r>
  <r>
    <s v="0975"/>
    <x v="562"/>
    <n v="13"/>
    <s v="Company M"/>
    <x v="5"/>
    <s v="Steve"/>
    <x v="3"/>
    <x v="3"/>
    <n v="159"/>
    <n v="2"/>
    <n v="318"/>
    <n v="0"/>
  </r>
  <r>
    <s v="0978"/>
    <x v="563"/>
    <n v="20"/>
    <s v="Company T"/>
    <x v="6"/>
    <s v="Jeff"/>
    <x v="0"/>
    <x v="3"/>
    <n v="159"/>
    <n v="0"/>
    <n v="0"/>
    <n v="0"/>
  </r>
  <r>
    <s v="0985"/>
    <x v="131"/>
    <n v="10"/>
    <s v="Company J"/>
    <x v="7"/>
    <s v="Philip"/>
    <x v="1"/>
    <x v="3"/>
    <n v="159"/>
    <n v="9"/>
    <n v="1431"/>
    <n v="0"/>
  </r>
  <r>
    <s v="0986"/>
    <x v="131"/>
    <n v="9"/>
    <s v="Company I"/>
    <x v="1"/>
    <s v="Steve"/>
    <x v="1"/>
    <x v="3"/>
    <n v="159"/>
    <n v="7"/>
    <n v="1113"/>
    <n v="0"/>
  </r>
  <r>
    <s v="0989"/>
    <x v="132"/>
    <n v="4"/>
    <s v="Company D"/>
    <x v="2"/>
    <s v="Jeff"/>
    <x v="2"/>
    <x v="3"/>
    <n v="159"/>
    <n v="9"/>
    <n v="1431"/>
    <n v="0"/>
  </r>
  <r>
    <s v="0994"/>
    <x v="133"/>
    <n v="5"/>
    <s v="Company E"/>
    <x v="2"/>
    <s v="Jeff"/>
    <x v="2"/>
    <x v="3"/>
    <n v="159"/>
    <n v="4"/>
    <n v="636"/>
    <n v="0"/>
  </r>
  <r>
    <s v="1003"/>
    <x v="360"/>
    <n v="10"/>
    <s v="Company J"/>
    <x v="1"/>
    <s v="Steve"/>
    <x v="1"/>
    <x v="3"/>
    <n v="159"/>
    <n v="4"/>
    <n v="636"/>
    <n v="0"/>
  </r>
  <r>
    <s v="1006"/>
    <x v="360"/>
    <n v="19"/>
    <s v="Company S"/>
    <x v="6"/>
    <s v="Jeff"/>
    <x v="0"/>
    <x v="3"/>
    <n v="159"/>
    <n v="2"/>
    <n v="318"/>
    <n v="0"/>
  </r>
  <r>
    <s v="1022"/>
    <x v="138"/>
    <n v="1"/>
    <s v="Company A"/>
    <x v="4"/>
    <s v="Sara"/>
    <x v="2"/>
    <x v="3"/>
    <n v="159"/>
    <n v="6"/>
    <n v="954"/>
    <n v="0"/>
  </r>
  <r>
    <s v="1026"/>
    <x v="138"/>
    <n v="8"/>
    <s v="Company H"/>
    <x v="7"/>
    <s v="Philip"/>
    <x v="1"/>
    <x v="3"/>
    <n v="159"/>
    <n v="6"/>
    <n v="954"/>
    <n v="0"/>
  </r>
  <r>
    <s v="1028"/>
    <x v="138"/>
    <n v="20"/>
    <s v="Company T"/>
    <x v="6"/>
    <s v="Jeff"/>
    <x v="0"/>
    <x v="3"/>
    <n v="159"/>
    <n v="0"/>
    <n v="0"/>
    <n v="0"/>
  </r>
  <r>
    <s v="1041"/>
    <x v="140"/>
    <n v="18"/>
    <s v="Company R"/>
    <x v="0"/>
    <s v="Jeff"/>
    <x v="0"/>
    <x v="3"/>
    <n v="159"/>
    <n v="2"/>
    <n v="318"/>
    <n v="0"/>
  </r>
  <r>
    <s v="1054"/>
    <x v="363"/>
    <n v="6"/>
    <s v="Company F"/>
    <x v="1"/>
    <s v="Steve"/>
    <x v="1"/>
    <x v="3"/>
    <n v="159"/>
    <n v="2"/>
    <n v="318"/>
    <n v="0"/>
  </r>
  <r>
    <s v="1060"/>
    <x v="564"/>
    <n v="2"/>
    <s v="Company B"/>
    <x v="2"/>
    <s v="Jeff"/>
    <x v="2"/>
    <x v="3"/>
    <n v="159"/>
    <n v="1"/>
    <n v="159"/>
    <n v="0"/>
  </r>
  <r>
    <s v="1082"/>
    <x v="148"/>
    <n v="16"/>
    <s v="Company P"/>
    <x v="6"/>
    <s v="Jeff"/>
    <x v="0"/>
    <x v="3"/>
    <n v="159"/>
    <n v="0"/>
    <n v="0"/>
    <n v="0"/>
  </r>
  <r>
    <s v="1088"/>
    <x v="148"/>
    <n v="11"/>
    <s v="Company K"/>
    <x v="5"/>
    <s v="Steve"/>
    <x v="3"/>
    <x v="3"/>
    <n v="159"/>
    <n v="3"/>
    <n v="477"/>
    <n v="0"/>
  </r>
  <r>
    <s v="1093"/>
    <x v="372"/>
    <n v="18"/>
    <s v="Company R"/>
    <x v="6"/>
    <s v="Jeff"/>
    <x v="0"/>
    <x v="3"/>
    <n v="159"/>
    <n v="4"/>
    <n v="636"/>
    <n v="0"/>
  </r>
  <r>
    <s v="1100"/>
    <x v="150"/>
    <n v="8"/>
    <s v="Company H"/>
    <x v="1"/>
    <s v="Steve"/>
    <x v="1"/>
    <x v="3"/>
    <n v="159"/>
    <n v="3"/>
    <n v="477"/>
    <n v="0"/>
  </r>
  <r>
    <s v="1105"/>
    <x v="150"/>
    <n v="12"/>
    <s v="Company L"/>
    <x v="3"/>
    <s v="Sara"/>
    <x v="3"/>
    <x v="3"/>
    <n v="159"/>
    <n v="7"/>
    <n v="1113"/>
    <n v="0"/>
  </r>
  <r>
    <s v="1109"/>
    <x v="565"/>
    <n v="11"/>
    <s v="Company K"/>
    <x v="3"/>
    <s v="Sara"/>
    <x v="3"/>
    <x v="3"/>
    <n v="159"/>
    <n v="2"/>
    <n v="318"/>
    <n v="0"/>
  </r>
  <r>
    <s v="1110"/>
    <x v="565"/>
    <n v="10"/>
    <s v="Company J"/>
    <x v="1"/>
    <s v="Steve"/>
    <x v="1"/>
    <x v="3"/>
    <n v="159"/>
    <n v="9"/>
    <n v="1431"/>
    <n v="0"/>
  </r>
  <r>
    <s v="1116"/>
    <x v="151"/>
    <n v="14"/>
    <s v="Company N"/>
    <x v="3"/>
    <s v="Sara"/>
    <x v="3"/>
    <x v="3"/>
    <n v="159"/>
    <n v="9"/>
    <n v="1431"/>
    <n v="0"/>
  </r>
  <r>
    <s v="1120"/>
    <x v="566"/>
    <n v="1"/>
    <s v="Company A"/>
    <x v="4"/>
    <s v="Sara"/>
    <x v="2"/>
    <x v="3"/>
    <n v="159"/>
    <n v="8"/>
    <n v="1272"/>
    <n v="0"/>
  </r>
  <r>
    <s v="1122"/>
    <x v="373"/>
    <n v="6"/>
    <s v="Company F"/>
    <x v="1"/>
    <s v="Steve"/>
    <x v="1"/>
    <x v="3"/>
    <n v="159"/>
    <n v="2"/>
    <n v="318"/>
    <n v="0"/>
  </r>
  <r>
    <s v="1123"/>
    <x v="373"/>
    <n v="9"/>
    <s v="Company I"/>
    <x v="7"/>
    <s v="Philip"/>
    <x v="1"/>
    <x v="3"/>
    <n v="159"/>
    <n v="9"/>
    <n v="1431"/>
    <n v="0"/>
  </r>
  <r>
    <s v="1124"/>
    <x v="373"/>
    <n v="14"/>
    <s v="Company N"/>
    <x v="3"/>
    <s v="Sara"/>
    <x v="3"/>
    <x v="3"/>
    <n v="159"/>
    <n v="2"/>
    <n v="318"/>
    <n v="0"/>
  </r>
  <r>
    <s v="1129"/>
    <x v="153"/>
    <n v="13"/>
    <s v="Company M"/>
    <x v="3"/>
    <s v="Sara"/>
    <x v="3"/>
    <x v="3"/>
    <n v="159"/>
    <n v="2"/>
    <n v="318"/>
    <n v="0"/>
  </r>
  <r>
    <s v="1134"/>
    <x v="374"/>
    <n v="12"/>
    <s v="Company L"/>
    <x v="5"/>
    <s v="Steve"/>
    <x v="3"/>
    <x v="3"/>
    <n v="159"/>
    <n v="5"/>
    <n v="795"/>
    <n v="0"/>
  </r>
  <r>
    <s v="1136"/>
    <x v="374"/>
    <n v="16"/>
    <s v="Company P"/>
    <x v="6"/>
    <s v="Jeff"/>
    <x v="0"/>
    <x v="3"/>
    <n v="159"/>
    <n v="4"/>
    <n v="636"/>
    <n v="0"/>
  </r>
  <r>
    <s v="1138"/>
    <x v="374"/>
    <n v="14"/>
    <s v="Company N"/>
    <x v="3"/>
    <s v="Sara"/>
    <x v="3"/>
    <x v="3"/>
    <n v="159"/>
    <n v="0"/>
    <n v="0"/>
    <n v="0"/>
  </r>
  <r>
    <s v="1140"/>
    <x v="154"/>
    <n v="6"/>
    <s v="Company F"/>
    <x v="1"/>
    <s v="Steve"/>
    <x v="1"/>
    <x v="3"/>
    <n v="159"/>
    <n v="1"/>
    <n v="159"/>
    <n v="0"/>
  </r>
  <r>
    <s v="1141"/>
    <x v="154"/>
    <n v="15"/>
    <s v="Company O"/>
    <x v="3"/>
    <s v="Sara"/>
    <x v="3"/>
    <x v="3"/>
    <n v="159"/>
    <n v="0"/>
    <n v="0"/>
    <n v="0"/>
  </r>
  <r>
    <s v="1149"/>
    <x v="490"/>
    <n v="10"/>
    <s v="Company J"/>
    <x v="7"/>
    <s v="Philip"/>
    <x v="1"/>
    <x v="3"/>
    <n v="159"/>
    <n v="7"/>
    <n v="1113"/>
    <n v="0"/>
  </r>
  <r>
    <s v="1150"/>
    <x v="490"/>
    <n v="5"/>
    <s v="Company E"/>
    <x v="4"/>
    <s v="Sara"/>
    <x v="2"/>
    <x v="3"/>
    <n v="159"/>
    <n v="0"/>
    <n v="0"/>
    <n v="0"/>
  </r>
  <r>
    <s v="1153"/>
    <x v="567"/>
    <n v="20"/>
    <s v="Company T"/>
    <x v="0"/>
    <s v="Jeff"/>
    <x v="0"/>
    <x v="3"/>
    <n v="159"/>
    <n v="2"/>
    <n v="318"/>
    <n v="0"/>
  </r>
  <r>
    <s v="1159"/>
    <x v="378"/>
    <n v="7"/>
    <s v="Company G"/>
    <x v="1"/>
    <s v="Steve"/>
    <x v="1"/>
    <x v="3"/>
    <n v="159"/>
    <n v="1"/>
    <n v="159"/>
    <n v="0"/>
  </r>
  <r>
    <s v="1168"/>
    <x v="568"/>
    <n v="3"/>
    <s v="Company C"/>
    <x v="4"/>
    <s v="Sara"/>
    <x v="2"/>
    <x v="3"/>
    <n v="159"/>
    <n v="6"/>
    <n v="954"/>
    <n v="0"/>
  </r>
  <r>
    <s v="1170"/>
    <x v="569"/>
    <n v="3"/>
    <s v="Company C"/>
    <x v="4"/>
    <s v="Sara"/>
    <x v="2"/>
    <x v="3"/>
    <n v="159"/>
    <n v="0"/>
    <n v="0"/>
    <n v="0"/>
  </r>
  <r>
    <s v="1172"/>
    <x v="491"/>
    <n v="11"/>
    <s v="Company K"/>
    <x v="5"/>
    <s v="Steve"/>
    <x v="3"/>
    <x v="3"/>
    <n v="159"/>
    <n v="4"/>
    <n v="636"/>
    <n v="0"/>
  </r>
  <r>
    <s v="1185"/>
    <x v="159"/>
    <n v="13"/>
    <s v="Company M"/>
    <x v="3"/>
    <s v="Sara"/>
    <x v="3"/>
    <x v="3"/>
    <n v="159"/>
    <n v="0"/>
    <n v="0"/>
    <n v="0"/>
  </r>
  <r>
    <s v="1186"/>
    <x v="159"/>
    <n v="3"/>
    <s v="Company C"/>
    <x v="4"/>
    <s v="Sara"/>
    <x v="2"/>
    <x v="3"/>
    <n v="159"/>
    <n v="4"/>
    <n v="636"/>
    <n v="0"/>
  </r>
  <r>
    <s v="1188"/>
    <x v="159"/>
    <n v="8"/>
    <s v="Company H"/>
    <x v="7"/>
    <s v="Philip"/>
    <x v="1"/>
    <x v="3"/>
    <n v="159"/>
    <n v="6"/>
    <n v="954"/>
    <n v="0"/>
  </r>
  <r>
    <s v="1192"/>
    <x v="160"/>
    <n v="10"/>
    <s v="Company J"/>
    <x v="1"/>
    <s v="Steve"/>
    <x v="1"/>
    <x v="3"/>
    <n v="159"/>
    <n v="3"/>
    <n v="477"/>
    <n v="0"/>
  </r>
  <r>
    <s v="1207"/>
    <x v="161"/>
    <n v="10"/>
    <s v="Company J"/>
    <x v="1"/>
    <s v="Steve"/>
    <x v="1"/>
    <x v="3"/>
    <n v="159"/>
    <n v="3"/>
    <n v="477"/>
    <n v="0"/>
  </r>
  <r>
    <s v="1211"/>
    <x v="570"/>
    <n v="9"/>
    <s v="Company I"/>
    <x v="1"/>
    <s v="Steve"/>
    <x v="1"/>
    <x v="3"/>
    <n v="159"/>
    <n v="7"/>
    <n v="1113"/>
    <n v="0"/>
  </r>
  <r>
    <s v="1212"/>
    <x v="571"/>
    <n v="14"/>
    <s v="Company N"/>
    <x v="3"/>
    <s v="Sara"/>
    <x v="3"/>
    <x v="3"/>
    <n v="159"/>
    <n v="1"/>
    <n v="159"/>
    <n v="0"/>
  </r>
  <r>
    <s v="1216"/>
    <x v="381"/>
    <n v="10"/>
    <s v="Company J"/>
    <x v="1"/>
    <s v="Steve"/>
    <x v="1"/>
    <x v="3"/>
    <n v="159"/>
    <n v="1"/>
    <n v="159"/>
    <n v="0"/>
  </r>
  <r>
    <s v="1217"/>
    <x v="381"/>
    <n v="4"/>
    <s v="Company D"/>
    <x v="4"/>
    <s v="Sara"/>
    <x v="2"/>
    <x v="3"/>
    <n v="159"/>
    <n v="4"/>
    <n v="636"/>
    <n v="0"/>
  </r>
  <r>
    <s v="1221"/>
    <x v="572"/>
    <n v="10"/>
    <s v="Company J"/>
    <x v="1"/>
    <s v="Steve"/>
    <x v="1"/>
    <x v="3"/>
    <n v="159"/>
    <n v="6"/>
    <n v="954"/>
    <n v="0"/>
  </r>
  <r>
    <s v="1222"/>
    <x v="573"/>
    <n v="8"/>
    <s v="Company H"/>
    <x v="7"/>
    <s v="Philip"/>
    <x v="1"/>
    <x v="3"/>
    <n v="159"/>
    <n v="4"/>
    <n v="636"/>
    <n v="0"/>
  </r>
  <r>
    <s v="1232"/>
    <x v="165"/>
    <n v="4"/>
    <s v="Company D"/>
    <x v="2"/>
    <s v="Jeff"/>
    <x v="2"/>
    <x v="3"/>
    <n v="159"/>
    <n v="7"/>
    <n v="1113"/>
    <n v="0"/>
  </r>
  <r>
    <s v="1234"/>
    <x v="384"/>
    <n v="9"/>
    <s v="Company I"/>
    <x v="1"/>
    <s v="Steve"/>
    <x v="1"/>
    <x v="3"/>
    <n v="159"/>
    <n v="3"/>
    <n v="477"/>
    <n v="0"/>
  </r>
  <r>
    <s v="1236"/>
    <x v="574"/>
    <n v="3"/>
    <s v="Company C"/>
    <x v="4"/>
    <s v="Sara"/>
    <x v="2"/>
    <x v="3"/>
    <n v="159"/>
    <n v="9"/>
    <n v="1431"/>
    <n v="0"/>
  </r>
  <r>
    <s v="1247"/>
    <x v="167"/>
    <n v="12"/>
    <s v="Company L"/>
    <x v="3"/>
    <s v="Sara"/>
    <x v="3"/>
    <x v="3"/>
    <n v="159"/>
    <n v="2"/>
    <n v="318"/>
    <n v="0"/>
  </r>
  <r>
    <s v="1253"/>
    <x v="388"/>
    <n v="12"/>
    <s v="Company L"/>
    <x v="5"/>
    <s v="Steve"/>
    <x v="3"/>
    <x v="3"/>
    <n v="159"/>
    <n v="2"/>
    <n v="318"/>
    <n v="0"/>
  </r>
  <r>
    <s v="1257"/>
    <x v="575"/>
    <n v="14"/>
    <s v="Company N"/>
    <x v="5"/>
    <s v="Steve"/>
    <x v="3"/>
    <x v="3"/>
    <n v="159"/>
    <n v="8"/>
    <n v="1272"/>
    <n v="0"/>
  </r>
  <r>
    <s v="1262"/>
    <x v="495"/>
    <n v="13"/>
    <s v="Company M"/>
    <x v="5"/>
    <s v="Steve"/>
    <x v="3"/>
    <x v="3"/>
    <n v="159"/>
    <n v="8"/>
    <n v="1272"/>
    <n v="0"/>
  </r>
  <r>
    <s v="1265"/>
    <x v="496"/>
    <n v="13"/>
    <s v="Company M"/>
    <x v="3"/>
    <s v="Sara"/>
    <x v="3"/>
    <x v="3"/>
    <n v="159"/>
    <n v="3"/>
    <n v="477"/>
    <n v="0"/>
  </r>
  <r>
    <s v="1293"/>
    <x v="391"/>
    <n v="9"/>
    <s v="Company I"/>
    <x v="1"/>
    <s v="Steve"/>
    <x v="1"/>
    <x v="3"/>
    <n v="159"/>
    <n v="2"/>
    <n v="318"/>
    <n v="0"/>
  </r>
  <r>
    <s v="1312"/>
    <x v="179"/>
    <n v="13"/>
    <s v="Company M"/>
    <x v="5"/>
    <s v="Steve"/>
    <x v="3"/>
    <x v="3"/>
    <n v="159"/>
    <n v="5"/>
    <n v="795"/>
    <n v="0"/>
  </r>
  <r>
    <s v="1313"/>
    <x v="179"/>
    <n v="8"/>
    <s v="Company H"/>
    <x v="7"/>
    <s v="Philip"/>
    <x v="1"/>
    <x v="3"/>
    <n v="159"/>
    <n v="8"/>
    <n v="1272"/>
    <n v="0"/>
  </r>
  <r>
    <s v="1324"/>
    <x v="181"/>
    <n v="17"/>
    <s v="Company Q"/>
    <x v="0"/>
    <s v="Jeff"/>
    <x v="0"/>
    <x v="3"/>
    <n v="159"/>
    <n v="9"/>
    <n v="1431"/>
    <n v="0"/>
  </r>
  <r>
    <s v="1326"/>
    <x v="181"/>
    <n v="8"/>
    <s v="Company H"/>
    <x v="1"/>
    <s v="Steve"/>
    <x v="1"/>
    <x v="3"/>
    <n v="159"/>
    <n v="5"/>
    <n v="795"/>
    <n v="0"/>
  </r>
  <r>
    <s v="1328"/>
    <x v="182"/>
    <n v="1"/>
    <s v="Company A"/>
    <x v="4"/>
    <s v="Sara"/>
    <x v="2"/>
    <x v="3"/>
    <n v="159"/>
    <n v="6"/>
    <n v="954"/>
    <n v="0"/>
  </r>
  <r>
    <s v="1336"/>
    <x v="576"/>
    <n v="8"/>
    <s v="Company H"/>
    <x v="1"/>
    <s v="Steve"/>
    <x v="1"/>
    <x v="3"/>
    <n v="159"/>
    <n v="8"/>
    <n v="1272"/>
    <n v="0"/>
  </r>
  <r>
    <s v="1337"/>
    <x v="576"/>
    <n v="19"/>
    <s v="Company S"/>
    <x v="6"/>
    <s v="Jeff"/>
    <x v="0"/>
    <x v="3"/>
    <n v="159"/>
    <n v="5"/>
    <n v="795"/>
    <n v="0"/>
  </r>
  <r>
    <s v="1341"/>
    <x v="184"/>
    <n v="12"/>
    <s v="Company L"/>
    <x v="3"/>
    <s v="Sara"/>
    <x v="3"/>
    <x v="3"/>
    <n v="159"/>
    <n v="0"/>
    <n v="0"/>
    <n v="0"/>
  </r>
  <r>
    <s v="1345"/>
    <x v="184"/>
    <n v="8"/>
    <s v="Company H"/>
    <x v="1"/>
    <s v="Steve"/>
    <x v="1"/>
    <x v="3"/>
    <n v="159"/>
    <n v="2"/>
    <n v="318"/>
    <n v="0"/>
  </r>
  <r>
    <s v="1347"/>
    <x v="499"/>
    <n v="14"/>
    <s v="Company N"/>
    <x v="3"/>
    <s v="Sara"/>
    <x v="3"/>
    <x v="3"/>
    <n v="159"/>
    <n v="1"/>
    <n v="159"/>
    <n v="0"/>
  </r>
  <r>
    <s v="1364"/>
    <x v="186"/>
    <n v="15"/>
    <s v="Company O"/>
    <x v="3"/>
    <s v="Sara"/>
    <x v="3"/>
    <x v="3"/>
    <n v="159"/>
    <n v="9"/>
    <n v="1431"/>
    <n v="0"/>
  </r>
  <r>
    <s v="1366"/>
    <x v="186"/>
    <n v="18"/>
    <s v="Company R"/>
    <x v="0"/>
    <s v="Jeff"/>
    <x v="0"/>
    <x v="3"/>
    <n v="159"/>
    <n v="1"/>
    <n v="159"/>
    <n v="0"/>
  </r>
  <r>
    <s v="1372"/>
    <x v="577"/>
    <n v="4"/>
    <s v="Company D"/>
    <x v="2"/>
    <s v="Jeff"/>
    <x v="2"/>
    <x v="3"/>
    <n v="159"/>
    <n v="2"/>
    <n v="318"/>
    <n v="0"/>
  </r>
  <r>
    <s v="1375"/>
    <x v="189"/>
    <n v="4"/>
    <s v="Company D"/>
    <x v="4"/>
    <s v="Sara"/>
    <x v="2"/>
    <x v="3"/>
    <n v="159"/>
    <n v="5"/>
    <n v="795"/>
    <n v="0"/>
  </r>
  <r>
    <s v="1377"/>
    <x v="189"/>
    <n v="14"/>
    <s v="Company N"/>
    <x v="3"/>
    <s v="Sara"/>
    <x v="3"/>
    <x v="3"/>
    <n v="159"/>
    <n v="6"/>
    <n v="954"/>
    <n v="0"/>
  </r>
  <r>
    <s v="1380"/>
    <x v="189"/>
    <n v="11"/>
    <s v="Company K"/>
    <x v="5"/>
    <s v="Steve"/>
    <x v="3"/>
    <x v="3"/>
    <n v="159"/>
    <n v="4"/>
    <n v="636"/>
    <n v="0"/>
  </r>
  <r>
    <s v="1381"/>
    <x v="578"/>
    <n v="11"/>
    <s v="Company K"/>
    <x v="5"/>
    <s v="Steve"/>
    <x v="3"/>
    <x v="3"/>
    <n v="159"/>
    <n v="9"/>
    <n v="1431"/>
    <n v="0"/>
  </r>
  <r>
    <s v="1387"/>
    <x v="190"/>
    <n v="18"/>
    <s v="Company R"/>
    <x v="6"/>
    <s v="Jeff"/>
    <x v="0"/>
    <x v="3"/>
    <n v="159"/>
    <n v="8"/>
    <n v="1272"/>
    <n v="0"/>
  </r>
  <r>
    <s v="1390"/>
    <x v="190"/>
    <n v="4"/>
    <s v="Company D"/>
    <x v="2"/>
    <s v="Jeff"/>
    <x v="2"/>
    <x v="3"/>
    <n v="159"/>
    <n v="3"/>
    <n v="477"/>
    <n v="0"/>
  </r>
  <r>
    <s v="1392"/>
    <x v="394"/>
    <n v="15"/>
    <s v="Company O"/>
    <x v="5"/>
    <s v="Steve"/>
    <x v="3"/>
    <x v="3"/>
    <n v="159"/>
    <n v="5"/>
    <n v="795"/>
    <n v="0"/>
  </r>
  <r>
    <s v="1397"/>
    <x v="192"/>
    <n v="2"/>
    <s v="Company B"/>
    <x v="2"/>
    <s v="Jeff"/>
    <x v="2"/>
    <x v="3"/>
    <n v="159"/>
    <n v="5"/>
    <n v="795"/>
    <n v="0"/>
  </r>
  <r>
    <s v="1406"/>
    <x v="192"/>
    <n v="15"/>
    <s v="Company O"/>
    <x v="5"/>
    <s v="Steve"/>
    <x v="3"/>
    <x v="3"/>
    <n v="159"/>
    <n v="7"/>
    <n v="1113"/>
    <n v="0"/>
  </r>
  <r>
    <s v="1415"/>
    <x v="195"/>
    <n v="17"/>
    <s v="Company Q"/>
    <x v="0"/>
    <s v="Jeff"/>
    <x v="0"/>
    <x v="3"/>
    <n v="159"/>
    <n v="7"/>
    <n v="1113"/>
    <n v="0"/>
  </r>
  <r>
    <s v="1419"/>
    <x v="502"/>
    <n v="18"/>
    <s v="Company R"/>
    <x v="0"/>
    <s v="Jeff"/>
    <x v="0"/>
    <x v="3"/>
    <n v="159"/>
    <n v="0"/>
    <n v="0"/>
    <n v="0"/>
  </r>
  <r>
    <s v="1425"/>
    <x v="197"/>
    <n v="19"/>
    <s v="Company S"/>
    <x v="0"/>
    <s v="Jeff"/>
    <x v="0"/>
    <x v="3"/>
    <n v="159"/>
    <n v="6"/>
    <n v="954"/>
    <n v="0"/>
  </r>
  <r>
    <s v="1432"/>
    <x v="579"/>
    <n v="12"/>
    <s v="Company L"/>
    <x v="3"/>
    <s v="Sara"/>
    <x v="3"/>
    <x v="3"/>
    <n v="159"/>
    <n v="8"/>
    <n v="1272"/>
    <n v="0"/>
  </r>
  <r>
    <s v="1434"/>
    <x v="397"/>
    <n v="8"/>
    <s v="Company H"/>
    <x v="7"/>
    <s v="Philip"/>
    <x v="1"/>
    <x v="3"/>
    <n v="159"/>
    <n v="4"/>
    <n v="636"/>
    <n v="0"/>
  </r>
  <r>
    <s v="1448"/>
    <x v="200"/>
    <n v="15"/>
    <s v="Company O"/>
    <x v="3"/>
    <s v="Sara"/>
    <x v="3"/>
    <x v="3"/>
    <n v="159"/>
    <n v="7"/>
    <n v="1113"/>
    <n v="0"/>
  </r>
  <r>
    <s v="1449"/>
    <x v="200"/>
    <n v="20"/>
    <s v="Company T"/>
    <x v="0"/>
    <s v="Jeff"/>
    <x v="0"/>
    <x v="3"/>
    <n v="159"/>
    <n v="9"/>
    <n v="1431"/>
    <n v="0"/>
  </r>
  <r>
    <s v="1451"/>
    <x v="580"/>
    <n v="12"/>
    <s v="Company L"/>
    <x v="3"/>
    <s v="Sara"/>
    <x v="3"/>
    <x v="3"/>
    <n v="159"/>
    <n v="9"/>
    <n v="1431"/>
    <n v="0"/>
  </r>
  <r>
    <s v="1455"/>
    <x v="201"/>
    <n v="5"/>
    <s v="Company E"/>
    <x v="2"/>
    <s v="Jeff"/>
    <x v="2"/>
    <x v="3"/>
    <n v="159"/>
    <n v="7"/>
    <n v="1113"/>
    <n v="0"/>
  </r>
  <r>
    <s v="1461"/>
    <x v="504"/>
    <n v="16"/>
    <s v="Company P"/>
    <x v="6"/>
    <s v="Jeff"/>
    <x v="0"/>
    <x v="3"/>
    <n v="159"/>
    <n v="8"/>
    <n v="1272"/>
    <n v="0"/>
  </r>
  <r>
    <s v="1474"/>
    <x v="205"/>
    <n v="15"/>
    <s v="Company O"/>
    <x v="3"/>
    <s v="Sara"/>
    <x v="3"/>
    <x v="3"/>
    <n v="159"/>
    <n v="8"/>
    <n v="1272"/>
    <n v="0"/>
  </r>
  <r>
    <s v="1476"/>
    <x v="206"/>
    <n v="19"/>
    <s v="Company S"/>
    <x v="6"/>
    <s v="Jeff"/>
    <x v="0"/>
    <x v="3"/>
    <n v="159"/>
    <n v="9"/>
    <n v="1431"/>
    <n v="0"/>
  </r>
  <r>
    <s v="1481"/>
    <x v="207"/>
    <n v="18"/>
    <s v="Company R"/>
    <x v="0"/>
    <s v="Jeff"/>
    <x v="0"/>
    <x v="3"/>
    <n v="159"/>
    <n v="8"/>
    <n v="1272"/>
    <n v="0"/>
  </r>
  <r>
    <s v="1487"/>
    <x v="581"/>
    <n v="11"/>
    <s v="Company K"/>
    <x v="5"/>
    <s v="Steve"/>
    <x v="3"/>
    <x v="3"/>
    <n v="159"/>
    <n v="6"/>
    <n v="954"/>
    <n v="0"/>
  </r>
  <r>
    <s v="1495"/>
    <x v="209"/>
    <n v="7"/>
    <s v="Company G"/>
    <x v="1"/>
    <s v="Steve"/>
    <x v="1"/>
    <x v="3"/>
    <n v="159"/>
    <n v="5"/>
    <n v="795"/>
    <n v="0"/>
  </r>
  <r>
    <s v="1499"/>
    <x v="404"/>
    <n v="18"/>
    <s v="Company R"/>
    <x v="0"/>
    <s v="Jeff"/>
    <x v="0"/>
    <x v="3"/>
    <n v="159"/>
    <n v="1"/>
    <n v="159"/>
    <n v="0"/>
  </r>
  <r>
    <s v="1502"/>
    <x v="582"/>
    <n v="7"/>
    <s v="Company G"/>
    <x v="7"/>
    <s v="Philip"/>
    <x v="1"/>
    <x v="3"/>
    <n v="159"/>
    <n v="7"/>
    <n v="1113"/>
    <n v="0"/>
  </r>
  <r>
    <s v="1513"/>
    <x v="211"/>
    <n v="4"/>
    <s v="Company D"/>
    <x v="2"/>
    <s v="Jeff"/>
    <x v="2"/>
    <x v="3"/>
    <n v="159"/>
    <n v="3"/>
    <n v="477"/>
    <n v="0"/>
  </r>
  <r>
    <s v="1516"/>
    <x v="211"/>
    <n v="1"/>
    <s v="Company A"/>
    <x v="2"/>
    <s v="Jeff"/>
    <x v="2"/>
    <x v="3"/>
    <n v="159"/>
    <n v="0"/>
    <n v="0"/>
    <n v="0"/>
  </r>
  <r>
    <s v="1520"/>
    <x v="212"/>
    <n v="12"/>
    <s v="Company L"/>
    <x v="5"/>
    <s v="Steve"/>
    <x v="3"/>
    <x v="3"/>
    <n v="159"/>
    <n v="4"/>
    <n v="636"/>
    <n v="0"/>
  </r>
  <r>
    <s v="1523"/>
    <x v="213"/>
    <n v="11"/>
    <s v="Company K"/>
    <x v="3"/>
    <s v="Sara"/>
    <x v="3"/>
    <x v="3"/>
    <n v="159"/>
    <n v="3"/>
    <n v="477"/>
    <n v="0"/>
  </r>
  <r>
    <s v="1524"/>
    <x v="213"/>
    <n v="14"/>
    <s v="Company N"/>
    <x v="5"/>
    <s v="Steve"/>
    <x v="3"/>
    <x v="3"/>
    <n v="159"/>
    <n v="1"/>
    <n v="159"/>
    <n v="0"/>
  </r>
  <r>
    <s v="1527"/>
    <x v="213"/>
    <n v="16"/>
    <s v="Company P"/>
    <x v="6"/>
    <s v="Jeff"/>
    <x v="0"/>
    <x v="3"/>
    <n v="159"/>
    <n v="7"/>
    <n v="1113"/>
    <n v="0"/>
  </r>
  <r>
    <s v="1528"/>
    <x v="213"/>
    <n v="13"/>
    <s v="Company M"/>
    <x v="5"/>
    <s v="Steve"/>
    <x v="3"/>
    <x v="3"/>
    <n v="159"/>
    <n v="3"/>
    <n v="477"/>
    <n v="0"/>
  </r>
  <r>
    <s v="1536"/>
    <x v="214"/>
    <n v="19"/>
    <s v="Company S"/>
    <x v="6"/>
    <s v="Jeff"/>
    <x v="0"/>
    <x v="3"/>
    <n v="159"/>
    <n v="3"/>
    <n v="477"/>
    <n v="0"/>
  </r>
  <r>
    <s v="1540"/>
    <x v="408"/>
    <n v="9"/>
    <s v="Company I"/>
    <x v="1"/>
    <s v="Steve"/>
    <x v="1"/>
    <x v="3"/>
    <n v="159"/>
    <n v="6"/>
    <n v="954"/>
    <n v="0"/>
  </r>
  <r>
    <s v="1547"/>
    <x v="507"/>
    <n v="6"/>
    <s v="Company F"/>
    <x v="7"/>
    <s v="Philip"/>
    <x v="1"/>
    <x v="3"/>
    <n v="159"/>
    <n v="5"/>
    <n v="795"/>
    <n v="0"/>
  </r>
  <r>
    <s v="1548"/>
    <x v="507"/>
    <n v="14"/>
    <s v="Company N"/>
    <x v="3"/>
    <s v="Sara"/>
    <x v="3"/>
    <x v="3"/>
    <n v="159"/>
    <n v="8"/>
    <n v="1272"/>
    <n v="0"/>
  </r>
  <r>
    <s v="1562"/>
    <x v="220"/>
    <n v="1"/>
    <s v="Company A"/>
    <x v="2"/>
    <s v="Jeff"/>
    <x v="2"/>
    <x v="3"/>
    <n v="159"/>
    <n v="4"/>
    <n v="636"/>
    <n v="0"/>
  </r>
  <r>
    <s v="1571"/>
    <x v="583"/>
    <n v="15"/>
    <s v="Company O"/>
    <x v="5"/>
    <s v="Steve"/>
    <x v="3"/>
    <x v="3"/>
    <n v="159"/>
    <n v="2"/>
    <n v="318"/>
    <n v="0"/>
  </r>
  <r>
    <s v="1573"/>
    <x v="222"/>
    <n v="5"/>
    <s v="Company E"/>
    <x v="2"/>
    <s v="Jeff"/>
    <x v="2"/>
    <x v="3"/>
    <n v="159"/>
    <n v="3"/>
    <n v="477"/>
    <n v="0"/>
  </r>
  <r>
    <s v="1575"/>
    <x v="222"/>
    <n v="5"/>
    <s v="Company E"/>
    <x v="4"/>
    <s v="Sara"/>
    <x v="2"/>
    <x v="3"/>
    <n v="159"/>
    <n v="2"/>
    <n v="318"/>
    <n v="0"/>
  </r>
  <r>
    <s v="1585"/>
    <x v="412"/>
    <n v="10"/>
    <s v="Company J"/>
    <x v="7"/>
    <s v="Philip"/>
    <x v="1"/>
    <x v="3"/>
    <n v="159"/>
    <n v="6"/>
    <n v="954"/>
    <n v="0"/>
  </r>
  <r>
    <s v="1588"/>
    <x v="412"/>
    <n v="17"/>
    <s v="Company Q"/>
    <x v="0"/>
    <s v="Jeff"/>
    <x v="0"/>
    <x v="3"/>
    <n v="159"/>
    <n v="9"/>
    <n v="1431"/>
    <n v="0"/>
  </r>
  <r>
    <s v="1590"/>
    <x v="412"/>
    <n v="17"/>
    <s v="Company Q"/>
    <x v="0"/>
    <s v="Jeff"/>
    <x v="0"/>
    <x v="3"/>
    <n v="159"/>
    <n v="2"/>
    <n v="318"/>
    <n v="0"/>
  </r>
  <r>
    <s v="1592"/>
    <x v="412"/>
    <n v="16"/>
    <s v="Company P"/>
    <x v="6"/>
    <s v="Jeff"/>
    <x v="0"/>
    <x v="3"/>
    <n v="159"/>
    <n v="7"/>
    <n v="1113"/>
    <n v="0"/>
  </r>
  <r>
    <s v="1596"/>
    <x v="508"/>
    <n v="5"/>
    <s v="Company E"/>
    <x v="2"/>
    <s v="Jeff"/>
    <x v="2"/>
    <x v="3"/>
    <n v="159"/>
    <n v="2"/>
    <n v="318"/>
    <n v="0"/>
  </r>
  <r>
    <s v="1598"/>
    <x v="508"/>
    <n v="19"/>
    <s v="Company S"/>
    <x v="0"/>
    <s v="Jeff"/>
    <x v="0"/>
    <x v="3"/>
    <n v="159"/>
    <n v="3"/>
    <n v="477"/>
    <n v="0"/>
  </r>
  <r>
    <s v="1599"/>
    <x v="508"/>
    <n v="5"/>
    <s v="Company E"/>
    <x v="4"/>
    <s v="Sara"/>
    <x v="2"/>
    <x v="3"/>
    <n v="159"/>
    <n v="9"/>
    <n v="1431"/>
    <n v="0"/>
  </r>
  <r>
    <s v="1605"/>
    <x v="224"/>
    <n v="6"/>
    <s v="Company F"/>
    <x v="1"/>
    <s v="Steve"/>
    <x v="1"/>
    <x v="3"/>
    <n v="159"/>
    <n v="5"/>
    <n v="795"/>
    <n v="0"/>
  </r>
  <r>
    <s v="1608"/>
    <x v="413"/>
    <n v="17"/>
    <s v="Company Q"/>
    <x v="0"/>
    <s v="Jeff"/>
    <x v="0"/>
    <x v="3"/>
    <n v="159"/>
    <n v="8"/>
    <n v="1272"/>
    <n v="0"/>
  </r>
  <r>
    <s v="1609"/>
    <x v="413"/>
    <n v="3"/>
    <s v="Company C"/>
    <x v="2"/>
    <s v="Jeff"/>
    <x v="2"/>
    <x v="3"/>
    <n v="159"/>
    <n v="8"/>
    <n v="1272"/>
    <n v="0"/>
  </r>
  <r>
    <s v="1611"/>
    <x v="414"/>
    <n v="2"/>
    <s v="Company B"/>
    <x v="4"/>
    <s v="Sara"/>
    <x v="2"/>
    <x v="3"/>
    <n v="159"/>
    <n v="1"/>
    <n v="159"/>
    <n v="0"/>
  </r>
  <r>
    <s v="1612"/>
    <x v="414"/>
    <n v="10"/>
    <s v="Company J"/>
    <x v="1"/>
    <s v="Steve"/>
    <x v="1"/>
    <x v="3"/>
    <n v="159"/>
    <n v="2"/>
    <n v="318"/>
    <n v="0"/>
  </r>
  <r>
    <s v="1617"/>
    <x v="415"/>
    <n v="15"/>
    <s v="Company O"/>
    <x v="3"/>
    <s v="Sara"/>
    <x v="3"/>
    <x v="3"/>
    <n v="159"/>
    <n v="1"/>
    <n v="159"/>
    <n v="0"/>
  </r>
  <r>
    <s v="1619"/>
    <x v="584"/>
    <n v="20"/>
    <s v="Company T"/>
    <x v="0"/>
    <s v="Jeff"/>
    <x v="0"/>
    <x v="3"/>
    <n v="159"/>
    <n v="4"/>
    <n v="636"/>
    <n v="0"/>
  </r>
  <r>
    <s v="1621"/>
    <x v="225"/>
    <n v="4"/>
    <s v="Company D"/>
    <x v="4"/>
    <s v="Sara"/>
    <x v="2"/>
    <x v="3"/>
    <n v="159"/>
    <n v="2"/>
    <n v="318"/>
    <n v="0"/>
  </r>
  <r>
    <s v="1623"/>
    <x v="225"/>
    <n v="2"/>
    <s v="Company B"/>
    <x v="2"/>
    <s v="Jeff"/>
    <x v="2"/>
    <x v="3"/>
    <n v="159"/>
    <n v="1"/>
    <n v="159"/>
    <n v="0"/>
  </r>
  <r>
    <s v="1628"/>
    <x v="226"/>
    <n v="17"/>
    <s v="Company Q"/>
    <x v="0"/>
    <s v="Jeff"/>
    <x v="0"/>
    <x v="3"/>
    <n v="159"/>
    <n v="7"/>
    <n v="1113"/>
    <n v="0"/>
  </r>
  <r>
    <s v="1630"/>
    <x v="226"/>
    <n v="4"/>
    <s v="Company D"/>
    <x v="2"/>
    <s v="Jeff"/>
    <x v="2"/>
    <x v="3"/>
    <n v="159"/>
    <n v="4"/>
    <n v="636"/>
    <n v="0"/>
  </r>
  <r>
    <s v="1633"/>
    <x v="226"/>
    <n v="15"/>
    <s v="Company O"/>
    <x v="5"/>
    <s v="Steve"/>
    <x v="3"/>
    <x v="3"/>
    <n v="159"/>
    <n v="5"/>
    <n v="795"/>
    <n v="0"/>
  </r>
  <r>
    <s v="1634"/>
    <x v="226"/>
    <n v="2"/>
    <s v="Company B"/>
    <x v="2"/>
    <s v="Jeff"/>
    <x v="2"/>
    <x v="3"/>
    <n v="159"/>
    <n v="8"/>
    <n v="1272"/>
    <n v="0"/>
  </r>
  <r>
    <s v="1641"/>
    <x v="227"/>
    <n v="13"/>
    <s v="Company M"/>
    <x v="3"/>
    <s v="Sara"/>
    <x v="3"/>
    <x v="3"/>
    <n v="159"/>
    <n v="2"/>
    <n v="318"/>
    <n v="0"/>
  </r>
  <r>
    <s v="1647"/>
    <x v="229"/>
    <n v="13"/>
    <s v="Company M"/>
    <x v="5"/>
    <s v="Steve"/>
    <x v="3"/>
    <x v="3"/>
    <n v="159"/>
    <n v="9"/>
    <n v="1431"/>
    <n v="0"/>
  </r>
  <r>
    <s v="1649"/>
    <x v="230"/>
    <n v="15"/>
    <s v="Company O"/>
    <x v="3"/>
    <s v="Sara"/>
    <x v="3"/>
    <x v="3"/>
    <n v="159"/>
    <n v="0"/>
    <n v="0"/>
    <n v="0"/>
  </r>
  <r>
    <s v="1653"/>
    <x v="585"/>
    <n v="15"/>
    <s v="Company O"/>
    <x v="3"/>
    <s v="Sara"/>
    <x v="3"/>
    <x v="3"/>
    <n v="159"/>
    <n v="1"/>
    <n v="159"/>
    <n v="0"/>
  </r>
  <r>
    <s v="1668"/>
    <x v="234"/>
    <n v="16"/>
    <s v="Company P"/>
    <x v="6"/>
    <s v="Jeff"/>
    <x v="0"/>
    <x v="3"/>
    <n v="159"/>
    <n v="3"/>
    <n v="477"/>
    <n v="0"/>
  </r>
  <r>
    <s v="1673"/>
    <x v="416"/>
    <n v="18"/>
    <s v="Company R"/>
    <x v="6"/>
    <s v="Jeff"/>
    <x v="0"/>
    <x v="3"/>
    <n v="159"/>
    <n v="6"/>
    <n v="954"/>
    <n v="0"/>
  </r>
  <r>
    <s v="1677"/>
    <x v="509"/>
    <n v="14"/>
    <s v="Company N"/>
    <x v="5"/>
    <s v="Steve"/>
    <x v="3"/>
    <x v="3"/>
    <n v="159"/>
    <n v="5"/>
    <n v="795"/>
    <n v="0"/>
  </r>
  <r>
    <s v="1678"/>
    <x v="586"/>
    <n v="6"/>
    <s v="Company F"/>
    <x v="7"/>
    <s v="Philip"/>
    <x v="1"/>
    <x v="3"/>
    <n v="159"/>
    <n v="2"/>
    <n v="318"/>
    <n v="0"/>
  </r>
  <r>
    <s v="1680"/>
    <x v="511"/>
    <n v="4"/>
    <s v="Company D"/>
    <x v="2"/>
    <s v="Jeff"/>
    <x v="2"/>
    <x v="3"/>
    <n v="159"/>
    <n v="5"/>
    <n v="795"/>
    <n v="0"/>
  </r>
  <r>
    <s v="1683"/>
    <x v="511"/>
    <n v="9"/>
    <s v="Company I"/>
    <x v="1"/>
    <s v="Steve"/>
    <x v="1"/>
    <x v="3"/>
    <n v="159"/>
    <n v="4"/>
    <n v="636"/>
    <n v="0"/>
  </r>
  <r>
    <s v="1684"/>
    <x v="511"/>
    <n v="12"/>
    <s v="Company L"/>
    <x v="5"/>
    <s v="Steve"/>
    <x v="3"/>
    <x v="3"/>
    <n v="159"/>
    <n v="2"/>
    <n v="318"/>
    <n v="0"/>
  </r>
  <r>
    <s v="1685"/>
    <x v="511"/>
    <n v="3"/>
    <s v="Company C"/>
    <x v="2"/>
    <s v="Jeff"/>
    <x v="2"/>
    <x v="3"/>
    <n v="159"/>
    <n v="8"/>
    <n v="1272"/>
    <n v="0"/>
  </r>
  <r>
    <s v="1686"/>
    <x v="587"/>
    <n v="15"/>
    <s v="Company O"/>
    <x v="3"/>
    <s v="Sara"/>
    <x v="3"/>
    <x v="3"/>
    <n v="159"/>
    <n v="4"/>
    <n v="636"/>
    <n v="0"/>
  </r>
  <r>
    <s v="1687"/>
    <x v="587"/>
    <n v="9"/>
    <s v="Company I"/>
    <x v="7"/>
    <s v="Philip"/>
    <x v="1"/>
    <x v="3"/>
    <n v="159"/>
    <n v="8"/>
    <n v="1272"/>
    <n v="0"/>
  </r>
  <r>
    <s v="1696"/>
    <x v="588"/>
    <n v="9"/>
    <s v="Company I"/>
    <x v="7"/>
    <s v="Philip"/>
    <x v="1"/>
    <x v="3"/>
    <n v="159"/>
    <n v="7"/>
    <n v="1113"/>
    <n v="0"/>
  </r>
  <r>
    <s v="1699"/>
    <x v="512"/>
    <n v="11"/>
    <s v="Company K"/>
    <x v="3"/>
    <s v="Sara"/>
    <x v="3"/>
    <x v="3"/>
    <n v="159"/>
    <n v="0"/>
    <n v="0"/>
    <n v="0"/>
  </r>
  <r>
    <s v="1704"/>
    <x v="589"/>
    <n v="18"/>
    <s v="Company R"/>
    <x v="0"/>
    <s v="Jeff"/>
    <x v="0"/>
    <x v="3"/>
    <n v="159"/>
    <n v="0"/>
    <n v="0"/>
    <n v="0"/>
  </r>
  <r>
    <s v="1707"/>
    <x v="590"/>
    <n v="19"/>
    <s v="Company S"/>
    <x v="0"/>
    <s v="Jeff"/>
    <x v="0"/>
    <x v="3"/>
    <n v="159"/>
    <n v="0"/>
    <n v="0"/>
    <n v="0"/>
  </r>
  <r>
    <s v="1712"/>
    <x v="243"/>
    <n v="5"/>
    <s v="Company E"/>
    <x v="2"/>
    <s v="Jeff"/>
    <x v="2"/>
    <x v="3"/>
    <n v="159"/>
    <n v="7"/>
    <n v="1113"/>
    <n v="0"/>
  </r>
  <r>
    <s v="1718"/>
    <x v="244"/>
    <n v="7"/>
    <s v="Company G"/>
    <x v="7"/>
    <s v="Philip"/>
    <x v="1"/>
    <x v="3"/>
    <n v="159"/>
    <n v="8"/>
    <n v="1272"/>
    <n v="0"/>
  </r>
  <r>
    <s v="1724"/>
    <x v="245"/>
    <n v="20"/>
    <s v="Company T"/>
    <x v="6"/>
    <s v="Jeff"/>
    <x v="0"/>
    <x v="3"/>
    <n v="159"/>
    <n v="1"/>
    <n v="159"/>
    <n v="0"/>
  </r>
  <r>
    <s v="1728"/>
    <x v="246"/>
    <n v="16"/>
    <s v="Company P"/>
    <x v="6"/>
    <s v="Jeff"/>
    <x v="0"/>
    <x v="3"/>
    <n v="159"/>
    <n v="3"/>
    <n v="477"/>
    <n v="0"/>
  </r>
  <r>
    <s v="1729"/>
    <x v="246"/>
    <n v="2"/>
    <s v="Company B"/>
    <x v="2"/>
    <s v="Jeff"/>
    <x v="2"/>
    <x v="3"/>
    <n v="159"/>
    <n v="4"/>
    <n v="636"/>
    <n v="0"/>
  </r>
  <r>
    <s v="1733"/>
    <x v="248"/>
    <n v="5"/>
    <s v="Company E"/>
    <x v="2"/>
    <s v="Jeff"/>
    <x v="2"/>
    <x v="3"/>
    <n v="159"/>
    <n v="9"/>
    <n v="1431"/>
    <n v="0"/>
  </r>
  <r>
    <s v="1738"/>
    <x v="591"/>
    <n v="18"/>
    <s v="Company R"/>
    <x v="0"/>
    <s v="Jeff"/>
    <x v="0"/>
    <x v="3"/>
    <n v="159"/>
    <n v="6"/>
    <n v="954"/>
    <n v="0"/>
  </r>
  <r>
    <s v="1759"/>
    <x v="592"/>
    <n v="18"/>
    <s v="Company R"/>
    <x v="0"/>
    <s v="Jeff"/>
    <x v="0"/>
    <x v="3"/>
    <n v="159"/>
    <n v="5"/>
    <n v="795"/>
    <n v="0"/>
  </r>
  <r>
    <s v="1768"/>
    <x v="593"/>
    <n v="15"/>
    <s v="Company O"/>
    <x v="5"/>
    <s v="Steve"/>
    <x v="3"/>
    <x v="3"/>
    <n v="159"/>
    <n v="1"/>
    <n v="159"/>
    <n v="0"/>
  </r>
  <r>
    <s v="1770"/>
    <x v="520"/>
    <n v="1"/>
    <s v="Company A"/>
    <x v="4"/>
    <s v="Sara"/>
    <x v="2"/>
    <x v="3"/>
    <n v="159"/>
    <n v="8"/>
    <n v="1272"/>
    <n v="0"/>
  </r>
  <r>
    <s v="1778"/>
    <x v="422"/>
    <n v="2"/>
    <s v="Company B"/>
    <x v="2"/>
    <s v="Jeff"/>
    <x v="2"/>
    <x v="3"/>
    <n v="159"/>
    <n v="6"/>
    <n v="954"/>
    <n v="0"/>
  </r>
  <r>
    <s v="1779"/>
    <x v="422"/>
    <n v="10"/>
    <s v="Company J"/>
    <x v="7"/>
    <s v="Philip"/>
    <x v="1"/>
    <x v="3"/>
    <n v="159"/>
    <n v="3"/>
    <n v="477"/>
    <n v="0"/>
  </r>
  <r>
    <s v="1784"/>
    <x v="255"/>
    <n v="14"/>
    <s v="Company N"/>
    <x v="3"/>
    <s v="Sara"/>
    <x v="3"/>
    <x v="3"/>
    <n v="159"/>
    <n v="1"/>
    <n v="159"/>
    <n v="0"/>
  </r>
  <r>
    <s v="1790"/>
    <x v="522"/>
    <n v="14"/>
    <s v="Company N"/>
    <x v="5"/>
    <s v="Steve"/>
    <x v="3"/>
    <x v="3"/>
    <n v="159"/>
    <n v="8"/>
    <n v="1272"/>
    <n v="0"/>
  </r>
  <r>
    <s v="1805"/>
    <x v="258"/>
    <n v="13"/>
    <s v="Company M"/>
    <x v="5"/>
    <s v="Steve"/>
    <x v="3"/>
    <x v="3"/>
    <n v="159"/>
    <n v="3"/>
    <n v="477"/>
    <n v="0"/>
  </r>
  <r>
    <s v="1813"/>
    <x v="594"/>
    <n v="6"/>
    <s v="Company F"/>
    <x v="7"/>
    <s v="Philip"/>
    <x v="1"/>
    <x v="3"/>
    <n v="159"/>
    <n v="6"/>
    <n v="954"/>
    <n v="0"/>
  </r>
  <r>
    <s v="1814"/>
    <x v="594"/>
    <n v="9"/>
    <s v="Company I"/>
    <x v="7"/>
    <s v="Philip"/>
    <x v="1"/>
    <x v="3"/>
    <n v="159"/>
    <n v="6"/>
    <n v="954"/>
    <n v="0"/>
  </r>
  <r>
    <s v="1816"/>
    <x v="525"/>
    <n v="10"/>
    <s v="Company J"/>
    <x v="7"/>
    <s v="Philip"/>
    <x v="1"/>
    <x v="3"/>
    <n v="159"/>
    <n v="9"/>
    <n v="1431"/>
    <n v="0"/>
  </r>
  <r>
    <s v="1824"/>
    <x v="424"/>
    <n v="15"/>
    <s v="Company O"/>
    <x v="3"/>
    <s v="Sara"/>
    <x v="3"/>
    <x v="3"/>
    <n v="159"/>
    <n v="3"/>
    <n v="477"/>
    <n v="0"/>
  </r>
  <r>
    <s v="1832"/>
    <x v="427"/>
    <n v="14"/>
    <s v="Company N"/>
    <x v="5"/>
    <s v="Steve"/>
    <x v="3"/>
    <x v="3"/>
    <n v="159"/>
    <n v="1"/>
    <n v="159"/>
    <n v="0"/>
  </r>
  <r>
    <s v="1842"/>
    <x v="259"/>
    <n v="2"/>
    <s v="Company B"/>
    <x v="2"/>
    <s v="Jeff"/>
    <x v="2"/>
    <x v="3"/>
    <n v="159"/>
    <n v="3"/>
    <n v="477"/>
    <n v="0"/>
  </r>
  <r>
    <s v="1845"/>
    <x v="259"/>
    <n v="5"/>
    <s v="Company E"/>
    <x v="4"/>
    <s v="Sara"/>
    <x v="2"/>
    <x v="3"/>
    <n v="159"/>
    <n v="2"/>
    <n v="318"/>
    <n v="0"/>
  </r>
  <r>
    <s v="1846"/>
    <x v="595"/>
    <n v="7"/>
    <s v="Company G"/>
    <x v="7"/>
    <s v="Philip"/>
    <x v="1"/>
    <x v="3"/>
    <n v="159"/>
    <n v="1"/>
    <n v="159"/>
    <n v="0"/>
  </r>
  <r>
    <s v="1847"/>
    <x v="595"/>
    <n v="2"/>
    <s v="Company B"/>
    <x v="2"/>
    <s v="Jeff"/>
    <x v="2"/>
    <x v="3"/>
    <n v="159"/>
    <n v="6"/>
    <n v="954"/>
    <n v="0"/>
  </r>
  <r>
    <s v="1850"/>
    <x v="596"/>
    <n v="4"/>
    <s v="Company D"/>
    <x v="4"/>
    <s v="Sara"/>
    <x v="2"/>
    <x v="3"/>
    <n v="159"/>
    <n v="1"/>
    <n v="159"/>
    <n v="0"/>
  </r>
  <r>
    <s v="1854"/>
    <x v="597"/>
    <n v="16"/>
    <s v="Company P"/>
    <x v="6"/>
    <s v="Jeff"/>
    <x v="0"/>
    <x v="3"/>
    <n v="159"/>
    <n v="8"/>
    <n v="1272"/>
    <n v="0"/>
  </r>
  <r>
    <s v="1855"/>
    <x v="597"/>
    <n v="4"/>
    <s v="Company D"/>
    <x v="4"/>
    <s v="Sara"/>
    <x v="2"/>
    <x v="3"/>
    <n v="159"/>
    <n v="0"/>
    <n v="0"/>
    <n v="0"/>
  </r>
  <r>
    <s v="1856"/>
    <x v="261"/>
    <n v="19"/>
    <s v="Company S"/>
    <x v="0"/>
    <s v="Jeff"/>
    <x v="0"/>
    <x v="3"/>
    <n v="159"/>
    <n v="7"/>
    <n v="1113"/>
    <n v="0"/>
  </r>
  <r>
    <s v="1871"/>
    <x v="265"/>
    <n v="20"/>
    <s v="Company T"/>
    <x v="6"/>
    <s v="Jeff"/>
    <x v="0"/>
    <x v="3"/>
    <n v="159"/>
    <n v="4"/>
    <n v="636"/>
    <n v="0"/>
  </r>
  <r>
    <s v="1875"/>
    <x v="266"/>
    <n v="3"/>
    <s v="Company C"/>
    <x v="4"/>
    <s v="Sara"/>
    <x v="2"/>
    <x v="3"/>
    <n v="159"/>
    <n v="9"/>
    <n v="1431"/>
    <n v="0"/>
  </r>
  <r>
    <s v="1880"/>
    <x v="266"/>
    <n v="11"/>
    <s v="Company K"/>
    <x v="3"/>
    <s v="Sara"/>
    <x v="3"/>
    <x v="3"/>
    <n v="159"/>
    <n v="3"/>
    <n v="477"/>
    <n v="0"/>
  </r>
  <r>
    <s v="1891"/>
    <x v="528"/>
    <n v="17"/>
    <s v="Company Q"/>
    <x v="0"/>
    <s v="Jeff"/>
    <x v="0"/>
    <x v="3"/>
    <n v="159"/>
    <n v="7"/>
    <n v="1113"/>
    <n v="0"/>
  </r>
  <r>
    <s v="1894"/>
    <x v="269"/>
    <n v="8"/>
    <s v="Company H"/>
    <x v="1"/>
    <s v="Steve"/>
    <x v="1"/>
    <x v="3"/>
    <n v="159"/>
    <n v="0"/>
    <n v="0"/>
    <n v="0"/>
  </r>
  <r>
    <s v="1897"/>
    <x v="269"/>
    <n v="1"/>
    <s v="Company A"/>
    <x v="2"/>
    <s v="Jeff"/>
    <x v="2"/>
    <x v="3"/>
    <n v="159"/>
    <n v="3"/>
    <n v="477"/>
    <n v="0"/>
  </r>
  <r>
    <s v="1910"/>
    <x v="272"/>
    <n v="14"/>
    <s v="Company N"/>
    <x v="3"/>
    <s v="Sara"/>
    <x v="3"/>
    <x v="3"/>
    <n v="159"/>
    <n v="7"/>
    <n v="1113"/>
    <n v="0"/>
  </r>
  <r>
    <s v="1920"/>
    <x v="273"/>
    <n v="10"/>
    <s v="Company J"/>
    <x v="1"/>
    <s v="Steve"/>
    <x v="1"/>
    <x v="3"/>
    <n v="159"/>
    <n v="9"/>
    <n v="1431"/>
    <n v="0"/>
  </r>
  <r>
    <s v="1923"/>
    <x v="273"/>
    <n v="12"/>
    <s v="Company L"/>
    <x v="5"/>
    <s v="Steve"/>
    <x v="3"/>
    <x v="3"/>
    <n v="159"/>
    <n v="8"/>
    <n v="1272"/>
    <n v="0"/>
  </r>
  <r>
    <s v="1932"/>
    <x v="598"/>
    <n v="7"/>
    <s v="Company G"/>
    <x v="7"/>
    <s v="Philip"/>
    <x v="1"/>
    <x v="3"/>
    <n v="159"/>
    <n v="5"/>
    <n v="795"/>
    <n v="0"/>
  </r>
  <r>
    <s v="1933"/>
    <x v="598"/>
    <n v="2"/>
    <s v="Company B"/>
    <x v="4"/>
    <s v="Sara"/>
    <x v="2"/>
    <x v="3"/>
    <n v="159"/>
    <n v="7"/>
    <n v="1113"/>
    <n v="0"/>
  </r>
  <r>
    <s v="1940"/>
    <x v="532"/>
    <n v="12"/>
    <s v="Company L"/>
    <x v="3"/>
    <s v="Sara"/>
    <x v="3"/>
    <x v="3"/>
    <n v="159"/>
    <n v="1"/>
    <n v="159"/>
    <n v="0"/>
  </r>
  <r>
    <s v="1951"/>
    <x v="278"/>
    <n v="20"/>
    <s v="Company T"/>
    <x v="6"/>
    <s v="Jeff"/>
    <x v="0"/>
    <x v="3"/>
    <n v="159"/>
    <n v="1"/>
    <n v="159"/>
    <n v="0"/>
  </r>
  <r>
    <s v="1956"/>
    <x v="433"/>
    <n v="13"/>
    <s v="Company M"/>
    <x v="5"/>
    <s v="Steve"/>
    <x v="3"/>
    <x v="3"/>
    <n v="159"/>
    <n v="5"/>
    <n v="795"/>
    <n v="0"/>
  </r>
  <r>
    <s v="1960"/>
    <x v="280"/>
    <n v="19"/>
    <s v="Company S"/>
    <x v="0"/>
    <s v="Jeff"/>
    <x v="0"/>
    <x v="3"/>
    <n v="159"/>
    <n v="3"/>
    <n v="477"/>
    <n v="0"/>
  </r>
  <r>
    <s v="1975"/>
    <x v="599"/>
    <n v="6"/>
    <s v="Company F"/>
    <x v="7"/>
    <s v="Philip"/>
    <x v="1"/>
    <x v="3"/>
    <n v="159"/>
    <n v="4"/>
    <n v="636"/>
    <n v="0"/>
  </r>
  <r>
    <s v="1976"/>
    <x v="599"/>
    <n v="15"/>
    <s v="Company O"/>
    <x v="3"/>
    <s v="Sara"/>
    <x v="3"/>
    <x v="3"/>
    <n v="159"/>
    <n v="1"/>
    <n v="159"/>
    <n v="0"/>
  </r>
  <r>
    <s v="1977"/>
    <x v="533"/>
    <n v="10"/>
    <s v="Company J"/>
    <x v="7"/>
    <s v="Philip"/>
    <x v="1"/>
    <x v="3"/>
    <n v="159"/>
    <n v="6"/>
    <n v="954"/>
    <n v="0"/>
  </r>
  <r>
    <s v="1979"/>
    <x v="435"/>
    <n v="11"/>
    <s v="Company K"/>
    <x v="5"/>
    <s v="Steve"/>
    <x v="3"/>
    <x v="3"/>
    <n v="159"/>
    <n v="0"/>
    <n v="0"/>
    <n v="0"/>
  </r>
  <r>
    <s v="1992"/>
    <x v="600"/>
    <n v="5"/>
    <s v="Company E"/>
    <x v="2"/>
    <s v="Jeff"/>
    <x v="2"/>
    <x v="3"/>
    <n v="159"/>
    <n v="7"/>
    <n v="1113"/>
    <n v="0"/>
  </r>
  <r>
    <s v="0005"/>
    <x v="287"/>
    <n v="16"/>
    <s v="Company P"/>
    <x v="6"/>
    <s v="Jeff"/>
    <x v="0"/>
    <x v="4"/>
    <n v="69"/>
    <n v="4"/>
    <n v="276"/>
    <n v="0"/>
  </r>
  <r>
    <s v="0016"/>
    <x v="601"/>
    <n v="13"/>
    <s v="Company M"/>
    <x v="3"/>
    <s v="Sara"/>
    <x v="3"/>
    <x v="4"/>
    <n v="69"/>
    <n v="0"/>
    <n v="0"/>
    <n v="0"/>
  </r>
  <r>
    <s v="0019"/>
    <x v="1"/>
    <n v="10"/>
    <s v="Company J"/>
    <x v="1"/>
    <s v="Steve"/>
    <x v="1"/>
    <x v="4"/>
    <n v="69"/>
    <n v="2"/>
    <n v="138"/>
    <n v="0"/>
  </r>
  <r>
    <s v="0021"/>
    <x v="1"/>
    <n v="10"/>
    <s v="Company J"/>
    <x v="1"/>
    <s v="Steve"/>
    <x v="1"/>
    <x v="4"/>
    <n v="69"/>
    <n v="2"/>
    <n v="138"/>
    <n v="0"/>
  </r>
  <r>
    <s v="0033"/>
    <x v="602"/>
    <n v="6"/>
    <s v="Company F"/>
    <x v="1"/>
    <s v="Steve"/>
    <x v="1"/>
    <x v="4"/>
    <n v="69"/>
    <n v="2"/>
    <n v="138"/>
    <n v="0"/>
  </r>
  <r>
    <s v="0039"/>
    <x v="5"/>
    <n v="19"/>
    <s v="Company S"/>
    <x v="0"/>
    <s v="Jeff"/>
    <x v="0"/>
    <x v="4"/>
    <n v="69"/>
    <n v="8"/>
    <n v="552"/>
    <n v="0"/>
  </r>
  <r>
    <s v="0042"/>
    <x v="6"/>
    <n v="17"/>
    <s v="Company Q"/>
    <x v="0"/>
    <s v="Jeff"/>
    <x v="0"/>
    <x v="4"/>
    <n v="69"/>
    <n v="5"/>
    <n v="345"/>
    <n v="0"/>
  </r>
  <r>
    <s v="0048"/>
    <x v="6"/>
    <n v="16"/>
    <s v="Company P"/>
    <x v="6"/>
    <s v="Jeff"/>
    <x v="0"/>
    <x v="4"/>
    <n v="69"/>
    <n v="1"/>
    <n v="69"/>
    <n v="0"/>
  </r>
  <r>
    <s v="0052"/>
    <x v="6"/>
    <n v="1"/>
    <s v="Company A"/>
    <x v="4"/>
    <s v="Sara"/>
    <x v="2"/>
    <x v="4"/>
    <n v="69"/>
    <n v="2"/>
    <n v="138"/>
    <n v="0"/>
  </r>
  <r>
    <s v="0053"/>
    <x v="603"/>
    <n v="17"/>
    <s v="Company Q"/>
    <x v="0"/>
    <s v="Jeff"/>
    <x v="0"/>
    <x v="4"/>
    <n v="69"/>
    <n v="7"/>
    <n v="483"/>
    <n v="0"/>
  </r>
  <r>
    <s v="0056"/>
    <x v="7"/>
    <n v="20"/>
    <s v="Company T"/>
    <x v="0"/>
    <s v="Jeff"/>
    <x v="0"/>
    <x v="4"/>
    <n v="69"/>
    <n v="9"/>
    <n v="621"/>
    <n v="0"/>
  </r>
  <r>
    <s v="0058"/>
    <x v="7"/>
    <n v="11"/>
    <s v="Company K"/>
    <x v="3"/>
    <s v="Sara"/>
    <x v="3"/>
    <x v="4"/>
    <n v="69"/>
    <n v="9"/>
    <n v="621"/>
    <n v="0"/>
  </r>
  <r>
    <s v="0067"/>
    <x v="438"/>
    <n v="16"/>
    <s v="Company P"/>
    <x v="6"/>
    <s v="Jeff"/>
    <x v="0"/>
    <x v="4"/>
    <n v="69"/>
    <n v="2"/>
    <n v="138"/>
    <n v="0"/>
  </r>
  <r>
    <s v="0076"/>
    <x v="10"/>
    <n v="18"/>
    <s v="Company R"/>
    <x v="6"/>
    <s v="Jeff"/>
    <x v="0"/>
    <x v="4"/>
    <n v="69"/>
    <n v="7"/>
    <n v="483"/>
    <n v="0"/>
  </r>
  <r>
    <s v="0077"/>
    <x v="10"/>
    <n v="8"/>
    <s v="Company H"/>
    <x v="1"/>
    <s v="Steve"/>
    <x v="1"/>
    <x v="4"/>
    <n v="69"/>
    <n v="2"/>
    <n v="138"/>
    <n v="0"/>
  </r>
  <r>
    <s v="0082"/>
    <x v="10"/>
    <n v="5"/>
    <s v="Company E"/>
    <x v="2"/>
    <s v="Jeff"/>
    <x v="2"/>
    <x v="4"/>
    <n v="69"/>
    <n v="1"/>
    <n v="69"/>
    <n v="0"/>
  </r>
  <r>
    <s v="0083"/>
    <x v="10"/>
    <n v="10"/>
    <s v="Company J"/>
    <x v="1"/>
    <s v="Steve"/>
    <x v="1"/>
    <x v="4"/>
    <n v="69"/>
    <n v="2"/>
    <n v="138"/>
    <n v="0"/>
  </r>
  <r>
    <s v="0088"/>
    <x v="291"/>
    <n v="12"/>
    <s v="Company L"/>
    <x v="3"/>
    <s v="Sara"/>
    <x v="3"/>
    <x v="4"/>
    <n v="69"/>
    <n v="2"/>
    <n v="138"/>
    <n v="0"/>
  </r>
  <r>
    <s v="0090"/>
    <x v="291"/>
    <n v="12"/>
    <s v="Company L"/>
    <x v="5"/>
    <s v="Steve"/>
    <x v="3"/>
    <x v="4"/>
    <n v="69"/>
    <n v="2"/>
    <n v="138"/>
    <n v="0"/>
  </r>
  <r>
    <s v="0095"/>
    <x v="14"/>
    <n v="7"/>
    <s v="Company G"/>
    <x v="1"/>
    <s v="Steve"/>
    <x v="1"/>
    <x v="4"/>
    <n v="69"/>
    <n v="8"/>
    <n v="552"/>
    <n v="0"/>
  </r>
  <r>
    <s v="0096"/>
    <x v="440"/>
    <n v="15"/>
    <s v="Company O"/>
    <x v="3"/>
    <s v="Sara"/>
    <x v="3"/>
    <x v="4"/>
    <n v="69"/>
    <n v="9"/>
    <n v="621"/>
    <n v="0"/>
  </r>
  <r>
    <s v="0097"/>
    <x v="440"/>
    <n v="11"/>
    <s v="Company K"/>
    <x v="5"/>
    <s v="Steve"/>
    <x v="3"/>
    <x v="4"/>
    <n v="69"/>
    <n v="7"/>
    <n v="483"/>
    <n v="0"/>
  </r>
  <r>
    <s v="0101"/>
    <x v="604"/>
    <n v="18"/>
    <s v="Company R"/>
    <x v="6"/>
    <s v="Jeff"/>
    <x v="0"/>
    <x v="4"/>
    <n v="69"/>
    <n v="4"/>
    <n v="276"/>
    <n v="0"/>
  </r>
  <r>
    <s v="0102"/>
    <x v="605"/>
    <n v="10"/>
    <s v="Company J"/>
    <x v="7"/>
    <s v="Philip"/>
    <x v="1"/>
    <x v="4"/>
    <n v="69"/>
    <n v="4"/>
    <n v="276"/>
    <n v="0"/>
  </r>
  <r>
    <s v="0103"/>
    <x v="605"/>
    <n v="20"/>
    <s v="Company T"/>
    <x v="0"/>
    <s v="Jeff"/>
    <x v="0"/>
    <x v="4"/>
    <n v="69"/>
    <n v="6"/>
    <n v="414"/>
    <n v="0"/>
  </r>
  <r>
    <s v="0115"/>
    <x v="18"/>
    <n v="2"/>
    <s v="Company B"/>
    <x v="4"/>
    <s v="Sara"/>
    <x v="2"/>
    <x v="4"/>
    <n v="69"/>
    <n v="7"/>
    <n v="483"/>
    <n v="0"/>
  </r>
  <r>
    <s v="0116"/>
    <x v="18"/>
    <n v="14"/>
    <s v="Company N"/>
    <x v="3"/>
    <s v="Sara"/>
    <x v="3"/>
    <x v="4"/>
    <n v="69"/>
    <n v="7"/>
    <n v="483"/>
    <n v="0"/>
  </r>
  <r>
    <s v="0122"/>
    <x v="19"/>
    <n v="8"/>
    <s v="Company H"/>
    <x v="1"/>
    <s v="Steve"/>
    <x v="1"/>
    <x v="4"/>
    <n v="69"/>
    <n v="6"/>
    <n v="414"/>
    <n v="0"/>
  </r>
  <r>
    <s v="0135"/>
    <x v="537"/>
    <n v="16"/>
    <s v="Company P"/>
    <x v="6"/>
    <s v="Jeff"/>
    <x v="0"/>
    <x v="4"/>
    <n v="69"/>
    <n v="5"/>
    <n v="345"/>
    <n v="0"/>
  </r>
  <r>
    <s v="0139"/>
    <x v="21"/>
    <n v="13"/>
    <s v="Company M"/>
    <x v="3"/>
    <s v="Sara"/>
    <x v="3"/>
    <x v="4"/>
    <n v="69"/>
    <n v="4"/>
    <n v="276"/>
    <n v="0"/>
  </r>
  <r>
    <s v="0154"/>
    <x v="606"/>
    <n v="8"/>
    <s v="Company H"/>
    <x v="7"/>
    <s v="Philip"/>
    <x v="1"/>
    <x v="4"/>
    <n v="69"/>
    <n v="8"/>
    <n v="552"/>
    <n v="0"/>
  </r>
  <r>
    <s v="0162"/>
    <x v="293"/>
    <n v="15"/>
    <s v="Company O"/>
    <x v="5"/>
    <s v="Steve"/>
    <x v="3"/>
    <x v="4"/>
    <n v="69"/>
    <n v="5"/>
    <n v="345"/>
    <n v="0"/>
  </r>
  <r>
    <s v="0164"/>
    <x v="538"/>
    <n v="13"/>
    <s v="Company M"/>
    <x v="5"/>
    <s v="Steve"/>
    <x v="3"/>
    <x v="4"/>
    <n v="69"/>
    <n v="1"/>
    <n v="69"/>
    <n v="0"/>
  </r>
  <r>
    <s v="0166"/>
    <x v="539"/>
    <n v="15"/>
    <s v="Company O"/>
    <x v="3"/>
    <s v="Sara"/>
    <x v="3"/>
    <x v="4"/>
    <n v="69"/>
    <n v="0"/>
    <n v="0"/>
    <n v="0"/>
  </r>
  <r>
    <s v="0167"/>
    <x v="539"/>
    <n v="12"/>
    <s v="Company L"/>
    <x v="5"/>
    <s v="Steve"/>
    <x v="3"/>
    <x v="4"/>
    <n v="69"/>
    <n v="1"/>
    <n v="69"/>
    <n v="0"/>
  </r>
  <r>
    <s v="0169"/>
    <x v="539"/>
    <n v="10"/>
    <s v="Company J"/>
    <x v="1"/>
    <s v="Steve"/>
    <x v="1"/>
    <x v="4"/>
    <n v="69"/>
    <n v="4"/>
    <n v="276"/>
    <n v="0"/>
  </r>
  <r>
    <s v="0170"/>
    <x v="539"/>
    <n v="6"/>
    <s v="Company F"/>
    <x v="1"/>
    <s v="Steve"/>
    <x v="1"/>
    <x v="4"/>
    <n v="69"/>
    <n v="3"/>
    <n v="207"/>
    <n v="0"/>
  </r>
  <r>
    <s v="0172"/>
    <x v="22"/>
    <n v="11"/>
    <s v="Company K"/>
    <x v="3"/>
    <s v="Sara"/>
    <x v="3"/>
    <x v="4"/>
    <n v="69"/>
    <n v="5"/>
    <n v="345"/>
    <n v="0"/>
  </r>
  <r>
    <s v="0180"/>
    <x v="295"/>
    <n v="20"/>
    <s v="Company T"/>
    <x v="6"/>
    <s v="Jeff"/>
    <x v="0"/>
    <x v="4"/>
    <n v="69"/>
    <n v="3"/>
    <n v="207"/>
    <n v="0"/>
  </r>
  <r>
    <s v="0181"/>
    <x v="295"/>
    <n v="20"/>
    <s v="Company T"/>
    <x v="0"/>
    <s v="Jeff"/>
    <x v="0"/>
    <x v="4"/>
    <n v="69"/>
    <n v="1"/>
    <n v="69"/>
    <n v="0"/>
  </r>
  <r>
    <s v="0197"/>
    <x v="540"/>
    <n v="18"/>
    <s v="Company R"/>
    <x v="0"/>
    <s v="Jeff"/>
    <x v="0"/>
    <x v="4"/>
    <n v="69"/>
    <n v="8"/>
    <n v="552"/>
    <n v="0"/>
  </r>
  <r>
    <s v="0211"/>
    <x v="27"/>
    <n v="4"/>
    <s v="Company D"/>
    <x v="4"/>
    <s v="Sara"/>
    <x v="2"/>
    <x v="4"/>
    <n v="69"/>
    <n v="4"/>
    <n v="276"/>
    <n v="0"/>
  </r>
  <r>
    <s v="0214"/>
    <x v="607"/>
    <n v="5"/>
    <s v="Company E"/>
    <x v="4"/>
    <s v="Sara"/>
    <x v="2"/>
    <x v="4"/>
    <n v="69"/>
    <n v="6"/>
    <n v="414"/>
    <n v="0"/>
  </r>
  <r>
    <s v="0216"/>
    <x v="28"/>
    <n v="18"/>
    <s v="Company R"/>
    <x v="6"/>
    <s v="Jeff"/>
    <x v="0"/>
    <x v="4"/>
    <n v="69"/>
    <n v="9"/>
    <n v="621"/>
    <n v="0"/>
  </r>
  <r>
    <s v="0233"/>
    <x v="31"/>
    <n v="9"/>
    <s v="Company I"/>
    <x v="1"/>
    <s v="Steve"/>
    <x v="1"/>
    <x v="4"/>
    <n v="69"/>
    <n v="8"/>
    <n v="552"/>
    <n v="0"/>
  </r>
  <r>
    <s v="0236"/>
    <x v="32"/>
    <n v="20"/>
    <s v="Company T"/>
    <x v="0"/>
    <s v="Jeff"/>
    <x v="0"/>
    <x v="4"/>
    <n v="69"/>
    <n v="8"/>
    <n v="552"/>
    <n v="0"/>
  </r>
  <r>
    <s v="0237"/>
    <x v="32"/>
    <n v="4"/>
    <s v="Company D"/>
    <x v="2"/>
    <s v="Jeff"/>
    <x v="2"/>
    <x v="4"/>
    <n v="69"/>
    <n v="7"/>
    <n v="483"/>
    <n v="0"/>
  </r>
  <r>
    <s v="0241"/>
    <x v="32"/>
    <n v="4"/>
    <s v="Company D"/>
    <x v="2"/>
    <s v="Jeff"/>
    <x v="2"/>
    <x v="4"/>
    <n v="69"/>
    <n v="5"/>
    <n v="345"/>
    <n v="0"/>
  </r>
  <r>
    <s v="0248"/>
    <x v="33"/>
    <n v="18"/>
    <s v="Company R"/>
    <x v="0"/>
    <s v="Jeff"/>
    <x v="0"/>
    <x v="4"/>
    <n v="69"/>
    <n v="5"/>
    <n v="345"/>
    <n v="0"/>
  </r>
  <r>
    <s v="0257"/>
    <x v="450"/>
    <n v="2"/>
    <s v="Company B"/>
    <x v="2"/>
    <s v="Jeff"/>
    <x v="2"/>
    <x v="4"/>
    <n v="69"/>
    <n v="8"/>
    <n v="552"/>
    <n v="0"/>
  </r>
  <r>
    <s v="0260"/>
    <x v="34"/>
    <n v="14"/>
    <s v="Company N"/>
    <x v="3"/>
    <s v="Sara"/>
    <x v="3"/>
    <x v="4"/>
    <n v="69"/>
    <n v="9"/>
    <n v="621"/>
    <n v="0"/>
  </r>
  <r>
    <s v="0266"/>
    <x v="35"/>
    <n v="12"/>
    <s v="Company L"/>
    <x v="5"/>
    <s v="Steve"/>
    <x v="3"/>
    <x v="4"/>
    <n v="69"/>
    <n v="4"/>
    <n v="276"/>
    <n v="0"/>
  </r>
  <r>
    <s v="0279"/>
    <x v="36"/>
    <n v="9"/>
    <s v="Company I"/>
    <x v="7"/>
    <s v="Philip"/>
    <x v="1"/>
    <x v="4"/>
    <n v="69"/>
    <n v="9"/>
    <n v="621"/>
    <n v="0"/>
  </r>
  <r>
    <s v="0281"/>
    <x v="36"/>
    <n v="20"/>
    <s v="Company T"/>
    <x v="0"/>
    <s v="Jeff"/>
    <x v="0"/>
    <x v="4"/>
    <n v="69"/>
    <n v="3"/>
    <n v="207"/>
    <n v="0"/>
  </r>
  <r>
    <s v="0286"/>
    <x v="302"/>
    <n v="13"/>
    <s v="Company M"/>
    <x v="5"/>
    <s v="Steve"/>
    <x v="3"/>
    <x v="4"/>
    <n v="69"/>
    <n v="6"/>
    <n v="414"/>
    <n v="0"/>
  </r>
  <r>
    <s v="0291"/>
    <x v="452"/>
    <n v="19"/>
    <s v="Company S"/>
    <x v="6"/>
    <s v="Jeff"/>
    <x v="0"/>
    <x v="4"/>
    <n v="69"/>
    <n v="3"/>
    <n v="207"/>
    <n v="0"/>
  </r>
  <r>
    <s v="0295"/>
    <x v="37"/>
    <n v="7"/>
    <s v="Company G"/>
    <x v="1"/>
    <s v="Steve"/>
    <x v="1"/>
    <x v="4"/>
    <n v="69"/>
    <n v="3"/>
    <n v="207"/>
    <n v="0"/>
  </r>
  <r>
    <s v="0296"/>
    <x v="37"/>
    <n v="9"/>
    <s v="Company I"/>
    <x v="7"/>
    <s v="Philip"/>
    <x v="1"/>
    <x v="4"/>
    <n v="69"/>
    <n v="4"/>
    <n v="276"/>
    <n v="0"/>
  </r>
  <r>
    <s v="0298"/>
    <x v="37"/>
    <n v="13"/>
    <s v="Company M"/>
    <x v="5"/>
    <s v="Steve"/>
    <x v="3"/>
    <x v="4"/>
    <n v="69"/>
    <n v="4"/>
    <n v="276"/>
    <n v="0"/>
  </r>
  <r>
    <s v="0300"/>
    <x v="608"/>
    <n v="7"/>
    <s v="Company G"/>
    <x v="7"/>
    <s v="Philip"/>
    <x v="1"/>
    <x v="4"/>
    <n v="69"/>
    <n v="2"/>
    <n v="138"/>
    <n v="0"/>
  </r>
  <r>
    <s v="0302"/>
    <x v="609"/>
    <n v="6"/>
    <s v="Company F"/>
    <x v="1"/>
    <s v="Steve"/>
    <x v="1"/>
    <x v="4"/>
    <n v="69"/>
    <n v="6"/>
    <n v="414"/>
    <n v="0"/>
  </r>
  <r>
    <s v="0304"/>
    <x v="546"/>
    <n v="2"/>
    <s v="Company B"/>
    <x v="4"/>
    <s v="Sara"/>
    <x v="2"/>
    <x v="4"/>
    <n v="69"/>
    <n v="1"/>
    <n v="69"/>
    <n v="0"/>
  </r>
  <r>
    <s v="0310"/>
    <x v="305"/>
    <n v="6"/>
    <s v="Company F"/>
    <x v="1"/>
    <s v="Steve"/>
    <x v="1"/>
    <x v="4"/>
    <n v="69"/>
    <n v="0"/>
    <n v="0"/>
    <n v="0"/>
  </r>
  <r>
    <s v="0319"/>
    <x v="610"/>
    <n v="14"/>
    <s v="Company N"/>
    <x v="3"/>
    <s v="Sara"/>
    <x v="3"/>
    <x v="4"/>
    <n v="69"/>
    <n v="3"/>
    <n v="207"/>
    <n v="0"/>
  </r>
  <r>
    <s v="0320"/>
    <x v="611"/>
    <n v="12"/>
    <s v="Company L"/>
    <x v="5"/>
    <s v="Steve"/>
    <x v="3"/>
    <x v="4"/>
    <n v="69"/>
    <n v="0"/>
    <n v="0"/>
    <n v="0"/>
  </r>
  <r>
    <s v="0326"/>
    <x v="40"/>
    <n v="7"/>
    <s v="Company G"/>
    <x v="7"/>
    <s v="Philip"/>
    <x v="1"/>
    <x v="4"/>
    <n v="69"/>
    <n v="2"/>
    <n v="138"/>
    <n v="0"/>
  </r>
  <r>
    <s v="0335"/>
    <x v="308"/>
    <n v="2"/>
    <s v="Company B"/>
    <x v="4"/>
    <s v="Sara"/>
    <x v="2"/>
    <x v="4"/>
    <n v="69"/>
    <n v="9"/>
    <n v="621"/>
    <n v="0"/>
  </r>
  <r>
    <s v="0337"/>
    <x v="41"/>
    <n v="11"/>
    <s v="Company K"/>
    <x v="5"/>
    <s v="Steve"/>
    <x v="3"/>
    <x v="4"/>
    <n v="69"/>
    <n v="8"/>
    <n v="552"/>
    <n v="0"/>
  </r>
  <r>
    <s v="0339"/>
    <x v="612"/>
    <n v="8"/>
    <s v="Company H"/>
    <x v="7"/>
    <s v="Philip"/>
    <x v="1"/>
    <x v="4"/>
    <n v="69"/>
    <n v="6"/>
    <n v="414"/>
    <n v="0"/>
  </r>
  <r>
    <s v="0342"/>
    <x v="42"/>
    <n v="19"/>
    <s v="Company S"/>
    <x v="0"/>
    <s v="Jeff"/>
    <x v="0"/>
    <x v="4"/>
    <n v="69"/>
    <n v="1"/>
    <n v="69"/>
    <n v="0"/>
  </r>
  <r>
    <s v="0346"/>
    <x v="42"/>
    <n v="17"/>
    <s v="Company Q"/>
    <x v="6"/>
    <s v="Jeff"/>
    <x v="0"/>
    <x v="4"/>
    <n v="69"/>
    <n v="2"/>
    <n v="138"/>
    <n v="0"/>
  </r>
  <r>
    <s v="0351"/>
    <x v="42"/>
    <n v="4"/>
    <s v="Company D"/>
    <x v="4"/>
    <s v="Sara"/>
    <x v="2"/>
    <x v="4"/>
    <n v="69"/>
    <n v="6"/>
    <n v="414"/>
    <n v="0"/>
  </r>
  <r>
    <s v="0354"/>
    <x v="43"/>
    <n v="5"/>
    <s v="Company E"/>
    <x v="2"/>
    <s v="Jeff"/>
    <x v="2"/>
    <x v="4"/>
    <n v="69"/>
    <n v="1"/>
    <n v="69"/>
    <n v="0"/>
  </r>
  <r>
    <s v="0358"/>
    <x v="45"/>
    <n v="2"/>
    <s v="Company B"/>
    <x v="2"/>
    <s v="Jeff"/>
    <x v="2"/>
    <x v="4"/>
    <n v="69"/>
    <n v="2"/>
    <n v="138"/>
    <n v="0"/>
  </r>
  <r>
    <s v="0361"/>
    <x v="45"/>
    <n v="10"/>
    <s v="Company J"/>
    <x v="7"/>
    <s v="Philip"/>
    <x v="1"/>
    <x v="4"/>
    <n v="69"/>
    <n v="7"/>
    <n v="483"/>
    <n v="0"/>
  </r>
  <r>
    <s v="0366"/>
    <x v="309"/>
    <n v="7"/>
    <s v="Company G"/>
    <x v="1"/>
    <s v="Steve"/>
    <x v="1"/>
    <x v="4"/>
    <n v="69"/>
    <n v="0"/>
    <n v="0"/>
    <n v="0"/>
  </r>
  <r>
    <s v="0376"/>
    <x v="46"/>
    <n v="16"/>
    <s v="Company P"/>
    <x v="0"/>
    <s v="Jeff"/>
    <x v="0"/>
    <x v="4"/>
    <n v="69"/>
    <n v="3"/>
    <n v="207"/>
    <n v="0"/>
  </r>
  <r>
    <s v="0381"/>
    <x v="613"/>
    <n v="5"/>
    <s v="Company E"/>
    <x v="2"/>
    <s v="Jeff"/>
    <x v="2"/>
    <x v="4"/>
    <n v="69"/>
    <n v="5"/>
    <n v="345"/>
    <n v="0"/>
  </r>
  <r>
    <s v="0382"/>
    <x v="47"/>
    <n v="7"/>
    <s v="Company G"/>
    <x v="1"/>
    <s v="Steve"/>
    <x v="1"/>
    <x v="4"/>
    <n v="69"/>
    <n v="8"/>
    <n v="552"/>
    <n v="0"/>
  </r>
  <r>
    <s v="0388"/>
    <x v="47"/>
    <n v="20"/>
    <s v="Company T"/>
    <x v="0"/>
    <s v="Jeff"/>
    <x v="0"/>
    <x v="4"/>
    <n v="69"/>
    <n v="4"/>
    <n v="276"/>
    <n v="0"/>
  </r>
  <r>
    <s v="0393"/>
    <x v="311"/>
    <n v="14"/>
    <s v="Company N"/>
    <x v="5"/>
    <s v="Steve"/>
    <x v="3"/>
    <x v="4"/>
    <n v="69"/>
    <n v="7"/>
    <n v="483"/>
    <n v="0"/>
  </r>
  <r>
    <s v="0395"/>
    <x v="614"/>
    <n v="18"/>
    <s v="Company R"/>
    <x v="6"/>
    <s v="Jeff"/>
    <x v="0"/>
    <x v="4"/>
    <n v="69"/>
    <n v="3"/>
    <n v="207"/>
    <n v="0"/>
  </r>
  <r>
    <s v="0401"/>
    <x v="615"/>
    <n v="5"/>
    <s v="Company E"/>
    <x v="2"/>
    <s v="Jeff"/>
    <x v="2"/>
    <x v="4"/>
    <n v="69"/>
    <n v="0"/>
    <n v="0"/>
    <n v="0"/>
  </r>
  <r>
    <s v="0407"/>
    <x v="313"/>
    <n v="16"/>
    <s v="Company P"/>
    <x v="0"/>
    <s v="Jeff"/>
    <x v="0"/>
    <x v="4"/>
    <n v="69"/>
    <n v="7"/>
    <n v="483"/>
    <n v="0"/>
  </r>
  <r>
    <s v="0412"/>
    <x v="313"/>
    <n v="13"/>
    <s v="Company M"/>
    <x v="3"/>
    <s v="Sara"/>
    <x v="3"/>
    <x v="4"/>
    <n v="69"/>
    <n v="7"/>
    <n v="483"/>
    <n v="0"/>
  </r>
  <r>
    <s v="0414"/>
    <x v="616"/>
    <n v="19"/>
    <s v="Company S"/>
    <x v="6"/>
    <s v="Jeff"/>
    <x v="0"/>
    <x v="4"/>
    <n v="69"/>
    <n v="6"/>
    <n v="414"/>
    <n v="0"/>
  </r>
  <r>
    <s v="0423"/>
    <x v="314"/>
    <n v="5"/>
    <s v="Company E"/>
    <x v="4"/>
    <s v="Sara"/>
    <x v="2"/>
    <x v="4"/>
    <n v="69"/>
    <n v="4"/>
    <n v="276"/>
    <n v="0"/>
  </r>
  <r>
    <s v="0424"/>
    <x v="314"/>
    <n v="1"/>
    <s v="Company A"/>
    <x v="4"/>
    <s v="Sara"/>
    <x v="2"/>
    <x v="4"/>
    <n v="69"/>
    <n v="8"/>
    <n v="552"/>
    <n v="0"/>
  </r>
  <r>
    <s v="0428"/>
    <x v="458"/>
    <n v="13"/>
    <s v="Company M"/>
    <x v="5"/>
    <s v="Steve"/>
    <x v="3"/>
    <x v="4"/>
    <n v="69"/>
    <n v="3"/>
    <n v="207"/>
    <n v="0"/>
  </r>
  <r>
    <s v="0429"/>
    <x v="617"/>
    <n v="18"/>
    <s v="Company R"/>
    <x v="0"/>
    <s v="Jeff"/>
    <x v="0"/>
    <x v="4"/>
    <n v="69"/>
    <n v="9"/>
    <n v="621"/>
    <n v="0"/>
  </r>
  <r>
    <s v="0437"/>
    <x v="51"/>
    <n v="2"/>
    <s v="Company B"/>
    <x v="4"/>
    <s v="Sara"/>
    <x v="2"/>
    <x v="4"/>
    <n v="69"/>
    <n v="7"/>
    <n v="483"/>
    <n v="0"/>
  </r>
  <r>
    <s v="0438"/>
    <x v="51"/>
    <n v="2"/>
    <s v="Company B"/>
    <x v="4"/>
    <s v="Sara"/>
    <x v="2"/>
    <x v="4"/>
    <n v="69"/>
    <n v="6"/>
    <n v="414"/>
    <n v="0"/>
  </r>
  <r>
    <s v="0440"/>
    <x v="51"/>
    <n v="19"/>
    <s v="Company S"/>
    <x v="0"/>
    <s v="Jeff"/>
    <x v="0"/>
    <x v="4"/>
    <n v="69"/>
    <n v="8"/>
    <n v="552"/>
    <n v="0"/>
  </r>
  <r>
    <s v="0443"/>
    <x v="51"/>
    <n v="14"/>
    <s v="Company N"/>
    <x v="3"/>
    <s v="Sara"/>
    <x v="3"/>
    <x v="4"/>
    <n v="69"/>
    <n v="6"/>
    <n v="414"/>
    <n v="0"/>
  </r>
  <r>
    <s v="0444"/>
    <x v="52"/>
    <n v="17"/>
    <s v="Company Q"/>
    <x v="0"/>
    <s v="Jeff"/>
    <x v="0"/>
    <x v="4"/>
    <n v="69"/>
    <n v="7"/>
    <n v="483"/>
    <n v="0"/>
  </r>
  <r>
    <s v="0446"/>
    <x v="52"/>
    <n v="18"/>
    <s v="Company R"/>
    <x v="0"/>
    <s v="Jeff"/>
    <x v="0"/>
    <x v="4"/>
    <n v="69"/>
    <n v="7"/>
    <n v="483"/>
    <n v="0"/>
  </r>
  <r>
    <s v="0451"/>
    <x v="52"/>
    <n v="10"/>
    <s v="Company J"/>
    <x v="7"/>
    <s v="Philip"/>
    <x v="1"/>
    <x v="4"/>
    <n v="69"/>
    <n v="7"/>
    <n v="483"/>
    <n v="0"/>
  </r>
  <r>
    <s v="0452"/>
    <x v="52"/>
    <n v="7"/>
    <s v="Company G"/>
    <x v="1"/>
    <s v="Steve"/>
    <x v="1"/>
    <x v="4"/>
    <n v="69"/>
    <n v="3"/>
    <n v="207"/>
    <n v="0"/>
  </r>
  <r>
    <s v="0455"/>
    <x v="53"/>
    <n v="14"/>
    <s v="Company N"/>
    <x v="5"/>
    <s v="Steve"/>
    <x v="3"/>
    <x v="4"/>
    <n v="69"/>
    <n v="9"/>
    <n v="621"/>
    <n v="0"/>
  </r>
  <r>
    <s v="0480"/>
    <x v="58"/>
    <n v="18"/>
    <s v="Company R"/>
    <x v="6"/>
    <s v="Jeff"/>
    <x v="0"/>
    <x v="4"/>
    <n v="69"/>
    <n v="9"/>
    <n v="621"/>
    <n v="0"/>
  </r>
  <r>
    <s v="0482"/>
    <x v="316"/>
    <n v="11"/>
    <s v="Company K"/>
    <x v="3"/>
    <s v="Sara"/>
    <x v="3"/>
    <x v="4"/>
    <n v="69"/>
    <n v="6"/>
    <n v="414"/>
    <n v="0"/>
  </r>
  <r>
    <s v="0483"/>
    <x v="316"/>
    <n v="16"/>
    <s v="Company P"/>
    <x v="6"/>
    <s v="Jeff"/>
    <x v="0"/>
    <x v="4"/>
    <n v="69"/>
    <n v="6"/>
    <n v="414"/>
    <n v="0"/>
  </r>
  <r>
    <s v="0491"/>
    <x v="317"/>
    <n v="17"/>
    <s v="Company Q"/>
    <x v="0"/>
    <s v="Jeff"/>
    <x v="0"/>
    <x v="4"/>
    <n v="69"/>
    <n v="3"/>
    <n v="207"/>
    <n v="0"/>
  </r>
  <r>
    <s v="0498"/>
    <x v="59"/>
    <n v="8"/>
    <s v="Company H"/>
    <x v="1"/>
    <s v="Steve"/>
    <x v="1"/>
    <x v="4"/>
    <n v="69"/>
    <n v="8"/>
    <n v="552"/>
    <n v="0"/>
  </r>
  <r>
    <s v="0506"/>
    <x v="60"/>
    <n v="17"/>
    <s v="Company Q"/>
    <x v="6"/>
    <s v="Jeff"/>
    <x v="0"/>
    <x v="4"/>
    <n v="69"/>
    <n v="4"/>
    <n v="276"/>
    <n v="0"/>
  </r>
  <r>
    <s v="0510"/>
    <x v="319"/>
    <n v="2"/>
    <s v="Company B"/>
    <x v="2"/>
    <s v="Jeff"/>
    <x v="2"/>
    <x v="4"/>
    <n v="69"/>
    <n v="5"/>
    <n v="345"/>
    <n v="0"/>
  </r>
  <r>
    <s v="0512"/>
    <x v="319"/>
    <n v="2"/>
    <s v="Company B"/>
    <x v="4"/>
    <s v="Sara"/>
    <x v="2"/>
    <x v="4"/>
    <n v="69"/>
    <n v="9"/>
    <n v="621"/>
    <n v="0"/>
  </r>
  <r>
    <s v="0513"/>
    <x v="618"/>
    <n v="14"/>
    <s v="Company N"/>
    <x v="5"/>
    <s v="Steve"/>
    <x v="3"/>
    <x v="4"/>
    <n v="69"/>
    <n v="3"/>
    <n v="207"/>
    <n v="0"/>
  </r>
  <r>
    <s v="0514"/>
    <x v="320"/>
    <n v="14"/>
    <s v="Company N"/>
    <x v="3"/>
    <s v="Sara"/>
    <x v="3"/>
    <x v="4"/>
    <n v="69"/>
    <n v="0"/>
    <n v="0"/>
    <n v="0"/>
  </r>
  <r>
    <s v="0524"/>
    <x v="61"/>
    <n v="4"/>
    <s v="Company D"/>
    <x v="2"/>
    <s v="Jeff"/>
    <x v="2"/>
    <x v="4"/>
    <n v="69"/>
    <n v="9"/>
    <n v="621"/>
    <n v="0"/>
  </r>
  <r>
    <s v="0536"/>
    <x v="460"/>
    <n v="17"/>
    <s v="Company Q"/>
    <x v="0"/>
    <s v="Jeff"/>
    <x v="0"/>
    <x v="4"/>
    <n v="69"/>
    <n v="0"/>
    <n v="0"/>
    <n v="0"/>
  </r>
  <r>
    <s v="0547"/>
    <x v="65"/>
    <n v="6"/>
    <s v="Company F"/>
    <x v="7"/>
    <s v="Philip"/>
    <x v="1"/>
    <x v="4"/>
    <n v="69"/>
    <n v="7"/>
    <n v="483"/>
    <n v="0"/>
  </r>
  <r>
    <s v="0551"/>
    <x v="65"/>
    <n v="5"/>
    <s v="Company E"/>
    <x v="2"/>
    <s v="Jeff"/>
    <x v="2"/>
    <x v="4"/>
    <n v="69"/>
    <n v="5"/>
    <n v="345"/>
    <n v="0"/>
  </r>
  <r>
    <s v="0575"/>
    <x v="551"/>
    <n v="18"/>
    <s v="Company R"/>
    <x v="0"/>
    <s v="Jeff"/>
    <x v="0"/>
    <x v="4"/>
    <n v="69"/>
    <n v="1"/>
    <n v="69"/>
    <n v="0"/>
  </r>
  <r>
    <s v="0576"/>
    <x v="551"/>
    <n v="4"/>
    <s v="Company D"/>
    <x v="4"/>
    <s v="Sara"/>
    <x v="2"/>
    <x v="4"/>
    <n v="69"/>
    <n v="3"/>
    <n v="207"/>
    <n v="0"/>
  </r>
  <r>
    <s v="0584"/>
    <x v="71"/>
    <n v="18"/>
    <s v="Company R"/>
    <x v="0"/>
    <s v="Jeff"/>
    <x v="0"/>
    <x v="4"/>
    <n v="69"/>
    <n v="0"/>
    <n v="0"/>
    <n v="0"/>
  </r>
  <r>
    <s v="0587"/>
    <x v="71"/>
    <n v="20"/>
    <s v="Company T"/>
    <x v="0"/>
    <s v="Jeff"/>
    <x v="0"/>
    <x v="4"/>
    <n v="69"/>
    <n v="3"/>
    <n v="207"/>
    <n v="0"/>
  </r>
  <r>
    <s v="0588"/>
    <x v="619"/>
    <n v="17"/>
    <s v="Company Q"/>
    <x v="6"/>
    <s v="Jeff"/>
    <x v="0"/>
    <x v="4"/>
    <n v="69"/>
    <n v="1"/>
    <n v="69"/>
    <n v="0"/>
  </r>
  <r>
    <s v="0593"/>
    <x v="73"/>
    <n v="17"/>
    <s v="Company Q"/>
    <x v="6"/>
    <s v="Jeff"/>
    <x v="0"/>
    <x v="4"/>
    <n v="69"/>
    <n v="9"/>
    <n v="621"/>
    <n v="0"/>
  </r>
  <r>
    <s v="0597"/>
    <x v="620"/>
    <n v="4"/>
    <s v="Company D"/>
    <x v="2"/>
    <s v="Jeff"/>
    <x v="2"/>
    <x v="4"/>
    <n v="69"/>
    <n v="8"/>
    <n v="552"/>
    <n v="0"/>
  </r>
  <r>
    <s v="0601"/>
    <x v="74"/>
    <n v="10"/>
    <s v="Company J"/>
    <x v="1"/>
    <s v="Steve"/>
    <x v="1"/>
    <x v="4"/>
    <n v="69"/>
    <n v="3"/>
    <n v="207"/>
    <n v="0"/>
  </r>
  <r>
    <s v="0608"/>
    <x v="75"/>
    <n v="12"/>
    <s v="Company L"/>
    <x v="3"/>
    <s v="Sara"/>
    <x v="3"/>
    <x v="4"/>
    <n v="69"/>
    <n v="4"/>
    <n v="276"/>
    <n v="0"/>
  </r>
  <r>
    <s v="0609"/>
    <x v="75"/>
    <n v="19"/>
    <s v="Company S"/>
    <x v="6"/>
    <s v="Jeff"/>
    <x v="0"/>
    <x v="4"/>
    <n v="69"/>
    <n v="4"/>
    <n v="276"/>
    <n v="0"/>
  </r>
  <r>
    <s v="0610"/>
    <x v="326"/>
    <n v="12"/>
    <s v="Company L"/>
    <x v="5"/>
    <s v="Steve"/>
    <x v="3"/>
    <x v="4"/>
    <n v="69"/>
    <n v="8"/>
    <n v="552"/>
    <n v="0"/>
  </r>
  <r>
    <s v="0613"/>
    <x v="621"/>
    <n v="15"/>
    <s v="Company O"/>
    <x v="5"/>
    <s v="Steve"/>
    <x v="3"/>
    <x v="4"/>
    <n v="69"/>
    <n v="2"/>
    <n v="138"/>
    <n v="0"/>
  </r>
  <r>
    <s v="0616"/>
    <x v="622"/>
    <n v="11"/>
    <s v="Company K"/>
    <x v="5"/>
    <s v="Steve"/>
    <x v="3"/>
    <x v="4"/>
    <n v="69"/>
    <n v="7"/>
    <n v="483"/>
    <n v="0"/>
  </r>
  <r>
    <s v="0627"/>
    <x v="77"/>
    <n v="18"/>
    <s v="Company R"/>
    <x v="6"/>
    <s v="Jeff"/>
    <x v="0"/>
    <x v="4"/>
    <n v="69"/>
    <n v="4"/>
    <n v="276"/>
    <n v="0"/>
  </r>
  <r>
    <s v="0629"/>
    <x v="77"/>
    <n v="2"/>
    <s v="Company B"/>
    <x v="4"/>
    <s v="Sara"/>
    <x v="2"/>
    <x v="4"/>
    <n v="69"/>
    <n v="6"/>
    <n v="414"/>
    <n v="0"/>
  </r>
  <r>
    <s v="0632"/>
    <x v="464"/>
    <n v="17"/>
    <s v="Company Q"/>
    <x v="6"/>
    <s v="Jeff"/>
    <x v="0"/>
    <x v="4"/>
    <n v="69"/>
    <n v="3"/>
    <n v="207"/>
    <n v="0"/>
  </r>
  <r>
    <s v="0636"/>
    <x v="623"/>
    <n v="16"/>
    <s v="Company P"/>
    <x v="6"/>
    <s v="Jeff"/>
    <x v="0"/>
    <x v="4"/>
    <n v="69"/>
    <n v="5"/>
    <n v="345"/>
    <n v="0"/>
  </r>
  <r>
    <s v="0645"/>
    <x v="329"/>
    <n v="1"/>
    <s v="Company A"/>
    <x v="2"/>
    <s v="Jeff"/>
    <x v="2"/>
    <x v="4"/>
    <n v="69"/>
    <n v="9"/>
    <n v="621"/>
    <n v="0"/>
  </r>
  <r>
    <s v="0654"/>
    <x v="330"/>
    <n v="1"/>
    <s v="Company A"/>
    <x v="2"/>
    <s v="Jeff"/>
    <x v="2"/>
    <x v="4"/>
    <n v="69"/>
    <n v="0"/>
    <n v="0"/>
    <n v="0"/>
  </r>
  <r>
    <s v="0657"/>
    <x v="330"/>
    <n v="6"/>
    <s v="Company F"/>
    <x v="1"/>
    <s v="Steve"/>
    <x v="1"/>
    <x v="4"/>
    <n v="69"/>
    <n v="3"/>
    <n v="207"/>
    <n v="0"/>
  </r>
  <r>
    <s v="0662"/>
    <x v="555"/>
    <n v="9"/>
    <s v="Company I"/>
    <x v="1"/>
    <s v="Steve"/>
    <x v="1"/>
    <x v="4"/>
    <n v="69"/>
    <n v="2"/>
    <n v="138"/>
    <n v="0"/>
  </r>
  <r>
    <s v="0666"/>
    <x v="84"/>
    <n v="13"/>
    <s v="Company M"/>
    <x v="5"/>
    <s v="Steve"/>
    <x v="3"/>
    <x v="4"/>
    <n v="69"/>
    <n v="0"/>
    <n v="0"/>
    <n v="0"/>
  </r>
  <r>
    <s v="0667"/>
    <x v="624"/>
    <n v="14"/>
    <s v="Company N"/>
    <x v="5"/>
    <s v="Steve"/>
    <x v="3"/>
    <x v="4"/>
    <n v="69"/>
    <n v="8"/>
    <n v="552"/>
    <n v="0"/>
  </r>
  <r>
    <s v="0668"/>
    <x v="85"/>
    <n v="10"/>
    <s v="Company J"/>
    <x v="7"/>
    <s v="Philip"/>
    <x v="1"/>
    <x v="4"/>
    <n v="69"/>
    <n v="2"/>
    <n v="138"/>
    <n v="0"/>
  </r>
  <r>
    <s v="0676"/>
    <x v="332"/>
    <n v="15"/>
    <s v="Company O"/>
    <x v="3"/>
    <s v="Sara"/>
    <x v="3"/>
    <x v="4"/>
    <n v="69"/>
    <n v="4"/>
    <n v="276"/>
    <n v="0"/>
  </r>
  <r>
    <s v="0678"/>
    <x v="332"/>
    <n v="18"/>
    <s v="Company R"/>
    <x v="0"/>
    <s v="Jeff"/>
    <x v="0"/>
    <x v="4"/>
    <n v="69"/>
    <n v="6"/>
    <n v="414"/>
    <n v="0"/>
  </r>
  <r>
    <s v="0680"/>
    <x v="332"/>
    <n v="13"/>
    <s v="Company M"/>
    <x v="3"/>
    <s v="Sara"/>
    <x v="3"/>
    <x v="4"/>
    <n v="69"/>
    <n v="3"/>
    <n v="207"/>
    <n v="0"/>
  </r>
  <r>
    <s v="0681"/>
    <x v="332"/>
    <n v="3"/>
    <s v="Company C"/>
    <x v="4"/>
    <s v="Sara"/>
    <x v="2"/>
    <x v="4"/>
    <n v="69"/>
    <n v="4"/>
    <n v="276"/>
    <n v="0"/>
  </r>
  <r>
    <s v="0686"/>
    <x v="86"/>
    <n v="1"/>
    <s v="Company A"/>
    <x v="4"/>
    <s v="Sara"/>
    <x v="2"/>
    <x v="4"/>
    <n v="69"/>
    <n v="1"/>
    <n v="69"/>
    <n v="0"/>
  </r>
  <r>
    <s v="0687"/>
    <x v="86"/>
    <n v="15"/>
    <s v="Company O"/>
    <x v="5"/>
    <s v="Steve"/>
    <x v="3"/>
    <x v="4"/>
    <n v="69"/>
    <n v="0"/>
    <n v="0"/>
    <n v="0"/>
  </r>
  <r>
    <s v="0716"/>
    <x v="338"/>
    <n v="4"/>
    <s v="Company D"/>
    <x v="2"/>
    <s v="Jeff"/>
    <x v="2"/>
    <x v="4"/>
    <n v="69"/>
    <n v="8"/>
    <n v="552"/>
    <n v="0"/>
  </r>
  <r>
    <s v="0727"/>
    <x v="87"/>
    <n v="17"/>
    <s v="Company Q"/>
    <x v="0"/>
    <s v="Jeff"/>
    <x v="0"/>
    <x v="4"/>
    <n v="69"/>
    <n v="3"/>
    <n v="207"/>
    <n v="0"/>
  </r>
  <r>
    <s v="0739"/>
    <x v="467"/>
    <n v="1"/>
    <s v="Company A"/>
    <x v="4"/>
    <s v="Sara"/>
    <x v="2"/>
    <x v="4"/>
    <n v="69"/>
    <n v="6"/>
    <n v="414"/>
    <n v="0"/>
  </r>
  <r>
    <s v="0743"/>
    <x v="625"/>
    <n v="19"/>
    <s v="Company S"/>
    <x v="6"/>
    <s v="Jeff"/>
    <x v="0"/>
    <x v="4"/>
    <n v="69"/>
    <n v="9"/>
    <n v="621"/>
    <n v="0"/>
  </r>
  <r>
    <s v="0744"/>
    <x v="91"/>
    <n v="12"/>
    <s v="Company L"/>
    <x v="5"/>
    <s v="Steve"/>
    <x v="3"/>
    <x v="4"/>
    <n v="69"/>
    <n v="5"/>
    <n v="345"/>
    <n v="0"/>
  </r>
  <r>
    <s v="0763"/>
    <x v="94"/>
    <n v="17"/>
    <s v="Company Q"/>
    <x v="6"/>
    <s v="Jeff"/>
    <x v="0"/>
    <x v="4"/>
    <n v="69"/>
    <n v="8"/>
    <n v="552"/>
    <n v="0"/>
  </r>
  <r>
    <s v="0773"/>
    <x v="97"/>
    <n v="20"/>
    <s v="Company T"/>
    <x v="0"/>
    <s v="Jeff"/>
    <x v="0"/>
    <x v="4"/>
    <n v="69"/>
    <n v="0"/>
    <n v="0"/>
    <n v="0"/>
  </r>
  <r>
    <s v="0774"/>
    <x v="97"/>
    <n v="15"/>
    <s v="Company O"/>
    <x v="3"/>
    <s v="Sara"/>
    <x v="3"/>
    <x v="4"/>
    <n v="69"/>
    <n v="2"/>
    <n v="138"/>
    <n v="0"/>
  </r>
  <r>
    <s v="0781"/>
    <x v="626"/>
    <n v="11"/>
    <s v="Company K"/>
    <x v="5"/>
    <s v="Steve"/>
    <x v="3"/>
    <x v="4"/>
    <n v="69"/>
    <n v="6"/>
    <n v="414"/>
    <n v="0"/>
  </r>
  <r>
    <s v="0787"/>
    <x v="470"/>
    <n v="14"/>
    <s v="Company N"/>
    <x v="3"/>
    <s v="Sara"/>
    <x v="3"/>
    <x v="4"/>
    <n v="69"/>
    <n v="1"/>
    <n v="69"/>
    <n v="0"/>
  </r>
  <r>
    <s v="0797"/>
    <x v="627"/>
    <n v="4"/>
    <s v="Company D"/>
    <x v="4"/>
    <s v="Sara"/>
    <x v="2"/>
    <x v="4"/>
    <n v="69"/>
    <n v="2"/>
    <n v="138"/>
    <n v="0"/>
  </r>
  <r>
    <s v="0798"/>
    <x v="627"/>
    <n v="20"/>
    <s v="Company T"/>
    <x v="0"/>
    <s v="Jeff"/>
    <x v="0"/>
    <x v="4"/>
    <n v="69"/>
    <n v="6"/>
    <n v="414"/>
    <n v="0"/>
  </r>
  <r>
    <s v="0804"/>
    <x v="628"/>
    <n v="16"/>
    <s v="Company P"/>
    <x v="6"/>
    <s v="Jeff"/>
    <x v="0"/>
    <x v="4"/>
    <n v="69"/>
    <n v="1"/>
    <n v="69"/>
    <n v="0"/>
  </r>
  <r>
    <s v="0808"/>
    <x v="471"/>
    <n v="13"/>
    <s v="Company M"/>
    <x v="5"/>
    <s v="Steve"/>
    <x v="3"/>
    <x v="4"/>
    <n v="69"/>
    <n v="5"/>
    <n v="345"/>
    <n v="0"/>
  </r>
  <r>
    <s v="0810"/>
    <x v="471"/>
    <n v="15"/>
    <s v="Company O"/>
    <x v="3"/>
    <s v="Sara"/>
    <x v="3"/>
    <x v="4"/>
    <n v="69"/>
    <n v="5"/>
    <n v="345"/>
    <n v="0"/>
  </r>
  <r>
    <s v="0811"/>
    <x v="471"/>
    <n v="14"/>
    <s v="Company N"/>
    <x v="3"/>
    <s v="Sara"/>
    <x v="3"/>
    <x v="4"/>
    <n v="69"/>
    <n v="9"/>
    <n v="621"/>
    <n v="0"/>
  </r>
  <r>
    <s v="0817"/>
    <x v="105"/>
    <n v="20"/>
    <s v="Company T"/>
    <x v="6"/>
    <s v="Jeff"/>
    <x v="0"/>
    <x v="4"/>
    <n v="69"/>
    <n v="5"/>
    <n v="345"/>
    <n v="0"/>
  </r>
  <r>
    <s v="0823"/>
    <x v="107"/>
    <n v="11"/>
    <s v="Company K"/>
    <x v="5"/>
    <s v="Steve"/>
    <x v="3"/>
    <x v="4"/>
    <n v="69"/>
    <n v="8"/>
    <n v="552"/>
    <n v="0"/>
  </r>
  <r>
    <s v="0829"/>
    <x v="472"/>
    <n v="14"/>
    <s v="Company N"/>
    <x v="3"/>
    <s v="Sara"/>
    <x v="3"/>
    <x v="4"/>
    <n v="69"/>
    <n v="4"/>
    <n v="276"/>
    <n v="0"/>
  </r>
  <r>
    <s v="0834"/>
    <x v="110"/>
    <n v="6"/>
    <s v="Company F"/>
    <x v="1"/>
    <s v="Steve"/>
    <x v="1"/>
    <x v="4"/>
    <n v="69"/>
    <n v="6"/>
    <n v="414"/>
    <n v="0"/>
  </r>
  <r>
    <s v="0836"/>
    <x v="629"/>
    <n v="5"/>
    <s v="Company E"/>
    <x v="2"/>
    <s v="Jeff"/>
    <x v="2"/>
    <x v="4"/>
    <n v="69"/>
    <n v="6"/>
    <n v="414"/>
    <n v="0"/>
  </r>
  <r>
    <s v="0858"/>
    <x v="113"/>
    <n v="17"/>
    <s v="Company Q"/>
    <x v="6"/>
    <s v="Jeff"/>
    <x v="0"/>
    <x v="4"/>
    <n v="69"/>
    <n v="5"/>
    <n v="345"/>
    <n v="0"/>
  </r>
  <r>
    <s v="0862"/>
    <x v="348"/>
    <n v="17"/>
    <s v="Company Q"/>
    <x v="6"/>
    <s v="Jeff"/>
    <x v="0"/>
    <x v="4"/>
    <n v="69"/>
    <n v="8"/>
    <n v="552"/>
    <n v="0"/>
  </r>
  <r>
    <s v="0865"/>
    <x v="630"/>
    <n v="16"/>
    <s v="Company P"/>
    <x v="6"/>
    <s v="Jeff"/>
    <x v="0"/>
    <x v="4"/>
    <n v="69"/>
    <n v="6"/>
    <n v="414"/>
    <n v="0"/>
  </r>
  <r>
    <s v="0866"/>
    <x v="630"/>
    <n v="19"/>
    <s v="Company S"/>
    <x v="0"/>
    <s v="Jeff"/>
    <x v="0"/>
    <x v="4"/>
    <n v="69"/>
    <n v="2"/>
    <n v="138"/>
    <n v="0"/>
  </r>
  <r>
    <s v="0868"/>
    <x v="474"/>
    <n v="9"/>
    <s v="Company I"/>
    <x v="1"/>
    <s v="Steve"/>
    <x v="1"/>
    <x v="4"/>
    <n v="69"/>
    <n v="7"/>
    <n v="483"/>
    <n v="0"/>
  </r>
  <r>
    <s v="0871"/>
    <x v="114"/>
    <n v="9"/>
    <s v="Company I"/>
    <x v="1"/>
    <s v="Steve"/>
    <x v="1"/>
    <x v="4"/>
    <n v="69"/>
    <n v="6"/>
    <n v="414"/>
    <n v="0"/>
  </r>
  <r>
    <s v="0875"/>
    <x v="349"/>
    <n v="4"/>
    <s v="Company D"/>
    <x v="4"/>
    <s v="Sara"/>
    <x v="2"/>
    <x v="4"/>
    <n v="69"/>
    <n v="6"/>
    <n v="414"/>
    <n v="0"/>
  </r>
  <r>
    <s v="0893"/>
    <x v="353"/>
    <n v="5"/>
    <s v="Company E"/>
    <x v="4"/>
    <s v="Sara"/>
    <x v="2"/>
    <x v="4"/>
    <n v="69"/>
    <n v="3"/>
    <n v="207"/>
    <n v="0"/>
  </r>
  <r>
    <s v="0911"/>
    <x v="357"/>
    <n v="18"/>
    <s v="Company R"/>
    <x v="6"/>
    <s v="Jeff"/>
    <x v="0"/>
    <x v="4"/>
    <n v="69"/>
    <n v="9"/>
    <n v="621"/>
    <n v="0"/>
  </r>
  <r>
    <s v="0915"/>
    <x v="358"/>
    <n v="3"/>
    <s v="Company C"/>
    <x v="2"/>
    <s v="Jeff"/>
    <x v="2"/>
    <x v="4"/>
    <n v="69"/>
    <n v="2"/>
    <n v="138"/>
    <n v="0"/>
  </r>
  <r>
    <s v="0917"/>
    <x v="119"/>
    <n v="18"/>
    <s v="Company R"/>
    <x v="0"/>
    <s v="Jeff"/>
    <x v="0"/>
    <x v="4"/>
    <n v="69"/>
    <n v="2"/>
    <n v="138"/>
    <n v="0"/>
  </r>
  <r>
    <s v="0936"/>
    <x v="359"/>
    <n v="2"/>
    <s v="Company B"/>
    <x v="2"/>
    <s v="Jeff"/>
    <x v="2"/>
    <x v="4"/>
    <n v="69"/>
    <n v="8"/>
    <n v="552"/>
    <n v="0"/>
  </r>
  <r>
    <s v="0937"/>
    <x v="631"/>
    <n v="17"/>
    <s v="Company Q"/>
    <x v="6"/>
    <s v="Jeff"/>
    <x v="0"/>
    <x v="4"/>
    <n v="69"/>
    <n v="5"/>
    <n v="345"/>
    <n v="0"/>
  </r>
  <r>
    <s v="0947"/>
    <x v="479"/>
    <n v="15"/>
    <s v="Company O"/>
    <x v="3"/>
    <s v="Sara"/>
    <x v="3"/>
    <x v="4"/>
    <n v="69"/>
    <n v="4"/>
    <n v="276"/>
    <n v="0"/>
  </r>
  <r>
    <s v="0950"/>
    <x v="124"/>
    <n v="20"/>
    <s v="Company T"/>
    <x v="6"/>
    <s v="Jeff"/>
    <x v="0"/>
    <x v="4"/>
    <n v="69"/>
    <n v="8"/>
    <n v="552"/>
    <n v="0"/>
  </r>
  <r>
    <s v="0959"/>
    <x v="126"/>
    <n v="2"/>
    <s v="Company B"/>
    <x v="2"/>
    <s v="Jeff"/>
    <x v="2"/>
    <x v="4"/>
    <n v="69"/>
    <n v="6"/>
    <n v="414"/>
    <n v="0"/>
  </r>
  <r>
    <s v="0960"/>
    <x v="126"/>
    <n v="9"/>
    <s v="Company I"/>
    <x v="7"/>
    <s v="Philip"/>
    <x v="1"/>
    <x v="4"/>
    <n v="69"/>
    <n v="6"/>
    <n v="414"/>
    <n v="0"/>
  </r>
  <r>
    <s v="0961"/>
    <x v="126"/>
    <n v="18"/>
    <s v="Company R"/>
    <x v="0"/>
    <s v="Jeff"/>
    <x v="0"/>
    <x v="4"/>
    <n v="69"/>
    <n v="3"/>
    <n v="207"/>
    <n v="0"/>
  </r>
  <r>
    <s v="0962"/>
    <x v="126"/>
    <n v="9"/>
    <s v="Company I"/>
    <x v="7"/>
    <s v="Philip"/>
    <x v="1"/>
    <x v="4"/>
    <n v="69"/>
    <n v="2"/>
    <n v="138"/>
    <n v="0"/>
  </r>
  <r>
    <s v="0968"/>
    <x v="127"/>
    <n v="19"/>
    <s v="Company S"/>
    <x v="6"/>
    <s v="Jeff"/>
    <x v="0"/>
    <x v="4"/>
    <n v="69"/>
    <n v="3"/>
    <n v="207"/>
    <n v="0"/>
  </r>
  <r>
    <s v="0974"/>
    <x v="562"/>
    <n v="1"/>
    <s v="Company A"/>
    <x v="2"/>
    <s v="Jeff"/>
    <x v="2"/>
    <x v="4"/>
    <n v="69"/>
    <n v="7"/>
    <n v="483"/>
    <n v="0"/>
  </r>
  <r>
    <s v="0976"/>
    <x v="562"/>
    <n v="2"/>
    <s v="Company B"/>
    <x v="4"/>
    <s v="Sara"/>
    <x v="2"/>
    <x v="4"/>
    <n v="69"/>
    <n v="1"/>
    <n v="69"/>
    <n v="0"/>
  </r>
  <r>
    <s v="0979"/>
    <x v="130"/>
    <n v="16"/>
    <s v="Company P"/>
    <x v="6"/>
    <s v="Jeff"/>
    <x v="0"/>
    <x v="4"/>
    <n v="69"/>
    <n v="9"/>
    <n v="621"/>
    <n v="0"/>
  </r>
  <r>
    <s v="0984"/>
    <x v="131"/>
    <n v="12"/>
    <s v="Company L"/>
    <x v="3"/>
    <s v="Sara"/>
    <x v="3"/>
    <x v="4"/>
    <n v="69"/>
    <n v="0"/>
    <n v="0"/>
    <n v="0"/>
  </r>
  <r>
    <s v="0995"/>
    <x v="483"/>
    <n v="10"/>
    <s v="Company J"/>
    <x v="7"/>
    <s v="Philip"/>
    <x v="1"/>
    <x v="4"/>
    <n v="69"/>
    <n v="1"/>
    <n v="69"/>
    <n v="0"/>
  </r>
  <r>
    <s v="1013"/>
    <x v="361"/>
    <n v="9"/>
    <s v="Company I"/>
    <x v="1"/>
    <s v="Steve"/>
    <x v="1"/>
    <x v="4"/>
    <n v="69"/>
    <n v="8"/>
    <n v="552"/>
    <n v="0"/>
  </r>
  <r>
    <s v="1020"/>
    <x v="137"/>
    <n v="20"/>
    <s v="Company T"/>
    <x v="0"/>
    <s v="Jeff"/>
    <x v="0"/>
    <x v="4"/>
    <n v="69"/>
    <n v="9"/>
    <n v="621"/>
    <n v="0"/>
  </r>
  <r>
    <s v="1024"/>
    <x v="138"/>
    <n v="15"/>
    <s v="Company O"/>
    <x v="5"/>
    <s v="Steve"/>
    <x v="3"/>
    <x v="4"/>
    <n v="69"/>
    <n v="7"/>
    <n v="483"/>
    <n v="0"/>
  </r>
  <r>
    <s v="1027"/>
    <x v="138"/>
    <n v="3"/>
    <s v="Company C"/>
    <x v="4"/>
    <s v="Sara"/>
    <x v="2"/>
    <x v="4"/>
    <n v="69"/>
    <n v="5"/>
    <n v="345"/>
    <n v="0"/>
  </r>
  <r>
    <s v="1033"/>
    <x v="139"/>
    <n v="15"/>
    <s v="Company O"/>
    <x v="3"/>
    <s v="Sara"/>
    <x v="3"/>
    <x v="4"/>
    <n v="69"/>
    <n v="7"/>
    <n v="483"/>
    <n v="0"/>
  </r>
  <r>
    <s v="1043"/>
    <x v="140"/>
    <n v="3"/>
    <s v="Company C"/>
    <x v="4"/>
    <s v="Sara"/>
    <x v="2"/>
    <x v="4"/>
    <n v="69"/>
    <n v="4"/>
    <n v="276"/>
    <n v="0"/>
  </r>
  <r>
    <s v="1051"/>
    <x v="142"/>
    <n v="1"/>
    <s v="Company A"/>
    <x v="4"/>
    <s v="Sara"/>
    <x v="2"/>
    <x v="4"/>
    <n v="69"/>
    <n v="9"/>
    <n v="621"/>
    <n v="0"/>
  </r>
  <r>
    <s v="1052"/>
    <x v="363"/>
    <n v="10"/>
    <s v="Company J"/>
    <x v="7"/>
    <s v="Philip"/>
    <x v="1"/>
    <x v="4"/>
    <n v="69"/>
    <n v="7"/>
    <n v="483"/>
    <n v="0"/>
  </r>
  <r>
    <s v="1053"/>
    <x v="363"/>
    <n v="15"/>
    <s v="Company O"/>
    <x v="5"/>
    <s v="Steve"/>
    <x v="3"/>
    <x v="4"/>
    <n v="69"/>
    <n v="1"/>
    <n v="69"/>
    <n v="0"/>
  </r>
  <r>
    <s v="1066"/>
    <x v="146"/>
    <n v="2"/>
    <s v="Company B"/>
    <x v="2"/>
    <s v="Jeff"/>
    <x v="2"/>
    <x v="4"/>
    <n v="69"/>
    <n v="7"/>
    <n v="483"/>
    <n v="0"/>
  </r>
  <r>
    <s v="1072"/>
    <x v="365"/>
    <n v="4"/>
    <s v="Company D"/>
    <x v="2"/>
    <s v="Jeff"/>
    <x v="2"/>
    <x v="4"/>
    <n v="69"/>
    <n v="7"/>
    <n v="483"/>
    <n v="0"/>
  </r>
  <r>
    <s v="1074"/>
    <x v="632"/>
    <n v="10"/>
    <s v="Company J"/>
    <x v="7"/>
    <s v="Philip"/>
    <x v="1"/>
    <x v="4"/>
    <n v="69"/>
    <n v="7"/>
    <n v="483"/>
    <n v="0"/>
  </r>
  <r>
    <s v="1075"/>
    <x v="632"/>
    <n v="4"/>
    <s v="Company D"/>
    <x v="2"/>
    <s v="Jeff"/>
    <x v="2"/>
    <x v="4"/>
    <n v="69"/>
    <n v="5"/>
    <n v="345"/>
    <n v="0"/>
  </r>
  <r>
    <s v="1079"/>
    <x v="368"/>
    <n v="10"/>
    <s v="Company J"/>
    <x v="7"/>
    <s v="Philip"/>
    <x v="1"/>
    <x v="4"/>
    <n v="69"/>
    <n v="6"/>
    <n v="414"/>
    <n v="0"/>
  </r>
  <r>
    <s v="1086"/>
    <x v="148"/>
    <n v="11"/>
    <s v="Company K"/>
    <x v="5"/>
    <s v="Steve"/>
    <x v="3"/>
    <x v="4"/>
    <n v="69"/>
    <n v="1"/>
    <n v="69"/>
    <n v="0"/>
  </r>
  <r>
    <s v="1087"/>
    <x v="148"/>
    <n v="3"/>
    <s v="Company C"/>
    <x v="2"/>
    <s v="Jeff"/>
    <x v="2"/>
    <x v="4"/>
    <n v="69"/>
    <n v="5"/>
    <n v="345"/>
    <n v="0"/>
  </r>
  <r>
    <s v="1094"/>
    <x v="372"/>
    <n v="5"/>
    <s v="Company E"/>
    <x v="4"/>
    <s v="Sara"/>
    <x v="2"/>
    <x v="4"/>
    <n v="69"/>
    <n v="1"/>
    <n v="69"/>
    <n v="0"/>
  </r>
  <r>
    <s v="1097"/>
    <x v="149"/>
    <n v="1"/>
    <s v="Company A"/>
    <x v="2"/>
    <s v="Jeff"/>
    <x v="2"/>
    <x v="4"/>
    <n v="69"/>
    <n v="6"/>
    <n v="414"/>
    <n v="0"/>
  </r>
  <r>
    <s v="1099"/>
    <x v="150"/>
    <n v="3"/>
    <s v="Company C"/>
    <x v="2"/>
    <s v="Jeff"/>
    <x v="2"/>
    <x v="4"/>
    <n v="69"/>
    <n v="2"/>
    <n v="138"/>
    <n v="0"/>
  </r>
  <r>
    <s v="1101"/>
    <x v="150"/>
    <n v="8"/>
    <s v="Company H"/>
    <x v="7"/>
    <s v="Philip"/>
    <x v="1"/>
    <x v="4"/>
    <n v="69"/>
    <n v="9"/>
    <n v="621"/>
    <n v="0"/>
  </r>
  <r>
    <s v="1112"/>
    <x v="151"/>
    <n v="10"/>
    <s v="Company J"/>
    <x v="7"/>
    <s v="Philip"/>
    <x v="1"/>
    <x v="4"/>
    <n v="69"/>
    <n v="6"/>
    <n v="414"/>
    <n v="0"/>
  </r>
  <r>
    <s v="1113"/>
    <x v="151"/>
    <n v="19"/>
    <s v="Company S"/>
    <x v="6"/>
    <s v="Jeff"/>
    <x v="0"/>
    <x v="4"/>
    <n v="69"/>
    <n v="7"/>
    <n v="483"/>
    <n v="0"/>
  </r>
  <r>
    <s v="1114"/>
    <x v="151"/>
    <n v="13"/>
    <s v="Company M"/>
    <x v="3"/>
    <s v="Sara"/>
    <x v="3"/>
    <x v="4"/>
    <n v="69"/>
    <n v="8"/>
    <n v="552"/>
    <n v="0"/>
  </r>
  <r>
    <s v="1125"/>
    <x v="373"/>
    <n v="19"/>
    <s v="Company S"/>
    <x v="6"/>
    <s v="Jeff"/>
    <x v="0"/>
    <x v="4"/>
    <n v="69"/>
    <n v="5"/>
    <n v="345"/>
    <n v="0"/>
  </r>
  <r>
    <s v="1131"/>
    <x v="374"/>
    <n v="4"/>
    <s v="Company D"/>
    <x v="4"/>
    <s v="Sara"/>
    <x v="2"/>
    <x v="4"/>
    <n v="69"/>
    <n v="7"/>
    <n v="483"/>
    <n v="0"/>
  </r>
  <r>
    <s v="1133"/>
    <x v="374"/>
    <n v="8"/>
    <s v="Company H"/>
    <x v="1"/>
    <s v="Steve"/>
    <x v="1"/>
    <x v="4"/>
    <n v="69"/>
    <n v="2"/>
    <n v="138"/>
    <n v="0"/>
  </r>
  <r>
    <s v="1143"/>
    <x v="633"/>
    <n v="17"/>
    <s v="Company Q"/>
    <x v="6"/>
    <s v="Jeff"/>
    <x v="0"/>
    <x v="4"/>
    <n v="69"/>
    <n v="6"/>
    <n v="414"/>
    <n v="0"/>
  </r>
  <r>
    <s v="1152"/>
    <x v="376"/>
    <n v="1"/>
    <s v="Company A"/>
    <x v="4"/>
    <s v="Sara"/>
    <x v="2"/>
    <x v="4"/>
    <n v="69"/>
    <n v="7"/>
    <n v="483"/>
    <n v="0"/>
  </r>
  <r>
    <s v="1154"/>
    <x v="377"/>
    <n v="4"/>
    <s v="Company D"/>
    <x v="4"/>
    <s v="Sara"/>
    <x v="2"/>
    <x v="4"/>
    <n v="69"/>
    <n v="1"/>
    <n v="69"/>
    <n v="0"/>
  </r>
  <r>
    <s v="1155"/>
    <x v="377"/>
    <n v="12"/>
    <s v="Company L"/>
    <x v="3"/>
    <s v="Sara"/>
    <x v="3"/>
    <x v="4"/>
    <n v="69"/>
    <n v="5"/>
    <n v="345"/>
    <n v="0"/>
  </r>
  <r>
    <s v="1157"/>
    <x v="377"/>
    <n v="17"/>
    <s v="Company Q"/>
    <x v="6"/>
    <s v="Jeff"/>
    <x v="0"/>
    <x v="4"/>
    <n v="69"/>
    <n v="6"/>
    <n v="414"/>
    <n v="0"/>
  </r>
  <r>
    <s v="1164"/>
    <x v="379"/>
    <n v="7"/>
    <s v="Company G"/>
    <x v="7"/>
    <s v="Philip"/>
    <x v="1"/>
    <x v="4"/>
    <n v="69"/>
    <n v="6"/>
    <n v="414"/>
    <n v="0"/>
  </r>
  <r>
    <s v="1167"/>
    <x v="568"/>
    <n v="13"/>
    <s v="Company M"/>
    <x v="5"/>
    <s v="Steve"/>
    <x v="3"/>
    <x v="4"/>
    <n v="69"/>
    <n v="9"/>
    <n v="621"/>
    <n v="0"/>
  </r>
  <r>
    <s v="1169"/>
    <x v="568"/>
    <n v="13"/>
    <s v="Company M"/>
    <x v="5"/>
    <s v="Steve"/>
    <x v="3"/>
    <x v="4"/>
    <n v="69"/>
    <n v="6"/>
    <n v="414"/>
    <n v="0"/>
  </r>
  <r>
    <s v="1175"/>
    <x v="158"/>
    <n v="16"/>
    <s v="Company P"/>
    <x v="0"/>
    <s v="Jeff"/>
    <x v="0"/>
    <x v="4"/>
    <n v="69"/>
    <n v="1"/>
    <n v="69"/>
    <n v="0"/>
  </r>
  <r>
    <s v="1176"/>
    <x v="158"/>
    <n v="8"/>
    <s v="Company H"/>
    <x v="7"/>
    <s v="Philip"/>
    <x v="1"/>
    <x v="4"/>
    <n v="69"/>
    <n v="1"/>
    <n v="69"/>
    <n v="0"/>
  </r>
  <r>
    <s v="1180"/>
    <x v="158"/>
    <n v="14"/>
    <s v="Company N"/>
    <x v="3"/>
    <s v="Sara"/>
    <x v="3"/>
    <x v="4"/>
    <n v="69"/>
    <n v="8"/>
    <n v="552"/>
    <n v="0"/>
  </r>
  <r>
    <s v="1189"/>
    <x v="159"/>
    <n v="12"/>
    <s v="Company L"/>
    <x v="3"/>
    <s v="Sara"/>
    <x v="3"/>
    <x v="4"/>
    <n v="69"/>
    <n v="4"/>
    <n v="276"/>
    <n v="0"/>
  </r>
  <r>
    <s v="1193"/>
    <x v="160"/>
    <n v="3"/>
    <s v="Company C"/>
    <x v="4"/>
    <s v="Sara"/>
    <x v="2"/>
    <x v="4"/>
    <n v="69"/>
    <n v="0"/>
    <n v="0"/>
    <n v="0"/>
  </r>
  <r>
    <s v="1198"/>
    <x v="493"/>
    <n v="16"/>
    <s v="Company P"/>
    <x v="0"/>
    <s v="Jeff"/>
    <x v="0"/>
    <x v="4"/>
    <n v="69"/>
    <n v="9"/>
    <n v="621"/>
    <n v="0"/>
  </r>
  <r>
    <s v="1199"/>
    <x v="493"/>
    <n v="16"/>
    <s v="Company P"/>
    <x v="0"/>
    <s v="Jeff"/>
    <x v="0"/>
    <x v="4"/>
    <n v="69"/>
    <n v="5"/>
    <n v="345"/>
    <n v="0"/>
  </r>
  <r>
    <s v="1200"/>
    <x v="493"/>
    <n v="16"/>
    <s v="Company P"/>
    <x v="6"/>
    <s v="Jeff"/>
    <x v="0"/>
    <x v="4"/>
    <n v="69"/>
    <n v="2"/>
    <n v="138"/>
    <n v="0"/>
  </r>
  <r>
    <s v="1201"/>
    <x v="161"/>
    <n v="16"/>
    <s v="Company P"/>
    <x v="6"/>
    <s v="Jeff"/>
    <x v="0"/>
    <x v="4"/>
    <n v="69"/>
    <n v="1"/>
    <n v="69"/>
    <n v="0"/>
  </r>
  <r>
    <s v="1204"/>
    <x v="161"/>
    <n v="5"/>
    <s v="Company E"/>
    <x v="2"/>
    <s v="Jeff"/>
    <x v="2"/>
    <x v="4"/>
    <n v="69"/>
    <n v="3"/>
    <n v="207"/>
    <n v="0"/>
  </r>
  <r>
    <s v="1206"/>
    <x v="161"/>
    <n v="17"/>
    <s v="Company Q"/>
    <x v="6"/>
    <s v="Jeff"/>
    <x v="0"/>
    <x v="4"/>
    <n v="69"/>
    <n v="6"/>
    <n v="414"/>
    <n v="0"/>
  </r>
  <r>
    <s v="1213"/>
    <x v="571"/>
    <n v="16"/>
    <s v="Company P"/>
    <x v="6"/>
    <s v="Jeff"/>
    <x v="0"/>
    <x v="4"/>
    <n v="69"/>
    <n v="2"/>
    <n v="138"/>
    <n v="0"/>
  </r>
  <r>
    <s v="1215"/>
    <x v="381"/>
    <n v="4"/>
    <s v="Company D"/>
    <x v="2"/>
    <s v="Jeff"/>
    <x v="2"/>
    <x v="4"/>
    <n v="69"/>
    <n v="6"/>
    <n v="414"/>
    <n v="0"/>
  </r>
  <r>
    <s v="1218"/>
    <x v="382"/>
    <n v="12"/>
    <s v="Company L"/>
    <x v="3"/>
    <s v="Sara"/>
    <x v="3"/>
    <x v="4"/>
    <n v="69"/>
    <n v="7"/>
    <n v="483"/>
    <n v="0"/>
  </r>
  <r>
    <s v="1231"/>
    <x v="165"/>
    <n v="2"/>
    <s v="Company B"/>
    <x v="4"/>
    <s v="Sara"/>
    <x v="2"/>
    <x v="4"/>
    <n v="69"/>
    <n v="3"/>
    <n v="207"/>
    <n v="0"/>
  </r>
  <r>
    <s v="1233"/>
    <x v="165"/>
    <n v="5"/>
    <s v="Company E"/>
    <x v="2"/>
    <s v="Jeff"/>
    <x v="2"/>
    <x v="4"/>
    <n v="69"/>
    <n v="2"/>
    <n v="138"/>
    <n v="0"/>
  </r>
  <r>
    <s v="1241"/>
    <x v="494"/>
    <n v="6"/>
    <s v="Company F"/>
    <x v="1"/>
    <s v="Steve"/>
    <x v="1"/>
    <x v="4"/>
    <n v="69"/>
    <n v="5"/>
    <n v="345"/>
    <n v="0"/>
  </r>
  <r>
    <s v="1248"/>
    <x v="167"/>
    <n v="11"/>
    <s v="Company K"/>
    <x v="3"/>
    <s v="Sara"/>
    <x v="3"/>
    <x v="4"/>
    <n v="69"/>
    <n v="4"/>
    <n v="276"/>
    <n v="0"/>
  </r>
  <r>
    <s v="1250"/>
    <x v="167"/>
    <n v="3"/>
    <s v="Company C"/>
    <x v="2"/>
    <s v="Jeff"/>
    <x v="2"/>
    <x v="4"/>
    <n v="69"/>
    <n v="6"/>
    <n v="414"/>
    <n v="0"/>
  </r>
  <r>
    <s v="1258"/>
    <x v="575"/>
    <n v="11"/>
    <s v="Company K"/>
    <x v="3"/>
    <s v="Sara"/>
    <x v="3"/>
    <x v="4"/>
    <n v="69"/>
    <n v="6"/>
    <n v="414"/>
    <n v="0"/>
  </r>
  <r>
    <s v="1268"/>
    <x v="172"/>
    <n v="2"/>
    <s v="Company B"/>
    <x v="2"/>
    <s v="Jeff"/>
    <x v="2"/>
    <x v="4"/>
    <n v="69"/>
    <n v="9"/>
    <n v="621"/>
    <n v="0"/>
  </r>
  <r>
    <s v="1279"/>
    <x v="174"/>
    <n v="17"/>
    <s v="Company Q"/>
    <x v="6"/>
    <s v="Jeff"/>
    <x v="0"/>
    <x v="4"/>
    <n v="69"/>
    <n v="4"/>
    <n v="276"/>
    <n v="0"/>
  </r>
  <r>
    <s v="1282"/>
    <x v="174"/>
    <n v="6"/>
    <s v="Company F"/>
    <x v="7"/>
    <s v="Philip"/>
    <x v="1"/>
    <x v="4"/>
    <n v="69"/>
    <n v="8"/>
    <n v="552"/>
    <n v="0"/>
  </r>
  <r>
    <s v="1285"/>
    <x v="174"/>
    <n v="2"/>
    <s v="Company B"/>
    <x v="4"/>
    <s v="Sara"/>
    <x v="2"/>
    <x v="4"/>
    <n v="69"/>
    <n v="8"/>
    <n v="552"/>
    <n v="0"/>
  </r>
  <r>
    <s v="1306"/>
    <x v="177"/>
    <n v="7"/>
    <s v="Company G"/>
    <x v="7"/>
    <s v="Philip"/>
    <x v="1"/>
    <x v="4"/>
    <n v="69"/>
    <n v="5"/>
    <n v="345"/>
    <n v="0"/>
  </r>
  <r>
    <s v="1311"/>
    <x v="634"/>
    <n v="4"/>
    <s v="Company D"/>
    <x v="4"/>
    <s v="Sara"/>
    <x v="2"/>
    <x v="4"/>
    <n v="69"/>
    <n v="4"/>
    <n v="276"/>
    <n v="0"/>
  </r>
  <r>
    <s v="1315"/>
    <x v="179"/>
    <n v="12"/>
    <s v="Company L"/>
    <x v="5"/>
    <s v="Steve"/>
    <x v="3"/>
    <x v="4"/>
    <n v="69"/>
    <n v="8"/>
    <n v="552"/>
    <n v="0"/>
  </r>
  <r>
    <s v="1316"/>
    <x v="179"/>
    <n v="1"/>
    <s v="Company A"/>
    <x v="2"/>
    <s v="Jeff"/>
    <x v="2"/>
    <x v="4"/>
    <n v="69"/>
    <n v="9"/>
    <n v="621"/>
    <n v="0"/>
  </r>
  <r>
    <s v="1320"/>
    <x v="498"/>
    <n v="8"/>
    <s v="Company H"/>
    <x v="7"/>
    <s v="Philip"/>
    <x v="1"/>
    <x v="4"/>
    <n v="69"/>
    <n v="4"/>
    <n v="276"/>
    <n v="0"/>
  </r>
  <r>
    <s v="1321"/>
    <x v="180"/>
    <n v="10"/>
    <s v="Company J"/>
    <x v="7"/>
    <s v="Philip"/>
    <x v="1"/>
    <x v="4"/>
    <n v="69"/>
    <n v="9"/>
    <n v="621"/>
    <n v="0"/>
  </r>
  <r>
    <s v="1335"/>
    <x v="576"/>
    <n v="18"/>
    <s v="Company R"/>
    <x v="6"/>
    <s v="Jeff"/>
    <x v="0"/>
    <x v="4"/>
    <n v="69"/>
    <n v="2"/>
    <n v="138"/>
    <n v="0"/>
  </r>
  <r>
    <s v="1339"/>
    <x v="184"/>
    <n v="19"/>
    <s v="Company S"/>
    <x v="6"/>
    <s v="Jeff"/>
    <x v="0"/>
    <x v="4"/>
    <n v="69"/>
    <n v="7"/>
    <n v="483"/>
    <n v="0"/>
  </r>
  <r>
    <s v="1342"/>
    <x v="184"/>
    <n v="17"/>
    <s v="Company Q"/>
    <x v="0"/>
    <s v="Jeff"/>
    <x v="0"/>
    <x v="4"/>
    <n v="69"/>
    <n v="0"/>
    <n v="0"/>
    <n v="0"/>
  </r>
  <r>
    <s v="1346"/>
    <x v="635"/>
    <n v="11"/>
    <s v="Company K"/>
    <x v="3"/>
    <s v="Sara"/>
    <x v="3"/>
    <x v="4"/>
    <n v="69"/>
    <n v="7"/>
    <n v="483"/>
    <n v="0"/>
  </r>
  <r>
    <s v="1353"/>
    <x v="185"/>
    <n v="6"/>
    <s v="Company F"/>
    <x v="1"/>
    <s v="Steve"/>
    <x v="1"/>
    <x v="4"/>
    <n v="69"/>
    <n v="5"/>
    <n v="345"/>
    <n v="0"/>
  </r>
  <r>
    <s v="1356"/>
    <x v="186"/>
    <n v="7"/>
    <s v="Company G"/>
    <x v="7"/>
    <s v="Philip"/>
    <x v="1"/>
    <x v="4"/>
    <n v="69"/>
    <n v="1"/>
    <n v="69"/>
    <n v="0"/>
  </r>
  <r>
    <s v="1358"/>
    <x v="186"/>
    <n v="13"/>
    <s v="Company M"/>
    <x v="5"/>
    <s v="Steve"/>
    <x v="3"/>
    <x v="4"/>
    <n v="69"/>
    <n v="2"/>
    <n v="138"/>
    <n v="0"/>
  </r>
  <r>
    <s v="1363"/>
    <x v="186"/>
    <n v="2"/>
    <s v="Company B"/>
    <x v="2"/>
    <s v="Jeff"/>
    <x v="2"/>
    <x v="4"/>
    <n v="69"/>
    <n v="4"/>
    <n v="276"/>
    <n v="0"/>
  </r>
  <r>
    <s v="1374"/>
    <x v="636"/>
    <n v="13"/>
    <s v="Company M"/>
    <x v="5"/>
    <s v="Steve"/>
    <x v="3"/>
    <x v="4"/>
    <n v="69"/>
    <n v="9"/>
    <n v="621"/>
    <n v="0"/>
  </r>
  <r>
    <s v="1382"/>
    <x v="190"/>
    <n v="5"/>
    <s v="Company E"/>
    <x v="4"/>
    <s v="Sara"/>
    <x v="2"/>
    <x v="4"/>
    <n v="69"/>
    <n v="1"/>
    <n v="69"/>
    <n v="0"/>
  </r>
  <r>
    <s v="1389"/>
    <x v="190"/>
    <n v="1"/>
    <s v="Company A"/>
    <x v="2"/>
    <s v="Jeff"/>
    <x v="2"/>
    <x v="4"/>
    <n v="69"/>
    <n v="9"/>
    <n v="621"/>
    <n v="0"/>
  </r>
  <r>
    <s v="1393"/>
    <x v="394"/>
    <n v="18"/>
    <s v="Company R"/>
    <x v="0"/>
    <s v="Jeff"/>
    <x v="0"/>
    <x v="4"/>
    <n v="69"/>
    <n v="3"/>
    <n v="207"/>
    <n v="0"/>
  </r>
  <r>
    <s v="1402"/>
    <x v="192"/>
    <n v="8"/>
    <s v="Company H"/>
    <x v="1"/>
    <s v="Steve"/>
    <x v="1"/>
    <x v="4"/>
    <n v="69"/>
    <n v="8"/>
    <n v="552"/>
    <n v="0"/>
  </r>
  <r>
    <s v="1433"/>
    <x v="397"/>
    <n v="5"/>
    <s v="Company E"/>
    <x v="4"/>
    <s v="Sara"/>
    <x v="2"/>
    <x v="4"/>
    <n v="69"/>
    <n v="5"/>
    <n v="345"/>
    <n v="0"/>
  </r>
  <r>
    <s v="1436"/>
    <x v="397"/>
    <n v="20"/>
    <s v="Company T"/>
    <x v="6"/>
    <s v="Jeff"/>
    <x v="0"/>
    <x v="4"/>
    <n v="69"/>
    <n v="9"/>
    <n v="621"/>
    <n v="0"/>
  </r>
  <r>
    <s v="1438"/>
    <x v="398"/>
    <n v="4"/>
    <s v="Company D"/>
    <x v="4"/>
    <s v="Sara"/>
    <x v="2"/>
    <x v="4"/>
    <n v="69"/>
    <n v="7"/>
    <n v="483"/>
    <n v="0"/>
  </r>
  <r>
    <s v="1442"/>
    <x v="398"/>
    <n v="15"/>
    <s v="Company O"/>
    <x v="3"/>
    <s v="Sara"/>
    <x v="3"/>
    <x v="4"/>
    <n v="69"/>
    <n v="1"/>
    <n v="69"/>
    <n v="0"/>
  </r>
  <r>
    <s v="1447"/>
    <x v="200"/>
    <n v="7"/>
    <s v="Company G"/>
    <x v="7"/>
    <s v="Philip"/>
    <x v="1"/>
    <x v="4"/>
    <n v="69"/>
    <n v="6"/>
    <n v="414"/>
    <n v="0"/>
  </r>
  <r>
    <s v="1453"/>
    <x v="201"/>
    <n v="9"/>
    <s v="Company I"/>
    <x v="7"/>
    <s v="Philip"/>
    <x v="1"/>
    <x v="4"/>
    <n v="69"/>
    <n v="6"/>
    <n v="414"/>
    <n v="0"/>
  </r>
  <r>
    <s v="1457"/>
    <x v="201"/>
    <n v="17"/>
    <s v="Company Q"/>
    <x v="0"/>
    <s v="Jeff"/>
    <x v="0"/>
    <x v="4"/>
    <n v="69"/>
    <n v="5"/>
    <n v="345"/>
    <n v="0"/>
  </r>
  <r>
    <s v="1458"/>
    <x v="503"/>
    <n v="15"/>
    <s v="Company O"/>
    <x v="3"/>
    <s v="Sara"/>
    <x v="3"/>
    <x v="4"/>
    <n v="69"/>
    <n v="0"/>
    <n v="0"/>
    <n v="0"/>
  </r>
  <r>
    <s v="1469"/>
    <x v="637"/>
    <n v="12"/>
    <s v="Company L"/>
    <x v="5"/>
    <s v="Steve"/>
    <x v="3"/>
    <x v="4"/>
    <n v="69"/>
    <n v="2"/>
    <n v="138"/>
    <n v="0"/>
  </r>
  <r>
    <s v="1470"/>
    <x v="638"/>
    <n v="1"/>
    <s v="Company A"/>
    <x v="2"/>
    <s v="Jeff"/>
    <x v="2"/>
    <x v="4"/>
    <n v="69"/>
    <n v="0"/>
    <n v="0"/>
    <n v="0"/>
  </r>
  <r>
    <s v="1472"/>
    <x v="205"/>
    <n v="19"/>
    <s v="Company S"/>
    <x v="0"/>
    <s v="Jeff"/>
    <x v="0"/>
    <x v="4"/>
    <n v="69"/>
    <n v="0"/>
    <n v="0"/>
    <n v="0"/>
  </r>
  <r>
    <s v="1482"/>
    <x v="207"/>
    <n v="4"/>
    <s v="Company D"/>
    <x v="2"/>
    <s v="Jeff"/>
    <x v="2"/>
    <x v="4"/>
    <n v="69"/>
    <n v="0"/>
    <n v="0"/>
    <n v="0"/>
  </r>
  <r>
    <s v="1484"/>
    <x v="401"/>
    <n v="18"/>
    <s v="Company R"/>
    <x v="0"/>
    <s v="Jeff"/>
    <x v="0"/>
    <x v="4"/>
    <n v="69"/>
    <n v="2"/>
    <n v="138"/>
    <n v="0"/>
  </r>
  <r>
    <s v="1486"/>
    <x v="581"/>
    <n v="1"/>
    <s v="Company A"/>
    <x v="4"/>
    <s v="Sara"/>
    <x v="2"/>
    <x v="4"/>
    <n v="69"/>
    <n v="5"/>
    <n v="345"/>
    <n v="0"/>
  </r>
  <r>
    <s v="1489"/>
    <x v="208"/>
    <n v="6"/>
    <s v="Company F"/>
    <x v="1"/>
    <s v="Steve"/>
    <x v="1"/>
    <x v="4"/>
    <n v="69"/>
    <n v="4"/>
    <n v="276"/>
    <n v="0"/>
  </r>
  <r>
    <s v="1501"/>
    <x v="639"/>
    <n v="8"/>
    <s v="Company H"/>
    <x v="7"/>
    <s v="Philip"/>
    <x v="1"/>
    <x v="4"/>
    <n v="69"/>
    <n v="8"/>
    <n v="552"/>
    <n v="0"/>
  </r>
  <r>
    <s v="1506"/>
    <x v="210"/>
    <n v="20"/>
    <s v="Company T"/>
    <x v="6"/>
    <s v="Jeff"/>
    <x v="0"/>
    <x v="4"/>
    <n v="69"/>
    <n v="4"/>
    <n v="276"/>
    <n v="0"/>
  </r>
  <r>
    <s v="1510"/>
    <x v="406"/>
    <n v="1"/>
    <s v="Company A"/>
    <x v="2"/>
    <s v="Jeff"/>
    <x v="2"/>
    <x v="4"/>
    <n v="69"/>
    <n v="9"/>
    <n v="621"/>
    <n v="0"/>
  </r>
  <r>
    <s v="1517"/>
    <x v="211"/>
    <n v="17"/>
    <s v="Company Q"/>
    <x v="0"/>
    <s v="Jeff"/>
    <x v="0"/>
    <x v="4"/>
    <n v="69"/>
    <n v="5"/>
    <n v="345"/>
    <n v="0"/>
  </r>
  <r>
    <s v="1518"/>
    <x v="211"/>
    <n v="3"/>
    <s v="Company C"/>
    <x v="2"/>
    <s v="Jeff"/>
    <x v="2"/>
    <x v="4"/>
    <n v="69"/>
    <n v="8"/>
    <n v="552"/>
    <n v="0"/>
  </r>
  <r>
    <s v="1519"/>
    <x v="640"/>
    <n v="14"/>
    <s v="Company N"/>
    <x v="5"/>
    <s v="Steve"/>
    <x v="3"/>
    <x v="4"/>
    <n v="69"/>
    <n v="9"/>
    <n v="621"/>
    <n v="0"/>
  </r>
  <r>
    <s v="1522"/>
    <x v="641"/>
    <n v="15"/>
    <s v="Company O"/>
    <x v="5"/>
    <s v="Steve"/>
    <x v="3"/>
    <x v="4"/>
    <n v="69"/>
    <n v="9"/>
    <n v="621"/>
    <n v="0"/>
  </r>
  <r>
    <s v="1525"/>
    <x v="213"/>
    <n v="3"/>
    <s v="Company C"/>
    <x v="4"/>
    <s v="Sara"/>
    <x v="2"/>
    <x v="4"/>
    <n v="69"/>
    <n v="6"/>
    <n v="414"/>
    <n v="0"/>
  </r>
  <r>
    <s v="1533"/>
    <x v="407"/>
    <n v="18"/>
    <s v="Company R"/>
    <x v="0"/>
    <s v="Jeff"/>
    <x v="0"/>
    <x v="4"/>
    <n v="69"/>
    <n v="4"/>
    <n v="276"/>
    <n v="0"/>
  </r>
  <r>
    <s v="1534"/>
    <x v="407"/>
    <n v="1"/>
    <s v="Company A"/>
    <x v="2"/>
    <s v="Jeff"/>
    <x v="2"/>
    <x v="4"/>
    <n v="69"/>
    <n v="1"/>
    <n v="69"/>
    <n v="0"/>
  </r>
  <r>
    <s v="1535"/>
    <x v="407"/>
    <n v="7"/>
    <s v="Company G"/>
    <x v="7"/>
    <s v="Philip"/>
    <x v="1"/>
    <x v="4"/>
    <n v="69"/>
    <n v="5"/>
    <n v="345"/>
    <n v="0"/>
  </r>
  <r>
    <s v="1538"/>
    <x v="214"/>
    <n v="3"/>
    <s v="Company C"/>
    <x v="4"/>
    <s v="Sara"/>
    <x v="2"/>
    <x v="4"/>
    <n v="69"/>
    <n v="6"/>
    <n v="414"/>
    <n v="0"/>
  </r>
  <r>
    <s v="1554"/>
    <x v="217"/>
    <n v="13"/>
    <s v="Company M"/>
    <x v="5"/>
    <s v="Steve"/>
    <x v="3"/>
    <x v="4"/>
    <n v="69"/>
    <n v="0"/>
    <n v="0"/>
    <n v="0"/>
  </r>
  <r>
    <s v="1557"/>
    <x v="217"/>
    <n v="1"/>
    <s v="Company A"/>
    <x v="4"/>
    <s v="Sara"/>
    <x v="2"/>
    <x v="4"/>
    <n v="69"/>
    <n v="7"/>
    <n v="483"/>
    <n v="0"/>
  </r>
  <r>
    <s v="1567"/>
    <x v="410"/>
    <n v="17"/>
    <s v="Company Q"/>
    <x v="0"/>
    <s v="Jeff"/>
    <x v="0"/>
    <x v="4"/>
    <n v="69"/>
    <n v="2"/>
    <n v="138"/>
    <n v="0"/>
  </r>
  <r>
    <s v="1569"/>
    <x v="411"/>
    <n v="8"/>
    <s v="Company H"/>
    <x v="1"/>
    <s v="Steve"/>
    <x v="1"/>
    <x v="4"/>
    <n v="69"/>
    <n v="2"/>
    <n v="138"/>
    <n v="0"/>
  </r>
  <r>
    <s v="1570"/>
    <x v="411"/>
    <n v="14"/>
    <s v="Company N"/>
    <x v="3"/>
    <s v="Sara"/>
    <x v="3"/>
    <x v="4"/>
    <n v="69"/>
    <n v="9"/>
    <n v="621"/>
    <n v="0"/>
  </r>
  <r>
    <s v="1578"/>
    <x v="222"/>
    <n v="7"/>
    <s v="Company G"/>
    <x v="1"/>
    <s v="Steve"/>
    <x v="1"/>
    <x v="4"/>
    <n v="69"/>
    <n v="3"/>
    <n v="207"/>
    <n v="0"/>
  </r>
  <r>
    <s v="1581"/>
    <x v="222"/>
    <n v="9"/>
    <s v="Company I"/>
    <x v="7"/>
    <s v="Philip"/>
    <x v="1"/>
    <x v="4"/>
    <n v="69"/>
    <n v="0"/>
    <n v="0"/>
    <n v="0"/>
  </r>
  <r>
    <s v="1589"/>
    <x v="412"/>
    <n v="7"/>
    <s v="Company G"/>
    <x v="1"/>
    <s v="Steve"/>
    <x v="1"/>
    <x v="4"/>
    <n v="69"/>
    <n v="3"/>
    <n v="207"/>
    <n v="0"/>
  </r>
  <r>
    <s v="1591"/>
    <x v="412"/>
    <n v="16"/>
    <s v="Company P"/>
    <x v="0"/>
    <s v="Jeff"/>
    <x v="0"/>
    <x v="4"/>
    <n v="69"/>
    <n v="5"/>
    <n v="345"/>
    <n v="0"/>
  </r>
  <r>
    <s v="1606"/>
    <x v="224"/>
    <n v="16"/>
    <s v="Company P"/>
    <x v="6"/>
    <s v="Jeff"/>
    <x v="0"/>
    <x v="4"/>
    <n v="69"/>
    <n v="1"/>
    <n v="69"/>
    <n v="0"/>
  </r>
  <r>
    <s v="1610"/>
    <x v="642"/>
    <n v="18"/>
    <s v="Company R"/>
    <x v="0"/>
    <s v="Jeff"/>
    <x v="0"/>
    <x v="4"/>
    <n v="69"/>
    <n v="4"/>
    <n v="276"/>
    <n v="0"/>
  </r>
  <r>
    <s v="1615"/>
    <x v="415"/>
    <n v="3"/>
    <s v="Company C"/>
    <x v="4"/>
    <s v="Sara"/>
    <x v="2"/>
    <x v="4"/>
    <n v="69"/>
    <n v="6"/>
    <n v="414"/>
    <n v="0"/>
  </r>
  <r>
    <s v="1616"/>
    <x v="415"/>
    <n v="10"/>
    <s v="Company J"/>
    <x v="1"/>
    <s v="Steve"/>
    <x v="1"/>
    <x v="4"/>
    <n v="69"/>
    <n v="4"/>
    <n v="276"/>
    <n v="0"/>
  </r>
  <r>
    <s v="1618"/>
    <x v="643"/>
    <n v="19"/>
    <s v="Company S"/>
    <x v="0"/>
    <s v="Jeff"/>
    <x v="0"/>
    <x v="4"/>
    <n v="69"/>
    <n v="1"/>
    <n v="69"/>
    <n v="0"/>
  </r>
  <r>
    <s v="1631"/>
    <x v="226"/>
    <n v="17"/>
    <s v="Company Q"/>
    <x v="0"/>
    <s v="Jeff"/>
    <x v="0"/>
    <x v="4"/>
    <n v="69"/>
    <n v="7"/>
    <n v="483"/>
    <n v="0"/>
  </r>
  <r>
    <s v="1636"/>
    <x v="644"/>
    <n v="2"/>
    <s v="Company B"/>
    <x v="4"/>
    <s v="Sara"/>
    <x v="2"/>
    <x v="4"/>
    <n v="69"/>
    <n v="3"/>
    <n v="207"/>
    <n v="0"/>
  </r>
  <r>
    <s v="1640"/>
    <x v="227"/>
    <n v="19"/>
    <s v="Company S"/>
    <x v="6"/>
    <s v="Jeff"/>
    <x v="0"/>
    <x v="4"/>
    <n v="69"/>
    <n v="5"/>
    <n v="345"/>
    <n v="0"/>
  </r>
  <r>
    <s v="1651"/>
    <x v="230"/>
    <n v="20"/>
    <s v="Company T"/>
    <x v="0"/>
    <s v="Jeff"/>
    <x v="0"/>
    <x v="4"/>
    <n v="69"/>
    <n v="0"/>
    <n v="0"/>
    <n v="0"/>
  </r>
  <r>
    <s v="1659"/>
    <x v="232"/>
    <n v="13"/>
    <s v="Company M"/>
    <x v="5"/>
    <s v="Steve"/>
    <x v="3"/>
    <x v="4"/>
    <n v="69"/>
    <n v="4"/>
    <n v="276"/>
    <n v="0"/>
  </r>
  <r>
    <s v="1661"/>
    <x v="233"/>
    <n v="9"/>
    <s v="Company I"/>
    <x v="7"/>
    <s v="Philip"/>
    <x v="1"/>
    <x v="4"/>
    <n v="69"/>
    <n v="5"/>
    <n v="345"/>
    <n v="0"/>
  </r>
  <r>
    <s v="1662"/>
    <x v="233"/>
    <n v="20"/>
    <s v="Company T"/>
    <x v="0"/>
    <s v="Jeff"/>
    <x v="0"/>
    <x v="4"/>
    <n v="69"/>
    <n v="8"/>
    <n v="552"/>
    <n v="0"/>
  </r>
  <r>
    <s v="1669"/>
    <x v="234"/>
    <n v="18"/>
    <s v="Company R"/>
    <x v="0"/>
    <s v="Jeff"/>
    <x v="0"/>
    <x v="4"/>
    <n v="69"/>
    <n v="8"/>
    <n v="552"/>
    <n v="0"/>
  </r>
  <r>
    <s v="1672"/>
    <x v="416"/>
    <n v="4"/>
    <s v="Company D"/>
    <x v="4"/>
    <s v="Sara"/>
    <x v="2"/>
    <x v="4"/>
    <n v="69"/>
    <n v="8"/>
    <n v="552"/>
    <n v="0"/>
  </r>
  <r>
    <s v="1681"/>
    <x v="511"/>
    <n v="6"/>
    <s v="Company F"/>
    <x v="1"/>
    <s v="Steve"/>
    <x v="1"/>
    <x v="4"/>
    <n v="69"/>
    <n v="5"/>
    <n v="345"/>
    <n v="0"/>
  </r>
  <r>
    <s v="1692"/>
    <x v="645"/>
    <n v="9"/>
    <s v="Company I"/>
    <x v="7"/>
    <s v="Philip"/>
    <x v="1"/>
    <x v="4"/>
    <n v="69"/>
    <n v="3"/>
    <n v="207"/>
    <n v="0"/>
  </r>
  <r>
    <s v="1697"/>
    <x v="646"/>
    <n v="14"/>
    <s v="Company N"/>
    <x v="3"/>
    <s v="Sara"/>
    <x v="3"/>
    <x v="4"/>
    <n v="69"/>
    <n v="8"/>
    <n v="552"/>
    <n v="0"/>
  </r>
  <r>
    <s v="1706"/>
    <x v="647"/>
    <n v="7"/>
    <s v="Company G"/>
    <x v="1"/>
    <s v="Steve"/>
    <x v="1"/>
    <x v="4"/>
    <n v="69"/>
    <n v="3"/>
    <n v="207"/>
    <n v="0"/>
  </r>
  <r>
    <s v="1711"/>
    <x v="242"/>
    <n v="13"/>
    <s v="Company M"/>
    <x v="5"/>
    <s v="Steve"/>
    <x v="3"/>
    <x v="4"/>
    <n v="69"/>
    <n v="2"/>
    <n v="138"/>
    <n v="0"/>
  </r>
  <r>
    <s v="1715"/>
    <x v="244"/>
    <n v="5"/>
    <s v="Company E"/>
    <x v="4"/>
    <s v="Sara"/>
    <x v="2"/>
    <x v="4"/>
    <n v="69"/>
    <n v="3"/>
    <n v="207"/>
    <n v="0"/>
  </r>
  <r>
    <s v="1717"/>
    <x v="244"/>
    <n v="11"/>
    <s v="Company K"/>
    <x v="3"/>
    <s v="Sara"/>
    <x v="3"/>
    <x v="4"/>
    <n v="69"/>
    <n v="1"/>
    <n v="69"/>
    <n v="0"/>
  </r>
  <r>
    <s v="1737"/>
    <x v="249"/>
    <n v="1"/>
    <s v="Company A"/>
    <x v="4"/>
    <s v="Sara"/>
    <x v="2"/>
    <x v="4"/>
    <n v="69"/>
    <n v="3"/>
    <n v="207"/>
    <n v="0"/>
  </r>
  <r>
    <s v="1739"/>
    <x v="419"/>
    <n v="3"/>
    <s v="Company C"/>
    <x v="4"/>
    <s v="Sara"/>
    <x v="2"/>
    <x v="4"/>
    <n v="69"/>
    <n v="3"/>
    <n v="207"/>
    <n v="0"/>
  </r>
  <r>
    <s v="1743"/>
    <x v="420"/>
    <n v="19"/>
    <s v="Company S"/>
    <x v="0"/>
    <s v="Jeff"/>
    <x v="0"/>
    <x v="4"/>
    <n v="69"/>
    <n v="2"/>
    <n v="138"/>
    <n v="0"/>
  </r>
  <r>
    <s v="1744"/>
    <x v="420"/>
    <n v="9"/>
    <s v="Company I"/>
    <x v="7"/>
    <s v="Philip"/>
    <x v="1"/>
    <x v="4"/>
    <n v="69"/>
    <n v="4"/>
    <n v="276"/>
    <n v="0"/>
  </r>
  <r>
    <s v="1746"/>
    <x v="515"/>
    <n v="9"/>
    <s v="Company I"/>
    <x v="1"/>
    <s v="Steve"/>
    <x v="1"/>
    <x v="4"/>
    <n v="69"/>
    <n v="4"/>
    <n v="276"/>
    <n v="0"/>
  </r>
  <r>
    <s v="1748"/>
    <x v="515"/>
    <n v="11"/>
    <s v="Company K"/>
    <x v="5"/>
    <s v="Steve"/>
    <x v="3"/>
    <x v="4"/>
    <n v="69"/>
    <n v="0"/>
    <n v="0"/>
    <n v="0"/>
  </r>
  <r>
    <s v="1750"/>
    <x v="648"/>
    <n v="19"/>
    <s v="Company S"/>
    <x v="0"/>
    <s v="Jeff"/>
    <x v="0"/>
    <x v="4"/>
    <n v="69"/>
    <n v="1"/>
    <n v="69"/>
    <n v="0"/>
  </r>
  <r>
    <s v="1751"/>
    <x v="251"/>
    <n v="15"/>
    <s v="Company O"/>
    <x v="3"/>
    <s v="Sara"/>
    <x v="3"/>
    <x v="4"/>
    <n v="69"/>
    <n v="4"/>
    <n v="276"/>
    <n v="0"/>
  </r>
  <r>
    <s v="1753"/>
    <x v="251"/>
    <n v="12"/>
    <s v="Company L"/>
    <x v="5"/>
    <s v="Steve"/>
    <x v="3"/>
    <x v="4"/>
    <n v="69"/>
    <n v="8"/>
    <n v="552"/>
    <n v="0"/>
  </r>
  <r>
    <s v="1754"/>
    <x v="251"/>
    <n v="2"/>
    <s v="Company B"/>
    <x v="4"/>
    <s v="Sara"/>
    <x v="2"/>
    <x v="4"/>
    <n v="69"/>
    <n v="9"/>
    <n v="621"/>
    <n v="0"/>
  </r>
  <r>
    <s v="1758"/>
    <x v="251"/>
    <n v="5"/>
    <s v="Company E"/>
    <x v="4"/>
    <s v="Sara"/>
    <x v="2"/>
    <x v="4"/>
    <n v="69"/>
    <n v="9"/>
    <n v="621"/>
    <n v="0"/>
  </r>
  <r>
    <s v="1762"/>
    <x v="517"/>
    <n v="19"/>
    <s v="Company S"/>
    <x v="6"/>
    <s v="Jeff"/>
    <x v="0"/>
    <x v="4"/>
    <n v="69"/>
    <n v="8"/>
    <n v="552"/>
    <n v="0"/>
  </r>
  <r>
    <s v="1764"/>
    <x v="518"/>
    <n v="9"/>
    <s v="Company I"/>
    <x v="7"/>
    <s v="Philip"/>
    <x v="1"/>
    <x v="4"/>
    <n v="69"/>
    <n v="2"/>
    <n v="138"/>
    <n v="0"/>
  </r>
  <r>
    <s v="1775"/>
    <x v="521"/>
    <n v="7"/>
    <s v="Company G"/>
    <x v="1"/>
    <s v="Steve"/>
    <x v="1"/>
    <x v="4"/>
    <n v="69"/>
    <n v="9"/>
    <n v="621"/>
    <n v="0"/>
  </r>
  <r>
    <s v="1785"/>
    <x v="255"/>
    <n v="9"/>
    <s v="Company I"/>
    <x v="1"/>
    <s v="Steve"/>
    <x v="1"/>
    <x v="4"/>
    <n v="69"/>
    <n v="0"/>
    <n v="0"/>
    <n v="0"/>
  </r>
  <r>
    <s v="1793"/>
    <x v="257"/>
    <n v="17"/>
    <s v="Company Q"/>
    <x v="0"/>
    <s v="Jeff"/>
    <x v="0"/>
    <x v="4"/>
    <n v="69"/>
    <n v="0"/>
    <n v="0"/>
    <n v="0"/>
  </r>
  <r>
    <s v="1794"/>
    <x v="257"/>
    <n v="2"/>
    <s v="Company B"/>
    <x v="4"/>
    <s v="Sara"/>
    <x v="2"/>
    <x v="4"/>
    <n v="69"/>
    <n v="9"/>
    <n v="621"/>
    <n v="0"/>
  </r>
  <r>
    <s v="1795"/>
    <x v="257"/>
    <n v="7"/>
    <s v="Company G"/>
    <x v="1"/>
    <s v="Steve"/>
    <x v="1"/>
    <x v="4"/>
    <n v="69"/>
    <n v="5"/>
    <n v="345"/>
    <n v="0"/>
  </r>
  <r>
    <s v="1806"/>
    <x v="258"/>
    <n v="17"/>
    <s v="Company Q"/>
    <x v="0"/>
    <s v="Jeff"/>
    <x v="0"/>
    <x v="4"/>
    <n v="69"/>
    <n v="7"/>
    <n v="483"/>
    <n v="0"/>
  </r>
  <r>
    <s v="1807"/>
    <x v="258"/>
    <n v="4"/>
    <s v="Company D"/>
    <x v="4"/>
    <s v="Sara"/>
    <x v="2"/>
    <x v="4"/>
    <n v="69"/>
    <n v="3"/>
    <n v="207"/>
    <n v="0"/>
  </r>
  <r>
    <s v="1809"/>
    <x v="423"/>
    <n v="8"/>
    <s v="Company H"/>
    <x v="7"/>
    <s v="Philip"/>
    <x v="1"/>
    <x v="4"/>
    <n v="69"/>
    <n v="5"/>
    <n v="345"/>
    <n v="0"/>
  </r>
  <r>
    <s v="1811"/>
    <x v="594"/>
    <n v="15"/>
    <s v="Company O"/>
    <x v="5"/>
    <s v="Steve"/>
    <x v="3"/>
    <x v="4"/>
    <n v="69"/>
    <n v="4"/>
    <n v="276"/>
    <n v="0"/>
  </r>
  <r>
    <s v="1812"/>
    <x v="594"/>
    <n v="11"/>
    <s v="Company K"/>
    <x v="5"/>
    <s v="Steve"/>
    <x v="3"/>
    <x v="4"/>
    <n v="69"/>
    <n v="8"/>
    <n v="552"/>
    <n v="0"/>
  </r>
  <r>
    <s v="1817"/>
    <x v="525"/>
    <n v="8"/>
    <s v="Company H"/>
    <x v="1"/>
    <s v="Steve"/>
    <x v="1"/>
    <x v="4"/>
    <n v="69"/>
    <n v="8"/>
    <n v="552"/>
    <n v="0"/>
  </r>
  <r>
    <s v="1820"/>
    <x v="525"/>
    <n v="2"/>
    <s v="Company B"/>
    <x v="2"/>
    <s v="Jeff"/>
    <x v="2"/>
    <x v="4"/>
    <n v="69"/>
    <n v="9"/>
    <n v="621"/>
    <n v="0"/>
  </r>
  <r>
    <s v="1828"/>
    <x v="425"/>
    <n v="18"/>
    <s v="Company R"/>
    <x v="0"/>
    <s v="Jeff"/>
    <x v="0"/>
    <x v="4"/>
    <n v="69"/>
    <n v="6"/>
    <n v="414"/>
    <n v="0"/>
  </r>
  <r>
    <s v="1829"/>
    <x v="425"/>
    <n v="13"/>
    <s v="Company M"/>
    <x v="5"/>
    <s v="Steve"/>
    <x v="3"/>
    <x v="4"/>
    <n v="69"/>
    <n v="4"/>
    <n v="276"/>
    <n v="0"/>
  </r>
  <r>
    <s v="1833"/>
    <x v="427"/>
    <n v="8"/>
    <s v="Company H"/>
    <x v="1"/>
    <s v="Steve"/>
    <x v="1"/>
    <x v="4"/>
    <n v="69"/>
    <n v="5"/>
    <n v="345"/>
    <n v="0"/>
  </r>
  <r>
    <s v="1837"/>
    <x v="259"/>
    <n v="6"/>
    <s v="Company F"/>
    <x v="7"/>
    <s v="Philip"/>
    <x v="1"/>
    <x v="4"/>
    <n v="69"/>
    <n v="3"/>
    <n v="207"/>
    <n v="0"/>
  </r>
  <r>
    <s v="1848"/>
    <x v="260"/>
    <n v="1"/>
    <s v="Company A"/>
    <x v="4"/>
    <s v="Sara"/>
    <x v="2"/>
    <x v="4"/>
    <n v="69"/>
    <n v="5"/>
    <n v="345"/>
    <n v="0"/>
  </r>
  <r>
    <s v="1851"/>
    <x v="649"/>
    <n v="14"/>
    <s v="Company N"/>
    <x v="5"/>
    <s v="Steve"/>
    <x v="3"/>
    <x v="4"/>
    <n v="69"/>
    <n v="2"/>
    <n v="138"/>
    <n v="0"/>
  </r>
  <r>
    <s v="1852"/>
    <x v="650"/>
    <n v="11"/>
    <s v="Company K"/>
    <x v="3"/>
    <s v="Sara"/>
    <x v="3"/>
    <x v="4"/>
    <n v="69"/>
    <n v="9"/>
    <n v="621"/>
    <n v="0"/>
  </r>
  <r>
    <s v="1853"/>
    <x v="651"/>
    <n v="16"/>
    <s v="Company P"/>
    <x v="0"/>
    <s v="Jeff"/>
    <x v="0"/>
    <x v="4"/>
    <n v="69"/>
    <n v="2"/>
    <n v="138"/>
    <n v="0"/>
  </r>
  <r>
    <s v="1859"/>
    <x v="261"/>
    <n v="6"/>
    <s v="Company F"/>
    <x v="7"/>
    <s v="Philip"/>
    <x v="1"/>
    <x v="4"/>
    <n v="69"/>
    <n v="0"/>
    <n v="0"/>
    <n v="0"/>
  </r>
  <r>
    <s v="1866"/>
    <x v="263"/>
    <n v="7"/>
    <s v="Company G"/>
    <x v="1"/>
    <s v="Steve"/>
    <x v="1"/>
    <x v="4"/>
    <n v="69"/>
    <n v="6"/>
    <n v="414"/>
    <n v="0"/>
  </r>
  <r>
    <s v="1872"/>
    <x v="526"/>
    <n v="10"/>
    <s v="Company J"/>
    <x v="1"/>
    <s v="Steve"/>
    <x v="1"/>
    <x v="4"/>
    <n v="69"/>
    <n v="7"/>
    <n v="483"/>
    <n v="0"/>
  </r>
  <r>
    <s v="1878"/>
    <x v="266"/>
    <n v="9"/>
    <s v="Company I"/>
    <x v="7"/>
    <s v="Philip"/>
    <x v="1"/>
    <x v="4"/>
    <n v="69"/>
    <n v="1"/>
    <n v="69"/>
    <n v="0"/>
  </r>
  <r>
    <s v="1881"/>
    <x v="527"/>
    <n v="9"/>
    <s v="Company I"/>
    <x v="7"/>
    <s v="Philip"/>
    <x v="1"/>
    <x v="4"/>
    <n v="69"/>
    <n v="8"/>
    <n v="552"/>
    <n v="0"/>
  </r>
  <r>
    <s v="1883"/>
    <x v="267"/>
    <n v="8"/>
    <s v="Company H"/>
    <x v="1"/>
    <s v="Steve"/>
    <x v="1"/>
    <x v="4"/>
    <n v="69"/>
    <n v="4"/>
    <n v="276"/>
    <n v="0"/>
  </r>
  <r>
    <s v="1888"/>
    <x v="267"/>
    <n v="3"/>
    <s v="Company C"/>
    <x v="2"/>
    <s v="Jeff"/>
    <x v="2"/>
    <x v="4"/>
    <n v="69"/>
    <n v="7"/>
    <n v="483"/>
    <n v="0"/>
  </r>
  <r>
    <s v="1889"/>
    <x v="652"/>
    <n v="18"/>
    <s v="Company R"/>
    <x v="6"/>
    <s v="Jeff"/>
    <x v="0"/>
    <x v="4"/>
    <n v="69"/>
    <n v="3"/>
    <n v="207"/>
    <n v="0"/>
  </r>
  <r>
    <s v="1905"/>
    <x v="271"/>
    <n v="14"/>
    <s v="Company N"/>
    <x v="5"/>
    <s v="Steve"/>
    <x v="3"/>
    <x v="4"/>
    <n v="69"/>
    <n v="5"/>
    <n v="345"/>
    <n v="0"/>
  </r>
  <r>
    <s v="1906"/>
    <x v="271"/>
    <n v="16"/>
    <s v="Company P"/>
    <x v="0"/>
    <s v="Jeff"/>
    <x v="0"/>
    <x v="4"/>
    <n v="69"/>
    <n v="8"/>
    <n v="552"/>
    <n v="0"/>
  </r>
  <r>
    <s v="1907"/>
    <x v="271"/>
    <n v="1"/>
    <s v="Company A"/>
    <x v="2"/>
    <s v="Jeff"/>
    <x v="2"/>
    <x v="4"/>
    <n v="69"/>
    <n v="2"/>
    <n v="138"/>
    <n v="0"/>
  </r>
  <r>
    <s v="1909"/>
    <x v="272"/>
    <n v="15"/>
    <s v="Company O"/>
    <x v="5"/>
    <s v="Steve"/>
    <x v="3"/>
    <x v="4"/>
    <n v="69"/>
    <n v="8"/>
    <n v="552"/>
    <n v="0"/>
  </r>
  <r>
    <s v="1913"/>
    <x v="429"/>
    <n v="16"/>
    <s v="Company P"/>
    <x v="6"/>
    <s v="Jeff"/>
    <x v="0"/>
    <x v="4"/>
    <n v="69"/>
    <n v="5"/>
    <n v="345"/>
    <n v="0"/>
  </r>
  <r>
    <s v="1914"/>
    <x v="429"/>
    <n v="9"/>
    <s v="Company I"/>
    <x v="1"/>
    <s v="Steve"/>
    <x v="1"/>
    <x v="4"/>
    <n v="69"/>
    <n v="0"/>
    <n v="0"/>
    <n v="0"/>
  </r>
  <r>
    <s v="1941"/>
    <x v="532"/>
    <n v="11"/>
    <s v="Company K"/>
    <x v="5"/>
    <s v="Steve"/>
    <x v="3"/>
    <x v="4"/>
    <n v="69"/>
    <n v="3"/>
    <n v="207"/>
    <n v="0"/>
  </r>
  <r>
    <s v="1943"/>
    <x v="277"/>
    <n v="18"/>
    <s v="Company R"/>
    <x v="6"/>
    <s v="Jeff"/>
    <x v="0"/>
    <x v="4"/>
    <n v="69"/>
    <n v="3"/>
    <n v="207"/>
    <n v="0"/>
  </r>
  <r>
    <s v="1950"/>
    <x v="653"/>
    <n v="9"/>
    <s v="Company I"/>
    <x v="1"/>
    <s v="Steve"/>
    <x v="1"/>
    <x v="4"/>
    <n v="69"/>
    <n v="7"/>
    <n v="483"/>
    <n v="0"/>
  </r>
  <r>
    <s v="1953"/>
    <x v="278"/>
    <n v="18"/>
    <s v="Company R"/>
    <x v="0"/>
    <s v="Jeff"/>
    <x v="0"/>
    <x v="4"/>
    <n v="69"/>
    <n v="0"/>
    <n v="0"/>
    <n v="0"/>
  </r>
  <r>
    <s v="1959"/>
    <x v="279"/>
    <n v="12"/>
    <s v="Company L"/>
    <x v="3"/>
    <s v="Sara"/>
    <x v="3"/>
    <x v="4"/>
    <n v="69"/>
    <n v="7"/>
    <n v="483"/>
    <n v="0"/>
  </r>
  <r>
    <s v="1968"/>
    <x v="281"/>
    <n v="1"/>
    <s v="Company A"/>
    <x v="4"/>
    <s v="Sara"/>
    <x v="2"/>
    <x v="4"/>
    <n v="69"/>
    <n v="2"/>
    <n v="138"/>
    <n v="0"/>
  </r>
  <r>
    <s v="1971"/>
    <x v="281"/>
    <n v="17"/>
    <s v="Company Q"/>
    <x v="6"/>
    <s v="Jeff"/>
    <x v="0"/>
    <x v="4"/>
    <n v="69"/>
    <n v="6"/>
    <n v="414"/>
    <n v="0"/>
  </r>
  <r>
    <s v="1972"/>
    <x v="281"/>
    <n v="8"/>
    <s v="Company H"/>
    <x v="7"/>
    <s v="Philip"/>
    <x v="1"/>
    <x v="4"/>
    <n v="69"/>
    <n v="0"/>
    <n v="0"/>
    <n v="0"/>
  </r>
  <r>
    <s v="1980"/>
    <x v="435"/>
    <n v="17"/>
    <s v="Company Q"/>
    <x v="6"/>
    <s v="Jeff"/>
    <x v="0"/>
    <x v="4"/>
    <n v="69"/>
    <n v="4"/>
    <n v="276"/>
    <n v="0"/>
  </r>
  <r>
    <s v="1982"/>
    <x v="435"/>
    <n v="15"/>
    <s v="Company O"/>
    <x v="5"/>
    <s v="Steve"/>
    <x v="3"/>
    <x v="4"/>
    <n v="69"/>
    <n v="1"/>
    <n v="69"/>
    <n v="0"/>
  </r>
  <r>
    <s v="1986"/>
    <x v="283"/>
    <n v="1"/>
    <s v="Company A"/>
    <x v="2"/>
    <s v="Jeff"/>
    <x v="2"/>
    <x v="4"/>
    <n v="69"/>
    <n v="8"/>
    <n v="552"/>
    <n v="0"/>
  </r>
  <r>
    <s v="1994"/>
    <x v="284"/>
    <n v="3"/>
    <s v="Company C"/>
    <x v="2"/>
    <s v="Jeff"/>
    <x v="2"/>
    <x v="4"/>
    <n v="69"/>
    <n v="3"/>
    <n v="207"/>
    <n v="0"/>
  </r>
  <r>
    <s v="1996"/>
    <x v="284"/>
    <n v="9"/>
    <s v="Company I"/>
    <x v="1"/>
    <s v="Steve"/>
    <x v="1"/>
    <x v="4"/>
    <n v="69"/>
    <n v="8"/>
    <n v="552"/>
    <n v="0"/>
  </r>
  <r>
    <s v="1997"/>
    <x v="284"/>
    <n v="5"/>
    <s v="Company E"/>
    <x v="4"/>
    <s v="Sara"/>
    <x v="2"/>
    <x v="4"/>
    <n v="69"/>
    <n v="6"/>
    <n v="414"/>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9"/>
    <x v="0"/>
    <n v="20"/>
    <s v="Company T"/>
    <x v="0"/>
    <x v="0"/>
    <s v="Arizona"/>
    <x v="0"/>
    <n v="399"/>
    <n v="5"/>
    <n v="1995"/>
    <n v="3"/>
  </r>
  <r>
    <s v="0012"/>
    <x v="0"/>
    <n v="6"/>
    <s v="Company F"/>
    <x v="1"/>
    <x v="1"/>
    <s v="California"/>
    <x v="0"/>
    <n v="399"/>
    <n v="6"/>
    <n v="2394"/>
    <n v="4"/>
  </r>
  <r>
    <s v="0014"/>
    <x v="0"/>
    <n v="4"/>
    <s v="Company D"/>
    <x v="2"/>
    <x v="0"/>
    <s v="Texas"/>
    <x v="0"/>
    <n v="399"/>
    <n v="4"/>
    <n v="1596"/>
    <n v="2"/>
  </r>
  <r>
    <s v="0020"/>
    <x v="1"/>
    <n v="5"/>
    <s v="Company E"/>
    <x v="2"/>
    <x v="0"/>
    <s v="Texas"/>
    <x v="0"/>
    <n v="399"/>
    <n v="3"/>
    <n v="1197"/>
    <n v="2"/>
  </r>
  <r>
    <s v="0024"/>
    <x v="1"/>
    <n v="12"/>
    <s v="Company L"/>
    <x v="3"/>
    <x v="2"/>
    <s v="New Mexico"/>
    <x v="0"/>
    <n v="399"/>
    <n v="2"/>
    <n v="798"/>
    <n v="5"/>
  </r>
  <r>
    <s v="0025"/>
    <x v="2"/>
    <n v="3"/>
    <s v="Company C"/>
    <x v="4"/>
    <x v="2"/>
    <s v="Texas"/>
    <x v="0"/>
    <n v="399"/>
    <n v="0"/>
    <n v="0"/>
    <n v="2"/>
  </r>
  <r>
    <s v="0028"/>
    <x v="2"/>
    <n v="19"/>
    <s v="Company S"/>
    <x v="0"/>
    <x v="0"/>
    <s v="Arizona"/>
    <x v="0"/>
    <n v="399"/>
    <n v="7"/>
    <n v="2793"/>
    <n v="3"/>
  </r>
  <r>
    <s v="0032"/>
    <x v="3"/>
    <n v="6"/>
    <s v="Company F"/>
    <x v="1"/>
    <x v="1"/>
    <s v="California"/>
    <x v="0"/>
    <n v="399"/>
    <n v="3"/>
    <n v="1197"/>
    <n v="4"/>
  </r>
  <r>
    <s v="0037"/>
    <x v="4"/>
    <n v="13"/>
    <s v="Company M"/>
    <x v="5"/>
    <x v="1"/>
    <s v="New Mexico"/>
    <x v="0"/>
    <n v="399"/>
    <n v="4"/>
    <n v="1596"/>
    <n v="6"/>
  </r>
  <r>
    <s v="0038"/>
    <x v="5"/>
    <n v="20"/>
    <s v="Company T"/>
    <x v="6"/>
    <x v="0"/>
    <s v="Arizona"/>
    <x v="0"/>
    <n v="399"/>
    <n v="3"/>
    <n v="1197"/>
    <n v="5"/>
  </r>
  <r>
    <s v="0041"/>
    <x v="6"/>
    <n v="9"/>
    <s v="Company I"/>
    <x v="7"/>
    <x v="3"/>
    <s v="California"/>
    <x v="0"/>
    <n v="399"/>
    <n v="4"/>
    <n v="1596"/>
    <n v="8"/>
  </r>
  <r>
    <s v="0044"/>
    <x v="6"/>
    <n v="7"/>
    <s v="Company G"/>
    <x v="1"/>
    <x v="1"/>
    <s v="California"/>
    <x v="0"/>
    <n v="399"/>
    <n v="5"/>
    <n v="1995"/>
    <n v="4"/>
  </r>
  <r>
    <s v="0051"/>
    <x v="6"/>
    <n v="19"/>
    <s v="Company S"/>
    <x v="0"/>
    <x v="0"/>
    <s v="Arizona"/>
    <x v="0"/>
    <n v="399"/>
    <n v="6"/>
    <n v="2394"/>
    <n v="3"/>
  </r>
  <r>
    <s v="0055"/>
    <x v="7"/>
    <n v="7"/>
    <s v="Company G"/>
    <x v="1"/>
    <x v="1"/>
    <s v="California"/>
    <x v="0"/>
    <n v="399"/>
    <n v="0"/>
    <n v="0"/>
    <n v="4"/>
  </r>
  <r>
    <s v="0059"/>
    <x v="7"/>
    <n v="9"/>
    <s v="Company I"/>
    <x v="7"/>
    <x v="3"/>
    <s v="California"/>
    <x v="0"/>
    <n v="399"/>
    <n v="7"/>
    <n v="2793"/>
    <n v="8"/>
  </r>
  <r>
    <s v="0064"/>
    <x v="8"/>
    <n v="9"/>
    <s v="Company I"/>
    <x v="1"/>
    <x v="1"/>
    <s v="California"/>
    <x v="0"/>
    <n v="399"/>
    <n v="1"/>
    <n v="399"/>
    <n v="4"/>
  </r>
  <r>
    <s v="0072"/>
    <x v="9"/>
    <n v="15"/>
    <s v="Company O"/>
    <x v="5"/>
    <x v="1"/>
    <s v="New Mexico"/>
    <x v="0"/>
    <n v="399"/>
    <n v="4"/>
    <n v="1596"/>
    <n v="6"/>
  </r>
  <r>
    <s v="0081"/>
    <x v="10"/>
    <n v="7"/>
    <s v="Company G"/>
    <x v="1"/>
    <x v="1"/>
    <s v="California"/>
    <x v="0"/>
    <n v="399"/>
    <n v="6"/>
    <n v="2394"/>
    <n v="4"/>
  </r>
  <r>
    <s v="0084"/>
    <x v="11"/>
    <n v="18"/>
    <s v="Company R"/>
    <x v="0"/>
    <x v="0"/>
    <s v="Arizona"/>
    <x v="0"/>
    <n v="399"/>
    <n v="1"/>
    <n v="399"/>
    <n v="3"/>
  </r>
  <r>
    <s v="0085"/>
    <x v="12"/>
    <n v="4"/>
    <s v="Company D"/>
    <x v="4"/>
    <x v="2"/>
    <s v="Texas"/>
    <x v="0"/>
    <n v="399"/>
    <n v="9"/>
    <n v="3591"/>
    <n v="2"/>
  </r>
  <r>
    <s v="0086"/>
    <x v="12"/>
    <n v="12"/>
    <s v="Company L"/>
    <x v="3"/>
    <x v="2"/>
    <s v="New Mexico"/>
    <x v="0"/>
    <n v="399"/>
    <n v="2"/>
    <n v="798"/>
    <n v="5"/>
  </r>
  <r>
    <s v="0092"/>
    <x v="13"/>
    <n v="20"/>
    <s v="Company T"/>
    <x v="6"/>
    <x v="0"/>
    <s v="Arizona"/>
    <x v="0"/>
    <n v="399"/>
    <n v="6"/>
    <n v="2394"/>
    <n v="5"/>
  </r>
  <r>
    <s v="0093"/>
    <x v="14"/>
    <n v="7"/>
    <s v="Company G"/>
    <x v="7"/>
    <x v="3"/>
    <s v="California"/>
    <x v="0"/>
    <n v="399"/>
    <n v="1"/>
    <n v="399"/>
    <n v="8"/>
  </r>
  <r>
    <s v="0104"/>
    <x v="15"/>
    <n v="4"/>
    <s v="Company D"/>
    <x v="4"/>
    <x v="2"/>
    <s v="Texas"/>
    <x v="0"/>
    <n v="399"/>
    <n v="1"/>
    <n v="399"/>
    <n v="2"/>
  </r>
  <r>
    <s v="0108"/>
    <x v="15"/>
    <n v="15"/>
    <s v="Company O"/>
    <x v="5"/>
    <x v="1"/>
    <s v="New Mexico"/>
    <x v="0"/>
    <n v="399"/>
    <n v="2"/>
    <n v="798"/>
    <n v="6"/>
  </r>
  <r>
    <s v="0111"/>
    <x v="16"/>
    <n v="19"/>
    <s v="Company S"/>
    <x v="0"/>
    <x v="0"/>
    <s v="Arizona"/>
    <x v="0"/>
    <n v="399"/>
    <n v="6"/>
    <n v="2394"/>
    <n v="3"/>
  </r>
  <r>
    <s v="0112"/>
    <x v="17"/>
    <n v="1"/>
    <s v="Company A"/>
    <x v="2"/>
    <x v="0"/>
    <s v="Texas"/>
    <x v="0"/>
    <n v="399"/>
    <n v="2"/>
    <n v="798"/>
    <n v="2"/>
  </r>
  <r>
    <s v="0113"/>
    <x v="18"/>
    <n v="17"/>
    <s v="Company Q"/>
    <x v="6"/>
    <x v="0"/>
    <s v="Arizona"/>
    <x v="0"/>
    <n v="399"/>
    <n v="5"/>
    <n v="1995"/>
    <n v="5"/>
  </r>
  <r>
    <s v="0117"/>
    <x v="18"/>
    <n v="14"/>
    <s v="Company N"/>
    <x v="3"/>
    <x v="2"/>
    <s v="New Mexico"/>
    <x v="0"/>
    <n v="399"/>
    <n v="7"/>
    <n v="2793"/>
    <n v="5"/>
  </r>
  <r>
    <s v="0126"/>
    <x v="19"/>
    <n v="18"/>
    <s v="Company R"/>
    <x v="6"/>
    <x v="0"/>
    <s v="Arizona"/>
    <x v="0"/>
    <n v="399"/>
    <n v="4"/>
    <n v="1596"/>
    <n v="5"/>
  </r>
  <r>
    <s v="0131"/>
    <x v="20"/>
    <n v="10"/>
    <s v="Company J"/>
    <x v="7"/>
    <x v="3"/>
    <s v="California"/>
    <x v="0"/>
    <n v="399"/>
    <n v="3"/>
    <n v="1197"/>
    <n v="8"/>
  </r>
  <r>
    <s v="0133"/>
    <x v="20"/>
    <n v="12"/>
    <s v="Company L"/>
    <x v="3"/>
    <x v="2"/>
    <s v="New Mexico"/>
    <x v="0"/>
    <n v="399"/>
    <n v="9"/>
    <n v="3591"/>
    <n v="5"/>
  </r>
  <r>
    <s v="0137"/>
    <x v="21"/>
    <n v="12"/>
    <s v="Company L"/>
    <x v="5"/>
    <x v="1"/>
    <s v="New Mexico"/>
    <x v="0"/>
    <n v="399"/>
    <n v="3"/>
    <n v="1197"/>
    <n v="6"/>
  </r>
  <r>
    <s v="0138"/>
    <x v="21"/>
    <n v="14"/>
    <s v="Company N"/>
    <x v="5"/>
    <x v="1"/>
    <s v="New Mexico"/>
    <x v="0"/>
    <n v="399"/>
    <n v="3"/>
    <n v="1197"/>
    <n v="6"/>
  </r>
  <r>
    <s v="0140"/>
    <x v="21"/>
    <n v="15"/>
    <s v="Company O"/>
    <x v="5"/>
    <x v="1"/>
    <s v="New Mexico"/>
    <x v="0"/>
    <n v="399"/>
    <n v="8"/>
    <n v="3192"/>
    <n v="6"/>
  </r>
  <r>
    <s v="0148"/>
    <x v="21"/>
    <n v="2"/>
    <s v="Company B"/>
    <x v="4"/>
    <x v="2"/>
    <s v="Texas"/>
    <x v="0"/>
    <n v="399"/>
    <n v="2"/>
    <n v="798"/>
    <n v="2"/>
  </r>
  <r>
    <s v="0171"/>
    <x v="22"/>
    <n v="8"/>
    <s v="Company H"/>
    <x v="1"/>
    <x v="1"/>
    <s v="California"/>
    <x v="0"/>
    <n v="399"/>
    <n v="6"/>
    <n v="2394"/>
    <n v="4"/>
  </r>
  <r>
    <s v="0173"/>
    <x v="22"/>
    <n v="2"/>
    <s v="Company B"/>
    <x v="4"/>
    <x v="2"/>
    <s v="Texas"/>
    <x v="0"/>
    <n v="399"/>
    <n v="1"/>
    <n v="399"/>
    <n v="2"/>
  </r>
  <r>
    <s v="0174"/>
    <x v="22"/>
    <n v="6"/>
    <s v="Company F"/>
    <x v="1"/>
    <x v="1"/>
    <s v="California"/>
    <x v="0"/>
    <n v="399"/>
    <n v="6"/>
    <n v="2394"/>
    <n v="4"/>
  </r>
  <r>
    <s v="0185"/>
    <x v="23"/>
    <n v="4"/>
    <s v="Company D"/>
    <x v="4"/>
    <x v="2"/>
    <s v="Texas"/>
    <x v="0"/>
    <n v="399"/>
    <n v="5"/>
    <n v="1995"/>
    <n v="2"/>
  </r>
  <r>
    <s v="0187"/>
    <x v="24"/>
    <n v="17"/>
    <s v="Company Q"/>
    <x v="6"/>
    <x v="0"/>
    <s v="Arizona"/>
    <x v="0"/>
    <n v="399"/>
    <n v="9"/>
    <n v="3591"/>
    <n v="5"/>
  </r>
  <r>
    <s v="0189"/>
    <x v="25"/>
    <n v="20"/>
    <s v="Company T"/>
    <x v="6"/>
    <x v="0"/>
    <s v="Arizona"/>
    <x v="0"/>
    <n v="399"/>
    <n v="8"/>
    <n v="3192"/>
    <n v="5"/>
  </r>
  <r>
    <s v="0192"/>
    <x v="26"/>
    <n v="12"/>
    <s v="Company L"/>
    <x v="5"/>
    <x v="1"/>
    <s v="New Mexico"/>
    <x v="0"/>
    <n v="399"/>
    <n v="0"/>
    <n v="0"/>
    <n v="6"/>
  </r>
  <r>
    <s v="0206"/>
    <x v="27"/>
    <n v="5"/>
    <s v="Company E"/>
    <x v="4"/>
    <x v="2"/>
    <s v="Texas"/>
    <x v="0"/>
    <n v="399"/>
    <n v="6"/>
    <n v="2394"/>
    <n v="2"/>
  </r>
  <r>
    <s v="0210"/>
    <x v="27"/>
    <n v="14"/>
    <s v="Company N"/>
    <x v="3"/>
    <x v="2"/>
    <s v="New Mexico"/>
    <x v="0"/>
    <n v="399"/>
    <n v="8"/>
    <n v="3192"/>
    <n v="5"/>
  </r>
  <r>
    <s v="0224"/>
    <x v="28"/>
    <n v="9"/>
    <s v="Company I"/>
    <x v="7"/>
    <x v="3"/>
    <s v="California"/>
    <x v="0"/>
    <n v="399"/>
    <n v="6"/>
    <n v="2394"/>
    <n v="8"/>
  </r>
  <r>
    <s v="0225"/>
    <x v="28"/>
    <n v="2"/>
    <s v="Company B"/>
    <x v="2"/>
    <x v="0"/>
    <s v="Texas"/>
    <x v="0"/>
    <n v="399"/>
    <n v="9"/>
    <n v="3591"/>
    <n v="2"/>
  </r>
  <r>
    <s v="0226"/>
    <x v="29"/>
    <n v="14"/>
    <s v="Company N"/>
    <x v="3"/>
    <x v="2"/>
    <s v="New Mexico"/>
    <x v="0"/>
    <n v="399"/>
    <n v="1"/>
    <n v="399"/>
    <n v="5"/>
  </r>
  <r>
    <s v="0227"/>
    <x v="30"/>
    <n v="14"/>
    <s v="Company N"/>
    <x v="3"/>
    <x v="2"/>
    <s v="New Mexico"/>
    <x v="0"/>
    <n v="399"/>
    <n v="1"/>
    <n v="399"/>
    <n v="5"/>
  </r>
  <r>
    <s v="0230"/>
    <x v="31"/>
    <n v="3"/>
    <s v="Company C"/>
    <x v="2"/>
    <x v="0"/>
    <s v="Texas"/>
    <x v="0"/>
    <n v="399"/>
    <n v="6"/>
    <n v="2394"/>
    <n v="2"/>
  </r>
  <r>
    <s v="0232"/>
    <x v="31"/>
    <n v="7"/>
    <s v="Company G"/>
    <x v="1"/>
    <x v="1"/>
    <s v="California"/>
    <x v="0"/>
    <n v="399"/>
    <n v="9"/>
    <n v="3591"/>
    <n v="4"/>
  </r>
  <r>
    <s v="0239"/>
    <x v="32"/>
    <n v="16"/>
    <s v="Company P"/>
    <x v="0"/>
    <x v="0"/>
    <s v="Arizona"/>
    <x v="0"/>
    <n v="399"/>
    <n v="9"/>
    <n v="3591"/>
    <n v="3"/>
  </r>
  <r>
    <s v="0249"/>
    <x v="33"/>
    <n v="19"/>
    <s v="Company S"/>
    <x v="6"/>
    <x v="0"/>
    <s v="Arizona"/>
    <x v="0"/>
    <n v="399"/>
    <n v="3"/>
    <n v="1197"/>
    <n v="5"/>
  </r>
  <r>
    <s v="0251"/>
    <x v="33"/>
    <n v="2"/>
    <s v="Company B"/>
    <x v="4"/>
    <x v="2"/>
    <s v="Texas"/>
    <x v="0"/>
    <n v="399"/>
    <n v="9"/>
    <n v="3591"/>
    <n v="2"/>
  </r>
  <r>
    <s v="0253"/>
    <x v="33"/>
    <n v="16"/>
    <s v="Company P"/>
    <x v="6"/>
    <x v="0"/>
    <s v="Arizona"/>
    <x v="0"/>
    <n v="399"/>
    <n v="5"/>
    <n v="1995"/>
    <n v="5"/>
  </r>
  <r>
    <s v="0258"/>
    <x v="34"/>
    <n v="17"/>
    <s v="Company Q"/>
    <x v="0"/>
    <x v="0"/>
    <s v="Arizona"/>
    <x v="0"/>
    <n v="399"/>
    <n v="5"/>
    <n v="1995"/>
    <n v="3"/>
  </r>
  <r>
    <s v="0270"/>
    <x v="35"/>
    <n v="14"/>
    <s v="Company N"/>
    <x v="5"/>
    <x v="1"/>
    <s v="New Mexico"/>
    <x v="0"/>
    <n v="399"/>
    <n v="9"/>
    <n v="3591"/>
    <n v="6"/>
  </r>
  <r>
    <s v="0278"/>
    <x v="36"/>
    <n v="6"/>
    <s v="Company F"/>
    <x v="7"/>
    <x v="3"/>
    <s v="California"/>
    <x v="0"/>
    <n v="399"/>
    <n v="8"/>
    <n v="3192"/>
    <n v="8"/>
  </r>
  <r>
    <s v="0297"/>
    <x v="37"/>
    <n v="14"/>
    <s v="Company N"/>
    <x v="3"/>
    <x v="2"/>
    <s v="New Mexico"/>
    <x v="0"/>
    <n v="399"/>
    <n v="5"/>
    <n v="1995"/>
    <n v="5"/>
  </r>
  <r>
    <s v="0301"/>
    <x v="38"/>
    <n v="10"/>
    <s v="Company J"/>
    <x v="7"/>
    <x v="3"/>
    <s v="California"/>
    <x v="0"/>
    <n v="399"/>
    <n v="9"/>
    <n v="3591"/>
    <n v="8"/>
  </r>
  <r>
    <s v="0321"/>
    <x v="39"/>
    <n v="9"/>
    <s v="Company I"/>
    <x v="7"/>
    <x v="3"/>
    <s v="California"/>
    <x v="0"/>
    <n v="399"/>
    <n v="1"/>
    <n v="399"/>
    <n v="8"/>
  </r>
  <r>
    <s v="0325"/>
    <x v="40"/>
    <n v="14"/>
    <s v="Company N"/>
    <x v="5"/>
    <x v="1"/>
    <s v="New Mexico"/>
    <x v="0"/>
    <n v="399"/>
    <n v="3"/>
    <n v="1197"/>
    <n v="6"/>
  </r>
  <r>
    <s v="0330"/>
    <x v="40"/>
    <n v="7"/>
    <s v="Company G"/>
    <x v="1"/>
    <x v="1"/>
    <s v="California"/>
    <x v="0"/>
    <n v="399"/>
    <n v="8"/>
    <n v="3192"/>
    <n v="4"/>
  </r>
  <r>
    <s v="0331"/>
    <x v="40"/>
    <n v="10"/>
    <s v="Company J"/>
    <x v="1"/>
    <x v="1"/>
    <s v="California"/>
    <x v="0"/>
    <n v="399"/>
    <n v="9"/>
    <n v="3591"/>
    <n v="4"/>
  </r>
  <r>
    <s v="0333"/>
    <x v="40"/>
    <n v="18"/>
    <s v="Company R"/>
    <x v="6"/>
    <x v="0"/>
    <s v="Arizona"/>
    <x v="0"/>
    <n v="399"/>
    <n v="4"/>
    <n v="1596"/>
    <n v="5"/>
  </r>
  <r>
    <s v="0338"/>
    <x v="41"/>
    <n v="13"/>
    <s v="Company M"/>
    <x v="3"/>
    <x v="2"/>
    <s v="New Mexico"/>
    <x v="0"/>
    <n v="399"/>
    <n v="8"/>
    <n v="3192"/>
    <n v="5"/>
  </r>
  <r>
    <s v="0350"/>
    <x v="42"/>
    <n v="3"/>
    <s v="Company C"/>
    <x v="2"/>
    <x v="0"/>
    <s v="Texas"/>
    <x v="0"/>
    <n v="399"/>
    <n v="1"/>
    <n v="399"/>
    <n v="2"/>
  </r>
  <r>
    <s v="0353"/>
    <x v="43"/>
    <n v="4"/>
    <s v="Company D"/>
    <x v="2"/>
    <x v="0"/>
    <s v="Texas"/>
    <x v="0"/>
    <n v="399"/>
    <n v="1"/>
    <n v="399"/>
    <n v="2"/>
  </r>
  <r>
    <s v="0355"/>
    <x v="43"/>
    <n v="17"/>
    <s v="Company Q"/>
    <x v="6"/>
    <x v="0"/>
    <s v="Arizona"/>
    <x v="0"/>
    <n v="399"/>
    <n v="6"/>
    <n v="2394"/>
    <n v="5"/>
  </r>
  <r>
    <s v="0357"/>
    <x v="44"/>
    <n v="3"/>
    <s v="Company C"/>
    <x v="4"/>
    <x v="2"/>
    <s v="Texas"/>
    <x v="0"/>
    <n v="399"/>
    <n v="2"/>
    <n v="798"/>
    <n v="2"/>
  </r>
  <r>
    <s v="0359"/>
    <x v="45"/>
    <n v="1"/>
    <s v="Company A"/>
    <x v="4"/>
    <x v="2"/>
    <s v="Texas"/>
    <x v="0"/>
    <n v="399"/>
    <n v="5"/>
    <n v="1995"/>
    <n v="2"/>
  </r>
  <r>
    <s v="0362"/>
    <x v="45"/>
    <n v="5"/>
    <s v="Company E"/>
    <x v="2"/>
    <x v="0"/>
    <s v="Texas"/>
    <x v="0"/>
    <n v="399"/>
    <n v="2"/>
    <n v="798"/>
    <n v="2"/>
  </r>
  <r>
    <s v="0374"/>
    <x v="46"/>
    <n v="5"/>
    <s v="Company E"/>
    <x v="2"/>
    <x v="0"/>
    <s v="Texas"/>
    <x v="0"/>
    <n v="399"/>
    <n v="3"/>
    <n v="1197"/>
    <n v="2"/>
  </r>
  <r>
    <s v="0378"/>
    <x v="46"/>
    <n v="11"/>
    <s v="Company K"/>
    <x v="3"/>
    <x v="2"/>
    <s v="New Mexico"/>
    <x v="0"/>
    <n v="399"/>
    <n v="3"/>
    <n v="1197"/>
    <n v="5"/>
  </r>
  <r>
    <s v="0386"/>
    <x v="47"/>
    <n v="3"/>
    <s v="Company C"/>
    <x v="2"/>
    <x v="0"/>
    <s v="Texas"/>
    <x v="0"/>
    <n v="399"/>
    <n v="2"/>
    <n v="798"/>
    <n v="2"/>
  </r>
  <r>
    <s v="0399"/>
    <x v="48"/>
    <n v="5"/>
    <s v="Company E"/>
    <x v="4"/>
    <x v="2"/>
    <s v="Texas"/>
    <x v="0"/>
    <n v="399"/>
    <n v="7"/>
    <n v="2793"/>
    <n v="2"/>
  </r>
  <r>
    <s v="0403"/>
    <x v="49"/>
    <n v="12"/>
    <s v="Company L"/>
    <x v="5"/>
    <x v="1"/>
    <s v="New Mexico"/>
    <x v="0"/>
    <n v="399"/>
    <n v="6"/>
    <n v="2394"/>
    <n v="6"/>
  </r>
  <r>
    <s v="0417"/>
    <x v="50"/>
    <n v="2"/>
    <s v="Company B"/>
    <x v="2"/>
    <x v="0"/>
    <s v="Texas"/>
    <x v="0"/>
    <n v="399"/>
    <n v="1"/>
    <n v="399"/>
    <n v="2"/>
  </r>
  <r>
    <s v="0432"/>
    <x v="51"/>
    <n v="2"/>
    <s v="Company B"/>
    <x v="2"/>
    <x v="0"/>
    <s v="Texas"/>
    <x v="0"/>
    <n v="399"/>
    <n v="3"/>
    <n v="1197"/>
    <n v="2"/>
  </r>
  <r>
    <s v="0442"/>
    <x v="51"/>
    <n v="1"/>
    <s v="Company A"/>
    <x v="2"/>
    <x v="0"/>
    <s v="Texas"/>
    <x v="0"/>
    <n v="399"/>
    <n v="1"/>
    <n v="399"/>
    <n v="2"/>
  </r>
  <r>
    <s v="0447"/>
    <x v="52"/>
    <n v="16"/>
    <s v="Company P"/>
    <x v="0"/>
    <x v="0"/>
    <s v="Arizona"/>
    <x v="0"/>
    <n v="399"/>
    <n v="5"/>
    <n v="1995"/>
    <n v="3"/>
  </r>
  <r>
    <s v="0453"/>
    <x v="52"/>
    <n v="6"/>
    <s v="Company F"/>
    <x v="1"/>
    <x v="1"/>
    <s v="California"/>
    <x v="0"/>
    <n v="399"/>
    <n v="3"/>
    <n v="1197"/>
    <n v="4"/>
  </r>
  <r>
    <s v="0456"/>
    <x v="53"/>
    <n v="3"/>
    <s v="Company C"/>
    <x v="2"/>
    <x v="0"/>
    <s v="Texas"/>
    <x v="0"/>
    <n v="399"/>
    <n v="7"/>
    <n v="2793"/>
    <n v="2"/>
  </r>
  <r>
    <s v="0461"/>
    <x v="54"/>
    <n v="7"/>
    <s v="Company G"/>
    <x v="1"/>
    <x v="1"/>
    <s v="California"/>
    <x v="0"/>
    <n v="399"/>
    <n v="0"/>
    <n v="0"/>
    <n v="4"/>
  </r>
  <r>
    <s v="0462"/>
    <x v="54"/>
    <n v="1"/>
    <s v="Company A"/>
    <x v="2"/>
    <x v="0"/>
    <s v="Texas"/>
    <x v="0"/>
    <n v="399"/>
    <n v="3"/>
    <n v="1197"/>
    <n v="2"/>
  </r>
  <r>
    <s v="0463"/>
    <x v="55"/>
    <n v="10"/>
    <s v="Company J"/>
    <x v="7"/>
    <x v="3"/>
    <s v="California"/>
    <x v="0"/>
    <n v="399"/>
    <n v="9"/>
    <n v="3591"/>
    <n v="8"/>
  </r>
  <r>
    <s v="0470"/>
    <x v="56"/>
    <n v="14"/>
    <s v="Company N"/>
    <x v="3"/>
    <x v="2"/>
    <s v="New Mexico"/>
    <x v="0"/>
    <n v="399"/>
    <n v="9"/>
    <n v="3591"/>
    <n v="5"/>
  </r>
  <r>
    <s v="0472"/>
    <x v="57"/>
    <n v="5"/>
    <s v="Company E"/>
    <x v="2"/>
    <x v="0"/>
    <s v="Texas"/>
    <x v="0"/>
    <n v="399"/>
    <n v="3"/>
    <n v="1197"/>
    <n v="2"/>
  </r>
  <r>
    <s v="0474"/>
    <x v="58"/>
    <n v="18"/>
    <s v="Company R"/>
    <x v="0"/>
    <x v="0"/>
    <s v="Arizona"/>
    <x v="0"/>
    <n v="399"/>
    <n v="3"/>
    <n v="1197"/>
    <n v="3"/>
  </r>
  <r>
    <s v="0493"/>
    <x v="59"/>
    <n v="9"/>
    <s v="Company I"/>
    <x v="1"/>
    <x v="1"/>
    <s v="California"/>
    <x v="0"/>
    <n v="399"/>
    <n v="2"/>
    <n v="798"/>
    <n v="4"/>
  </r>
  <r>
    <s v="0507"/>
    <x v="60"/>
    <n v="2"/>
    <s v="Company B"/>
    <x v="4"/>
    <x v="2"/>
    <s v="Texas"/>
    <x v="0"/>
    <n v="399"/>
    <n v="9"/>
    <n v="3591"/>
    <n v="2"/>
  </r>
  <r>
    <s v="0508"/>
    <x v="60"/>
    <n v="19"/>
    <s v="Company S"/>
    <x v="0"/>
    <x v="0"/>
    <s v="Arizona"/>
    <x v="0"/>
    <n v="399"/>
    <n v="6"/>
    <n v="2394"/>
    <n v="3"/>
  </r>
  <r>
    <s v="0520"/>
    <x v="61"/>
    <n v="18"/>
    <s v="Company R"/>
    <x v="6"/>
    <x v="0"/>
    <s v="Arizona"/>
    <x v="0"/>
    <n v="399"/>
    <n v="7"/>
    <n v="2793"/>
    <n v="5"/>
  </r>
  <r>
    <s v="0530"/>
    <x v="61"/>
    <n v="16"/>
    <s v="Company P"/>
    <x v="0"/>
    <x v="0"/>
    <s v="Arizona"/>
    <x v="0"/>
    <n v="399"/>
    <n v="7"/>
    <n v="2793"/>
    <n v="3"/>
  </r>
  <r>
    <s v="0532"/>
    <x v="62"/>
    <n v="11"/>
    <s v="Company K"/>
    <x v="5"/>
    <x v="1"/>
    <s v="New Mexico"/>
    <x v="0"/>
    <n v="399"/>
    <n v="8"/>
    <n v="3192"/>
    <n v="6"/>
  </r>
  <r>
    <s v="0542"/>
    <x v="63"/>
    <n v="9"/>
    <s v="Company I"/>
    <x v="1"/>
    <x v="1"/>
    <s v="California"/>
    <x v="0"/>
    <n v="399"/>
    <n v="5"/>
    <n v="1995"/>
    <n v="4"/>
  </r>
  <r>
    <s v="0545"/>
    <x v="64"/>
    <n v="14"/>
    <s v="Company N"/>
    <x v="5"/>
    <x v="1"/>
    <s v="New Mexico"/>
    <x v="0"/>
    <n v="399"/>
    <n v="0"/>
    <n v="0"/>
    <n v="6"/>
  </r>
  <r>
    <s v="0553"/>
    <x v="65"/>
    <n v="11"/>
    <s v="Company K"/>
    <x v="3"/>
    <x v="2"/>
    <s v="New Mexico"/>
    <x v="0"/>
    <n v="399"/>
    <n v="0"/>
    <n v="0"/>
    <n v="5"/>
  </r>
  <r>
    <s v="0556"/>
    <x v="66"/>
    <n v="10"/>
    <s v="Company J"/>
    <x v="1"/>
    <x v="1"/>
    <s v="California"/>
    <x v="0"/>
    <n v="399"/>
    <n v="0"/>
    <n v="0"/>
    <n v="4"/>
  </r>
  <r>
    <s v="0558"/>
    <x v="67"/>
    <n v="14"/>
    <s v="Company N"/>
    <x v="5"/>
    <x v="1"/>
    <s v="New Mexico"/>
    <x v="0"/>
    <n v="399"/>
    <n v="9"/>
    <n v="3591"/>
    <n v="6"/>
  </r>
  <r>
    <s v="0563"/>
    <x v="68"/>
    <n v="13"/>
    <s v="Company M"/>
    <x v="3"/>
    <x v="2"/>
    <s v="New Mexico"/>
    <x v="0"/>
    <n v="399"/>
    <n v="0"/>
    <n v="0"/>
    <n v="5"/>
  </r>
  <r>
    <s v="0564"/>
    <x v="68"/>
    <n v="15"/>
    <s v="Company O"/>
    <x v="3"/>
    <x v="2"/>
    <s v="New Mexico"/>
    <x v="0"/>
    <n v="399"/>
    <n v="6"/>
    <n v="2394"/>
    <n v="5"/>
  </r>
  <r>
    <s v="0568"/>
    <x v="68"/>
    <n v="14"/>
    <s v="Company N"/>
    <x v="5"/>
    <x v="1"/>
    <s v="New Mexico"/>
    <x v="0"/>
    <n v="399"/>
    <n v="0"/>
    <n v="0"/>
    <n v="6"/>
  </r>
  <r>
    <s v="0573"/>
    <x v="69"/>
    <n v="20"/>
    <s v="Company T"/>
    <x v="6"/>
    <x v="0"/>
    <s v="Arizona"/>
    <x v="0"/>
    <n v="399"/>
    <n v="5"/>
    <n v="1995"/>
    <n v="5"/>
  </r>
  <r>
    <s v="0578"/>
    <x v="70"/>
    <n v="14"/>
    <s v="Company N"/>
    <x v="3"/>
    <x v="2"/>
    <s v="New Mexico"/>
    <x v="0"/>
    <n v="399"/>
    <n v="9"/>
    <n v="3591"/>
    <n v="5"/>
  </r>
  <r>
    <s v="0579"/>
    <x v="71"/>
    <n v="7"/>
    <s v="Company G"/>
    <x v="7"/>
    <x v="3"/>
    <s v="California"/>
    <x v="0"/>
    <n v="399"/>
    <n v="0"/>
    <n v="0"/>
    <n v="8"/>
  </r>
  <r>
    <s v="0582"/>
    <x v="71"/>
    <n v="15"/>
    <s v="Company O"/>
    <x v="5"/>
    <x v="1"/>
    <s v="New Mexico"/>
    <x v="0"/>
    <n v="399"/>
    <n v="4"/>
    <n v="1596"/>
    <n v="6"/>
  </r>
  <r>
    <s v="0583"/>
    <x v="71"/>
    <n v="10"/>
    <s v="Company J"/>
    <x v="1"/>
    <x v="1"/>
    <s v="California"/>
    <x v="0"/>
    <n v="399"/>
    <n v="3"/>
    <n v="1197"/>
    <n v="4"/>
  </r>
  <r>
    <s v="0589"/>
    <x v="72"/>
    <n v="5"/>
    <s v="Company E"/>
    <x v="2"/>
    <x v="0"/>
    <s v="Texas"/>
    <x v="0"/>
    <n v="399"/>
    <n v="3"/>
    <n v="1197"/>
    <n v="2"/>
  </r>
  <r>
    <s v="0596"/>
    <x v="73"/>
    <n v="11"/>
    <s v="Company K"/>
    <x v="5"/>
    <x v="1"/>
    <s v="New Mexico"/>
    <x v="0"/>
    <n v="399"/>
    <n v="9"/>
    <n v="3591"/>
    <n v="6"/>
  </r>
  <r>
    <s v="0598"/>
    <x v="74"/>
    <n v="10"/>
    <s v="Company J"/>
    <x v="7"/>
    <x v="3"/>
    <s v="California"/>
    <x v="0"/>
    <n v="399"/>
    <n v="9"/>
    <n v="3591"/>
    <n v="8"/>
  </r>
  <r>
    <s v="0607"/>
    <x v="75"/>
    <n v="20"/>
    <s v="Company T"/>
    <x v="6"/>
    <x v="0"/>
    <s v="Arizona"/>
    <x v="0"/>
    <n v="399"/>
    <n v="7"/>
    <n v="2793"/>
    <n v="5"/>
  </r>
  <r>
    <s v="0618"/>
    <x v="76"/>
    <n v="19"/>
    <s v="Company S"/>
    <x v="0"/>
    <x v="0"/>
    <s v="Arizona"/>
    <x v="0"/>
    <n v="399"/>
    <n v="0"/>
    <n v="0"/>
    <n v="3"/>
  </r>
  <r>
    <s v="0625"/>
    <x v="77"/>
    <n v="17"/>
    <s v="Company Q"/>
    <x v="6"/>
    <x v="0"/>
    <s v="Arizona"/>
    <x v="0"/>
    <n v="399"/>
    <n v="8"/>
    <n v="3192"/>
    <n v="5"/>
  </r>
  <r>
    <s v="0628"/>
    <x v="77"/>
    <n v="14"/>
    <s v="Company N"/>
    <x v="3"/>
    <x v="2"/>
    <s v="New Mexico"/>
    <x v="0"/>
    <n v="399"/>
    <n v="5"/>
    <n v="1995"/>
    <n v="5"/>
  </r>
  <r>
    <s v="0634"/>
    <x v="78"/>
    <n v="5"/>
    <s v="Company E"/>
    <x v="2"/>
    <x v="0"/>
    <s v="Texas"/>
    <x v="0"/>
    <n v="399"/>
    <n v="0"/>
    <n v="0"/>
    <n v="2"/>
  </r>
  <r>
    <s v="0639"/>
    <x v="79"/>
    <n v="16"/>
    <s v="Company P"/>
    <x v="6"/>
    <x v="0"/>
    <s v="Arizona"/>
    <x v="0"/>
    <n v="399"/>
    <n v="3"/>
    <n v="1197"/>
    <n v="5"/>
  </r>
  <r>
    <s v="0641"/>
    <x v="80"/>
    <n v="10"/>
    <s v="Company J"/>
    <x v="1"/>
    <x v="1"/>
    <s v="California"/>
    <x v="0"/>
    <n v="399"/>
    <n v="7"/>
    <n v="2793"/>
    <n v="4"/>
  </r>
  <r>
    <s v="0642"/>
    <x v="81"/>
    <n v="10"/>
    <s v="Company J"/>
    <x v="1"/>
    <x v="1"/>
    <s v="California"/>
    <x v="0"/>
    <n v="399"/>
    <n v="9"/>
    <n v="3591"/>
    <n v="4"/>
  </r>
  <r>
    <s v="0643"/>
    <x v="81"/>
    <n v="13"/>
    <s v="Company M"/>
    <x v="3"/>
    <x v="2"/>
    <s v="New Mexico"/>
    <x v="0"/>
    <n v="399"/>
    <n v="8"/>
    <n v="3192"/>
    <n v="5"/>
  </r>
  <r>
    <s v="0649"/>
    <x v="82"/>
    <n v="8"/>
    <s v="Company H"/>
    <x v="1"/>
    <x v="1"/>
    <s v="California"/>
    <x v="0"/>
    <n v="399"/>
    <n v="5"/>
    <n v="1995"/>
    <n v="4"/>
  </r>
  <r>
    <s v="0664"/>
    <x v="83"/>
    <n v="14"/>
    <s v="Company N"/>
    <x v="5"/>
    <x v="1"/>
    <s v="New Mexico"/>
    <x v="0"/>
    <n v="399"/>
    <n v="5"/>
    <n v="1995"/>
    <n v="6"/>
  </r>
  <r>
    <s v="0665"/>
    <x v="84"/>
    <n v="1"/>
    <s v="Company A"/>
    <x v="2"/>
    <x v="0"/>
    <s v="Texas"/>
    <x v="0"/>
    <n v="399"/>
    <n v="8"/>
    <n v="3192"/>
    <n v="2"/>
  </r>
  <r>
    <s v="0669"/>
    <x v="85"/>
    <n v="9"/>
    <s v="Company I"/>
    <x v="7"/>
    <x v="3"/>
    <s v="California"/>
    <x v="0"/>
    <n v="399"/>
    <n v="6"/>
    <n v="2394"/>
    <n v="8"/>
  </r>
  <r>
    <s v="0671"/>
    <x v="85"/>
    <n v="13"/>
    <s v="Company M"/>
    <x v="3"/>
    <x v="2"/>
    <s v="New Mexico"/>
    <x v="0"/>
    <n v="399"/>
    <n v="1"/>
    <n v="399"/>
    <n v="5"/>
  </r>
  <r>
    <s v="0690"/>
    <x v="86"/>
    <n v="5"/>
    <s v="Company E"/>
    <x v="2"/>
    <x v="0"/>
    <s v="Texas"/>
    <x v="0"/>
    <n v="399"/>
    <n v="5"/>
    <n v="1995"/>
    <n v="2"/>
  </r>
  <r>
    <s v="0723"/>
    <x v="87"/>
    <n v="8"/>
    <s v="Company H"/>
    <x v="1"/>
    <x v="1"/>
    <s v="California"/>
    <x v="0"/>
    <n v="399"/>
    <n v="2"/>
    <n v="798"/>
    <n v="4"/>
  </r>
  <r>
    <s v="0730"/>
    <x v="88"/>
    <n v="18"/>
    <s v="Company R"/>
    <x v="0"/>
    <x v="0"/>
    <s v="Arizona"/>
    <x v="0"/>
    <n v="399"/>
    <n v="4"/>
    <n v="1596"/>
    <n v="3"/>
  </r>
  <r>
    <s v="0731"/>
    <x v="88"/>
    <n v="13"/>
    <s v="Company M"/>
    <x v="3"/>
    <x v="2"/>
    <s v="New Mexico"/>
    <x v="0"/>
    <n v="399"/>
    <n v="4"/>
    <n v="1596"/>
    <n v="5"/>
  </r>
  <r>
    <s v="0735"/>
    <x v="89"/>
    <n v="3"/>
    <s v="Company C"/>
    <x v="4"/>
    <x v="2"/>
    <s v="Texas"/>
    <x v="0"/>
    <n v="399"/>
    <n v="0"/>
    <n v="0"/>
    <n v="2"/>
  </r>
  <r>
    <s v="0738"/>
    <x v="90"/>
    <n v="8"/>
    <s v="Company H"/>
    <x v="7"/>
    <x v="3"/>
    <s v="California"/>
    <x v="0"/>
    <n v="399"/>
    <n v="7"/>
    <n v="2793"/>
    <n v="8"/>
  </r>
  <r>
    <s v="0745"/>
    <x v="91"/>
    <n v="8"/>
    <s v="Company H"/>
    <x v="7"/>
    <x v="3"/>
    <s v="California"/>
    <x v="0"/>
    <n v="399"/>
    <n v="0"/>
    <n v="0"/>
    <n v="8"/>
  </r>
  <r>
    <s v="0752"/>
    <x v="92"/>
    <n v="8"/>
    <s v="Company H"/>
    <x v="1"/>
    <x v="1"/>
    <s v="California"/>
    <x v="0"/>
    <n v="399"/>
    <n v="1"/>
    <n v="399"/>
    <n v="4"/>
  </r>
  <r>
    <s v="0753"/>
    <x v="92"/>
    <n v="5"/>
    <s v="Company E"/>
    <x v="2"/>
    <x v="0"/>
    <s v="Texas"/>
    <x v="0"/>
    <n v="399"/>
    <n v="6"/>
    <n v="2394"/>
    <n v="2"/>
  </r>
  <r>
    <s v="0756"/>
    <x v="93"/>
    <n v="17"/>
    <s v="Company Q"/>
    <x v="6"/>
    <x v="0"/>
    <s v="Arizona"/>
    <x v="0"/>
    <n v="399"/>
    <n v="6"/>
    <n v="2394"/>
    <n v="5"/>
  </r>
  <r>
    <s v="0758"/>
    <x v="93"/>
    <n v="10"/>
    <s v="Company J"/>
    <x v="1"/>
    <x v="1"/>
    <s v="California"/>
    <x v="0"/>
    <n v="399"/>
    <n v="4"/>
    <n v="1596"/>
    <n v="4"/>
  </r>
  <r>
    <s v="0760"/>
    <x v="94"/>
    <n v="19"/>
    <s v="Company S"/>
    <x v="0"/>
    <x v="0"/>
    <s v="Arizona"/>
    <x v="0"/>
    <n v="399"/>
    <n v="6"/>
    <n v="2394"/>
    <n v="3"/>
  </r>
  <r>
    <s v="0764"/>
    <x v="95"/>
    <n v="8"/>
    <s v="Company H"/>
    <x v="1"/>
    <x v="1"/>
    <s v="California"/>
    <x v="0"/>
    <n v="399"/>
    <n v="2"/>
    <n v="798"/>
    <n v="4"/>
  </r>
  <r>
    <s v="0766"/>
    <x v="95"/>
    <n v="14"/>
    <s v="Company N"/>
    <x v="5"/>
    <x v="1"/>
    <s v="New Mexico"/>
    <x v="0"/>
    <n v="399"/>
    <n v="9"/>
    <n v="3591"/>
    <n v="6"/>
  </r>
  <r>
    <s v="0769"/>
    <x v="96"/>
    <n v="7"/>
    <s v="Company G"/>
    <x v="7"/>
    <x v="3"/>
    <s v="California"/>
    <x v="0"/>
    <n v="399"/>
    <n v="6"/>
    <n v="2394"/>
    <n v="8"/>
  </r>
  <r>
    <s v="0770"/>
    <x v="96"/>
    <n v="11"/>
    <s v="Company K"/>
    <x v="3"/>
    <x v="2"/>
    <s v="New Mexico"/>
    <x v="0"/>
    <n v="399"/>
    <n v="0"/>
    <n v="0"/>
    <n v="5"/>
  </r>
  <r>
    <s v="0775"/>
    <x v="97"/>
    <n v="13"/>
    <s v="Company M"/>
    <x v="5"/>
    <x v="1"/>
    <s v="New Mexico"/>
    <x v="0"/>
    <n v="399"/>
    <n v="1"/>
    <n v="399"/>
    <n v="6"/>
  </r>
  <r>
    <s v="0776"/>
    <x v="98"/>
    <n v="17"/>
    <s v="Company Q"/>
    <x v="0"/>
    <x v="0"/>
    <s v="Arizona"/>
    <x v="0"/>
    <n v="399"/>
    <n v="2"/>
    <n v="798"/>
    <n v="3"/>
  </r>
  <r>
    <s v="0777"/>
    <x v="98"/>
    <n v="4"/>
    <s v="Company D"/>
    <x v="4"/>
    <x v="2"/>
    <s v="Texas"/>
    <x v="0"/>
    <n v="399"/>
    <n v="3"/>
    <n v="1197"/>
    <n v="2"/>
  </r>
  <r>
    <s v="0780"/>
    <x v="98"/>
    <n v="7"/>
    <s v="Company G"/>
    <x v="7"/>
    <x v="3"/>
    <s v="California"/>
    <x v="0"/>
    <n v="399"/>
    <n v="8"/>
    <n v="3192"/>
    <n v="8"/>
  </r>
  <r>
    <s v="0783"/>
    <x v="99"/>
    <n v="8"/>
    <s v="Company H"/>
    <x v="7"/>
    <x v="3"/>
    <s v="California"/>
    <x v="0"/>
    <n v="399"/>
    <n v="3"/>
    <n v="1197"/>
    <n v="8"/>
  </r>
  <r>
    <s v="0785"/>
    <x v="99"/>
    <n v="5"/>
    <s v="Company E"/>
    <x v="4"/>
    <x v="2"/>
    <s v="Texas"/>
    <x v="0"/>
    <n v="399"/>
    <n v="6"/>
    <n v="2394"/>
    <n v="2"/>
  </r>
  <r>
    <s v="0791"/>
    <x v="100"/>
    <n v="18"/>
    <s v="Company R"/>
    <x v="6"/>
    <x v="0"/>
    <s v="Arizona"/>
    <x v="0"/>
    <n v="399"/>
    <n v="3"/>
    <n v="1197"/>
    <n v="5"/>
  </r>
  <r>
    <s v="0793"/>
    <x v="101"/>
    <n v="10"/>
    <s v="Company J"/>
    <x v="1"/>
    <x v="1"/>
    <s v="California"/>
    <x v="0"/>
    <n v="399"/>
    <n v="3"/>
    <n v="1197"/>
    <n v="4"/>
  </r>
  <r>
    <s v="0799"/>
    <x v="102"/>
    <n v="16"/>
    <s v="Company P"/>
    <x v="0"/>
    <x v="0"/>
    <s v="Arizona"/>
    <x v="0"/>
    <n v="399"/>
    <n v="5"/>
    <n v="1995"/>
    <n v="3"/>
  </r>
  <r>
    <s v="0802"/>
    <x v="102"/>
    <n v="6"/>
    <s v="Company F"/>
    <x v="1"/>
    <x v="1"/>
    <s v="California"/>
    <x v="0"/>
    <n v="399"/>
    <n v="8"/>
    <n v="3192"/>
    <n v="4"/>
  </r>
  <r>
    <s v="0805"/>
    <x v="103"/>
    <n v="19"/>
    <s v="Company S"/>
    <x v="0"/>
    <x v="0"/>
    <s v="Arizona"/>
    <x v="0"/>
    <n v="399"/>
    <n v="7"/>
    <n v="2793"/>
    <n v="3"/>
  </r>
  <r>
    <s v="0806"/>
    <x v="103"/>
    <n v="5"/>
    <s v="Company E"/>
    <x v="2"/>
    <x v="0"/>
    <s v="Texas"/>
    <x v="0"/>
    <n v="399"/>
    <n v="6"/>
    <n v="2394"/>
    <n v="2"/>
  </r>
  <r>
    <s v="0812"/>
    <x v="104"/>
    <n v="16"/>
    <s v="Company P"/>
    <x v="0"/>
    <x v="0"/>
    <s v="Arizona"/>
    <x v="0"/>
    <n v="399"/>
    <n v="1"/>
    <n v="399"/>
    <n v="3"/>
  </r>
  <r>
    <s v="0816"/>
    <x v="105"/>
    <n v="15"/>
    <s v="Company O"/>
    <x v="5"/>
    <x v="1"/>
    <s v="New Mexico"/>
    <x v="0"/>
    <n v="399"/>
    <n v="4"/>
    <n v="1596"/>
    <n v="6"/>
  </r>
  <r>
    <s v="0818"/>
    <x v="106"/>
    <n v="13"/>
    <s v="Company M"/>
    <x v="3"/>
    <x v="2"/>
    <s v="New Mexico"/>
    <x v="0"/>
    <n v="399"/>
    <n v="3"/>
    <n v="1197"/>
    <n v="5"/>
  </r>
  <r>
    <s v="0822"/>
    <x v="107"/>
    <n v="19"/>
    <s v="Company S"/>
    <x v="6"/>
    <x v="0"/>
    <s v="Arizona"/>
    <x v="0"/>
    <n v="399"/>
    <n v="4"/>
    <n v="1596"/>
    <n v="5"/>
  </r>
  <r>
    <s v="0825"/>
    <x v="108"/>
    <n v="20"/>
    <s v="Company T"/>
    <x v="0"/>
    <x v="0"/>
    <s v="Arizona"/>
    <x v="0"/>
    <n v="399"/>
    <n v="9"/>
    <n v="3591"/>
    <n v="3"/>
  </r>
  <r>
    <s v="0830"/>
    <x v="109"/>
    <n v="1"/>
    <s v="Company A"/>
    <x v="2"/>
    <x v="0"/>
    <s v="Texas"/>
    <x v="0"/>
    <n v="399"/>
    <n v="6"/>
    <n v="2394"/>
    <n v="2"/>
  </r>
  <r>
    <s v="0833"/>
    <x v="110"/>
    <n v="16"/>
    <s v="Company P"/>
    <x v="0"/>
    <x v="0"/>
    <s v="Arizona"/>
    <x v="0"/>
    <n v="399"/>
    <n v="9"/>
    <n v="3591"/>
    <n v="3"/>
  </r>
  <r>
    <s v="0835"/>
    <x v="110"/>
    <n v="19"/>
    <s v="Company S"/>
    <x v="0"/>
    <x v="0"/>
    <s v="Arizona"/>
    <x v="0"/>
    <n v="399"/>
    <n v="2"/>
    <n v="798"/>
    <n v="3"/>
  </r>
  <r>
    <s v="0838"/>
    <x v="111"/>
    <n v="7"/>
    <s v="Company G"/>
    <x v="1"/>
    <x v="1"/>
    <s v="California"/>
    <x v="0"/>
    <n v="399"/>
    <n v="3"/>
    <n v="1197"/>
    <n v="4"/>
  </r>
  <r>
    <s v="0852"/>
    <x v="112"/>
    <n v="6"/>
    <s v="Company F"/>
    <x v="1"/>
    <x v="1"/>
    <s v="California"/>
    <x v="0"/>
    <n v="399"/>
    <n v="9"/>
    <n v="3591"/>
    <n v="4"/>
  </r>
  <r>
    <s v="0853"/>
    <x v="112"/>
    <n v="14"/>
    <s v="Company N"/>
    <x v="5"/>
    <x v="1"/>
    <s v="New Mexico"/>
    <x v="0"/>
    <n v="399"/>
    <n v="4"/>
    <n v="1596"/>
    <n v="6"/>
  </r>
  <r>
    <s v="0861"/>
    <x v="113"/>
    <n v="14"/>
    <s v="Company N"/>
    <x v="3"/>
    <x v="2"/>
    <s v="New Mexico"/>
    <x v="0"/>
    <n v="399"/>
    <n v="2"/>
    <n v="798"/>
    <n v="5"/>
  </r>
  <r>
    <s v="0869"/>
    <x v="114"/>
    <n v="14"/>
    <s v="Company N"/>
    <x v="5"/>
    <x v="1"/>
    <s v="New Mexico"/>
    <x v="0"/>
    <n v="399"/>
    <n v="3"/>
    <n v="1197"/>
    <n v="6"/>
  </r>
  <r>
    <s v="0881"/>
    <x v="115"/>
    <n v="9"/>
    <s v="Company I"/>
    <x v="7"/>
    <x v="3"/>
    <s v="California"/>
    <x v="0"/>
    <n v="399"/>
    <n v="7"/>
    <n v="2793"/>
    <n v="8"/>
  </r>
  <r>
    <s v="0897"/>
    <x v="116"/>
    <n v="4"/>
    <s v="Company D"/>
    <x v="2"/>
    <x v="0"/>
    <s v="Texas"/>
    <x v="0"/>
    <n v="399"/>
    <n v="0"/>
    <n v="0"/>
    <n v="2"/>
  </r>
  <r>
    <s v="0901"/>
    <x v="117"/>
    <n v="15"/>
    <s v="Company O"/>
    <x v="3"/>
    <x v="2"/>
    <s v="New Mexico"/>
    <x v="0"/>
    <n v="399"/>
    <n v="7"/>
    <n v="2793"/>
    <n v="5"/>
  </r>
  <r>
    <s v="0902"/>
    <x v="118"/>
    <n v="13"/>
    <s v="Company M"/>
    <x v="3"/>
    <x v="2"/>
    <s v="New Mexico"/>
    <x v="0"/>
    <n v="399"/>
    <n v="4"/>
    <n v="1596"/>
    <n v="5"/>
  </r>
  <r>
    <s v="0919"/>
    <x v="119"/>
    <n v="14"/>
    <s v="Company N"/>
    <x v="5"/>
    <x v="1"/>
    <s v="New Mexico"/>
    <x v="0"/>
    <n v="399"/>
    <n v="9"/>
    <n v="3591"/>
    <n v="6"/>
  </r>
  <r>
    <s v="0921"/>
    <x v="120"/>
    <n v="17"/>
    <s v="Company Q"/>
    <x v="6"/>
    <x v="0"/>
    <s v="Arizona"/>
    <x v="0"/>
    <n v="399"/>
    <n v="6"/>
    <n v="2394"/>
    <n v="5"/>
  </r>
  <r>
    <s v="0931"/>
    <x v="121"/>
    <n v="17"/>
    <s v="Company Q"/>
    <x v="0"/>
    <x v="0"/>
    <s v="Arizona"/>
    <x v="0"/>
    <n v="399"/>
    <n v="0"/>
    <n v="0"/>
    <n v="3"/>
  </r>
  <r>
    <s v="0938"/>
    <x v="122"/>
    <n v="10"/>
    <s v="Company J"/>
    <x v="7"/>
    <x v="3"/>
    <s v="California"/>
    <x v="0"/>
    <n v="399"/>
    <n v="0"/>
    <n v="0"/>
    <n v="8"/>
  </r>
  <r>
    <s v="0942"/>
    <x v="122"/>
    <n v="1"/>
    <s v="Company A"/>
    <x v="2"/>
    <x v="0"/>
    <s v="Texas"/>
    <x v="0"/>
    <n v="399"/>
    <n v="8"/>
    <n v="3192"/>
    <n v="2"/>
  </r>
  <r>
    <s v="0944"/>
    <x v="123"/>
    <n v="4"/>
    <s v="Company D"/>
    <x v="4"/>
    <x v="2"/>
    <s v="Texas"/>
    <x v="0"/>
    <n v="399"/>
    <n v="1"/>
    <n v="399"/>
    <n v="2"/>
  </r>
  <r>
    <s v="0949"/>
    <x v="124"/>
    <n v="6"/>
    <s v="Company F"/>
    <x v="1"/>
    <x v="1"/>
    <s v="California"/>
    <x v="0"/>
    <n v="399"/>
    <n v="5"/>
    <n v="1995"/>
    <n v="4"/>
  </r>
  <r>
    <s v="0952"/>
    <x v="125"/>
    <n v="6"/>
    <s v="Company F"/>
    <x v="1"/>
    <x v="1"/>
    <s v="California"/>
    <x v="0"/>
    <n v="399"/>
    <n v="7"/>
    <n v="2793"/>
    <n v="4"/>
  </r>
  <r>
    <s v="0958"/>
    <x v="126"/>
    <n v="9"/>
    <s v="Company I"/>
    <x v="7"/>
    <x v="3"/>
    <s v="California"/>
    <x v="0"/>
    <n v="399"/>
    <n v="2"/>
    <n v="798"/>
    <n v="8"/>
  </r>
  <r>
    <s v="0964"/>
    <x v="126"/>
    <n v="7"/>
    <s v="Company G"/>
    <x v="7"/>
    <x v="3"/>
    <s v="California"/>
    <x v="0"/>
    <n v="399"/>
    <n v="2"/>
    <n v="798"/>
    <n v="8"/>
  </r>
  <r>
    <s v="0967"/>
    <x v="127"/>
    <n v="14"/>
    <s v="Company N"/>
    <x v="5"/>
    <x v="1"/>
    <s v="New Mexico"/>
    <x v="0"/>
    <n v="399"/>
    <n v="1"/>
    <n v="399"/>
    <n v="6"/>
  </r>
  <r>
    <s v="0970"/>
    <x v="128"/>
    <n v="7"/>
    <s v="Company G"/>
    <x v="1"/>
    <x v="1"/>
    <s v="California"/>
    <x v="0"/>
    <n v="399"/>
    <n v="0"/>
    <n v="0"/>
    <n v="4"/>
  </r>
  <r>
    <s v="0973"/>
    <x v="129"/>
    <n v="13"/>
    <s v="Company M"/>
    <x v="3"/>
    <x v="2"/>
    <s v="New Mexico"/>
    <x v="0"/>
    <n v="399"/>
    <n v="0"/>
    <n v="0"/>
    <n v="5"/>
  </r>
  <r>
    <s v="0981"/>
    <x v="130"/>
    <n v="2"/>
    <s v="Company B"/>
    <x v="2"/>
    <x v="0"/>
    <s v="Texas"/>
    <x v="0"/>
    <n v="399"/>
    <n v="4"/>
    <n v="1596"/>
    <n v="2"/>
  </r>
  <r>
    <s v="0983"/>
    <x v="131"/>
    <n v="18"/>
    <s v="Company R"/>
    <x v="0"/>
    <x v="0"/>
    <s v="Arizona"/>
    <x v="0"/>
    <n v="399"/>
    <n v="9"/>
    <n v="3591"/>
    <n v="3"/>
  </r>
  <r>
    <s v="0991"/>
    <x v="132"/>
    <n v="18"/>
    <s v="Company R"/>
    <x v="6"/>
    <x v="0"/>
    <s v="Arizona"/>
    <x v="0"/>
    <n v="399"/>
    <n v="9"/>
    <n v="3591"/>
    <n v="5"/>
  </r>
  <r>
    <s v="0993"/>
    <x v="133"/>
    <n v="10"/>
    <s v="Company J"/>
    <x v="1"/>
    <x v="1"/>
    <s v="California"/>
    <x v="0"/>
    <n v="399"/>
    <n v="6"/>
    <n v="2394"/>
    <n v="4"/>
  </r>
  <r>
    <s v="1009"/>
    <x v="134"/>
    <n v="8"/>
    <s v="Company H"/>
    <x v="7"/>
    <x v="3"/>
    <s v="California"/>
    <x v="0"/>
    <n v="399"/>
    <n v="0"/>
    <n v="0"/>
    <n v="8"/>
  </r>
  <r>
    <s v="1015"/>
    <x v="135"/>
    <n v="5"/>
    <s v="Company E"/>
    <x v="2"/>
    <x v="0"/>
    <s v="Texas"/>
    <x v="0"/>
    <n v="399"/>
    <n v="2"/>
    <n v="798"/>
    <n v="2"/>
  </r>
  <r>
    <s v="1018"/>
    <x v="135"/>
    <n v="5"/>
    <s v="Company E"/>
    <x v="4"/>
    <x v="2"/>
    <s v="Texas"/>
    <x v="0"/>
    <n v="399"/>
    <n v="1"/>
    <n v="399"/>
    <n v="2"/>
  </r>
  <r>
    <s v="1019"/>
    <x v="136"/>
    <n v="5"/>
    <s v="Company E"/>
    <x v="4"/>
    <x v="2"/>
    <s v="Texas"/>
    <x v="0"/>
    <n v="399"/>
    <n v="8"/>
    <n v="3192"/>
    <n v="2"/>
  </r>
  <r>
    <s v="1021"/>
    <x v="137"/>
    <n v="16"/>
    <s v="Company P"/>
    <x v="6"/>
    <x v="0"/>
    <s v="Arizona"/>
    <x v="0"/>
    <n v="399"/>
    <n v="3"/>
    <n v="1197"/>
    <n v="5"/>
  </r>
  <r>
    <s v="1023"/>
    <x v="138"/>
    <n v="5"/>
    <s v="Company E"/>
    <x v="4"/>
    <x v="2"/>
    <s v="Texas"/>
    <x v="0"/>
    <n v="399"/>
    <n v="6"/>
    <n v="2394"/>
    <n v="2"/>
  </r>
  <r>
    <s v="1029"/>
    <x v="138"/>
    <n v="8"/>
    <s v="Company H"/>
    <x v="7"/>
    <x v="3"/>
    <s v="California"/>
    <x v="0"/>
    <n v="399"/>
    <n v="9"/>
    <n v="3591"/>
    <n v="8"/>
  </r>
  <r>
    <s v="1030"/>
    <x v="138"/>
    <n v="7"/>
    <s v="Company G"/>
    <x v="7"/>
    <x v="3"/>
    <s v="California"/>
    <x v="0"/>
    <n v="399"/>
    <n v="5"/>
    <n v="1995"/>
    <n v="8"/>
  </r>
  <r>
    <s v="1031"/>
    <x v="138"/>
    <n v="10"/>
    <s v="Company J"/>
    <x v="1"/>
    <x v="1"/>
    <s v="California"/>
    <x v="0"/>
    <n v="399"/>
    <n v="0"/>
    <n v="0"/>
    <n v="4"/>
  </r>
  <r>
    <s v="1034"/>
    <x v="139"/>
    <n v="3"/>
    <s v="Company C"/>
    <x v="2"/>
    <x v="0"/>
    <s v="Texas"/>
    <x v="0"/>
    <n v="399"/>
    <n v="2"/>
    <n v="798"/>
    <n v="2"/>
  </r>
  <r>
    <s v="1035"/>
    <x v="139"/>
    <n v="4"/>
    <s v="Company D"/>
    <x v="2"/>
    <x v="0"/>
    <s v="Texas"/>
    <x v="0"/>
    <n v="399"/>
    <n v="6"/>
    <n v="2394"/>
    <n v="2"/>
  </r>
  <r>
    <s v="1036"/>
    <x v="139"/>
    <n v="13"/>
    <s v="Company M"/>
    <x v="3"/>
    <x v="2"/>
    <s v="New Mexico"/>
    <x v="0"/>
    <n v="399"/>
    <n v="9"/>
    <n v="3591"/>
    <n v="5"/>
  </r>
  <r>
    <s v="1044"/>
    <x v="140"/>
    <n v="9"/>
    <s v="Company I"/>
    <x v="1"/>
    <x v="1"/>
    <s v="California"/>
    <x v="0"/>
    <n v="399"/>
    <n v="1"/>
    <n v="399"/>
    <n v="4"/>
  </r>
  <r>
    <s v="1045"/>
    <x v="140"/>
    <n v="11"/>
    <s v="Company K"/>
    <x v="5"/>
    <x v="1"/>
    <s v="New Mexico"/>
    <x v="0"/>
    <n v="399"/>
    <n v="3"/>
    <n v="1197"/>
    <n v="6"/>
  </r>
  <r>
    <s v="1046"/>
    <x v="141"/>
    <n v="4"/>
    <s v="Company D"/>
    <x v="4"/>
    <x v="2"/>
    <s v="Texas"/>
    <x v="0"/>
    <n v="399"/>
    <n v="5"/>
    <n v="1995"/>
    <n v="2"/>
  </r>
  <r>
    <s v="1049"/>
    <x v="142"/>
    <n v="2"/>
    <s v="Company B"/>
    <x v="2"/>
    <x v="0"/>
    <s v="Texas"/>
    <x v="0"/>
    <n v="399"/>
    <n v="8"/>
    <n v="3192"/>
    <n v="2"/>
  </r>
  <r>
    <s v="1050"/>
    <x v="142"/>
    <n v="4"/>
    <s v="Company D"/>
    <x v="4"/>
    <x v="2"/>
    <s v="Texas"/>
    <x v="0"/>
    <n v="399"/>
    <n v="6"/>
    <n v="2394"/>
    <n v="2"/>
  </r>
  <r>
    <s v="1058"/>
    <x v="143"/>
    <n v="9"/>
    <s v="Company I"/>
    <x v="1"/>
    <x v="1"/>
    <s v="California"/>
    <x v="0"/>
    <n v="399"/>
    <n v="6"/>
    <n v="2394"/>
    <n v="4"/>
  </r>
  <r>
    <s v="1061"/>
    <x v="144"/>
    <n v="8"/>
    <s v="Company H"/>
    <x v="1"/>
    <x v="1"/>
    <s v="California"/>
    <x v="0"/>
    <n v="399"/>
    <n v="5"/>
    <n v="1995"/>
    <n v="4"/>
  </r>
  <r>
    <s v="1063"/>
    <x v="145"/>
    <n v="7"/>
    <s v="Company G"/>
    <x v="1"/>
    <x v="1"/>
    <s v="California"/>
    <x v="0"/>
    <n v="399"/>
    <n v="3"/>
    <n v="1197"/>
    <n v="4"/>
  </r>
  <r>
    <s v="1067"/>
    <x v="146"/>
    <n v="16"/>
    <s v="Company P"/>
    <x v="0"/>
    <x v="0"/>
    <s v="Arizona"/>
    <x v="0"/>
    <n v="399"/>
    <n v="0"/>
    <n v="0"/>
    <n v="3"/>
  </r>
  <r>
    <s v="1068"/>
    <x v="147"/>
    <n v="5"/>
    <s v="Company E"/>
    <x v="4"/>
    <x v="2"/>
    <s v="Texas"/>
    <x v="0"/>
    <n v="399"/>
    <n v="4"/>
    <n v="1596"/>
    <n v="2"/>
  </r>
  <r>
    <s v="1089"/>
    <x v="148"/>
    <n v="1"/>
    <s v="Company A"/>
    <x v="2"/>
    <x v="0"/>
    <s v="Texas"/>
    <x v="0"/>
    <n v="399"/>
    <n v="1"/>
    <n v="399"/>
    <n v="2"/>
  </r>
  <r>
    <s v="1096"/>
    <x v="149"/>
    <n v="12"/>
    <s v="Company L"/>
    <x v="3"/>
    <x v="2"/>
    <s v="New Mexico"/>
    <x v="0"/>
    <n v="399"/>
    <n v="5"/>
    <n v="1995"/>
    <n v="5"/>
  </r>
  <r>
    <s v="1102"/>
    <x v="150"/>
    <n v="12"/>
    <s v="Company L"/>
    <x v="3"/>
    <x v="2"/>
    <s v="New Mexico"/>
    <x v="0"/>
    <n v="399"/>
    <n v="3"/>
    <n v="1197"/>
    <n v="5"/>
  </r>
  <r>
    <s v="1103"/>
    <x v="150"/>
    <n v="5"/>
    <s v="Company E"/>
    <x v="4"/>
    <x v="2"/>
    <s v="Texas"/>
    <x v="0"/>
    <n v="399"/>
    <n v="0"/>
    <n v="0"/>
    <n v="2"/>
  </r>
  <r>
    <s v="1108"/>
    <x v="150"/>
    <n v="14"/>
    <s v="Company N"/>
    <x v="3"/>
    <x v="2"/>
    <s v="New Mexico"/>
    <x v="0"/>
    <n v="399"/>
    <n v="5"/>
    <n v="1995"/>
    <n v="5"/>
  </r>
  <r>
    <s v="1111"/>
    <x v="151"/>
    <n v="4"/>
    <s v="Company D"/>
    <x v="2"/>
    <x v="0"/>
    <s v="Texas"/>
    <x v="0"/>
    <n v="399"/>
    <n v="8"/>
    <n v="3192"/>
    <n v="2"/>
  </r>
  <r>
    <s v="1118"/>
    <x v="151"/>
    <n v="18"/>
    <s v="Company R"/>
    <x v="6"/>
    <x v="0"/>
    <s v="Arizona"/>
    <x v="0"/>
    <n v="399"/>
    <n v="7"/>
    <n v="2793"/>
    <n v="5"/>
  </r>
  <r>
    <s v="1121"/>
    <x v="152"/>
    <n v="14"/>
    <s v="Company N"/>
    <x v="5"/>
    <x v="1"/>
    <s v="New Mexico"/>
    <x v="0"/>
    <n v="399"/>
    <n v="7"/>
    <n v="2793"/>
    <n v="6"/>
  </r>
  <r>
    <s v="1128"/>
    <x v="153"/>
    <n v="9"/>
    <s v="Company I"/>
    <x v="1"/>
    <x v="1"/>
    <s v="California"/>
    <x v="0"/>
    <n v="399"/>
    <n v="2"/>
    <n v="798"/>
    <n v="4"/>
  </r>
  <r>
    <s v="1142"/>
    <x v="154"/>
    <n v="16"/>
    <s v="Company P"/>
    <x v="6"/>
    <x v="0"/>
    <s v="Arizona"/>
    <x v="0"/>
    <n v="399"/>
    <n v="8"/>
    <n v="3192"/>
    <n v="5"/>
  </r>
  <r>
    <s v="1144"/>
    <x v="155"/>
    <n v="11"/>
    <s v="Company K"/>
    <x v="3"/>
    <x v="2"/>
    <s v="New Mexico"/>
    <x v="0"/>
    <n v="399"/>
    <n v="2"/>
    <n v="798"/>
    <n v="5"/>
  </r>
  <r>
    <s v="1145"/>
    <x v="156"/>
    <n v="12"/>
    <s v="Company L"/>
    <x v="3"/>
    <x v="2"/>
    <s v="New Mexico"/>
    <x v="0"/>
    <n v="399"/>
    <n v="8"/>
    <n v="3192"/>
    <n v="5"/>
  </r>
  <r>
    <s v="1147"/>
    <x v="157"/>
    <n v="20"/>
    <s v="Company T"/>
    <x v="0"/>
    <x v="0"/>
    <s v="Arizona"/>
    <x v="0"/>
    <n v="399"/>
    <n v="4"/>
    <n v="1596"/>
    <n v="3"/>
  </r>
  <r>
    <s v="1178"/>
    <x v="158"/>
    <n v="19"/>
    <s v="Company S"/>
    <x v="6"/>
    <x v="0"/>
    <s v="Arizona"/>
    <x v="0"/>
    <n v="399"/>
    <n v="5"/>
    <n v="1995"/>
    <n v="5"/>
  </r>
  <r>
    <s v="1179"/>
    <x v="158"/>
    <n v="10"/>
    <s v="Company J"/>
    <x v="1"/>
    <x v="1"/>
    <s v="California"/>
    <x v="0"/>
    <n v="399"/>
    <n v="7"/>
    <n v="2793"/>
    <n v="4"/>
  </r>
  <r>
    <s v="1181"/>
    <x v="158"/>
    <n v="11"/>
    <s v="Company K"/>
    <x v="5"/>
    <x v="1"/>
    <s v="New Mexico"/>
    <x v="0"/>
    <n v="399"/>
    <n v="4"/>
    <n v="1596"/>
    <n v="6"/>
  </r>
  <r>
    <s v="1183"/>
    <x v="159"/>
    <n v="3"/>
    <s v="Company C"/>
    <x v="4"/>
    <x v="2"/>
    <s v="Texas"/>
    <x v="0"/>
    <n v="399"/>
    <n v="7"/>
    <n v="2793"/>
    <n v="2"/>
  </r>
  <r>
    <s v="1187"/>
    <x v="159"/>
    <n v="4"/>
    <s v="Company D"/>
    <x v="4"/>
    <x v="2"/>
    <s v="Texas"/>
    <x v="0"/>
    <n v="399"/>
    <n v="2"/>
    <n v="798"/>
    <n v="2"/>
  </r>
  <r>
    <s v="1190"/>
    <x v="159"/>
    <n v="2"/>
    <s v="Company B"/>
    <x v="2"/>
    <x v="0"/>
    <s v="Texas"/>
    <x v="0"/>
    <n v="399"/>
    <n v="4"/>
    <n v="1596"/>
    <n v="2"/>
  </r>
  <r>
    <s v="1191"/>
    <x v="159"/>
    <n v="18"/>
    <s v="Company R"/>
    <x v="0"/>
    <x v="0"/>
    <s v="Arizona"/>
    <x v="0"/>
    <n v="399"/>
    <n v="1"/>
    <n v="399"/>
    <n v="3"/>
  </r>
  <r>
    <s v="1195"/>
    <x v="160"/>
    <n v="19"/>
    <s v="Company S"/>
    <x v="6"/>
    <x v="0"/>
    <s v="Arizona"/>
    <x v="0"/>
    <n v="399"/>
    <n v="8"/>
    <n v="3192"/>
    <n v="5"/>
  </r>
  <r>
    <s v="1203"/>
    <x v="161"/>
    <n v="14"/>
    <s v="Company N"/>
    <x v="3"/>
    <x v="2"/>
    <s v="New Mexico"/>
    <x v="0"/>
    <n v="399"/>
    <n v="2"/>
    <n v="798"/>
    <n v="5"/>
  </r>
  <r>
    <s v="1208"/>
    <x v="162"/>
    <n v="7"/>
    <s v="Company G"/>
    <x v="7"/>
    <x v="3"/>
    <s v="California"/>
    <x v="0"/>
    <n v="399"/>
    <n v="6"/>
    <n v="2394"/>
    <n v="8"/>
  </r>
  <r>
    <s v="1209"/>
    <x v="162"/>
    <n v="12"/>
    <s v="Company L"/>
    <x v="5"/>
    <x v="1"/>
    <s v="New Mexico"/>
    <x v="0"/>
    <n v="399"/>
    <n v="3"/>
    <n v="1197"/>
    <n v="6"/>
  </r>
  <r>
    <s v="1223"/>
    <x v="163"/>
    <n v="18"/>
    <s v="Company R"/>
    <x v="0"/>
    <x v="0"/>
    <s v="Arizona"/>
    <x v="0"/>
    <n v="399"/>
    <n v="9"/>
    <n v="3591"/>
    <n v="3"/>
  </r>
  <r>
    <s v="1225"/>
    <x v="164"/>
    <n v="7"/>
    <s v="Company G"/>
    <x v="1"/>
    <x v="1"/>
    <s v="California"/>
    <x v="0"/>
    <n v="399"/>
    <n v="8"/>
    <n v="3192"/>
    <n v="4"/>
  </r>
  <r>
    <s v="1226"/>
    <x v="164"/>
    <n v="1"/>
    <s v="Company A"/>
    <x v="4"/>
    <x v="2"/>
    <s v="Texas"/>
    <x v="0"/>
    <n v="399"/>
    <n v="4"/>
    <n v="1596"/>
    <n v="2"/>
  </r>
  <r>
    <s v="1227"/>
    <x v="164"/>
    <n v="10"/>
    <s v="Company J"/>
    <x v="7"/>
    <x v="3"/>
    <s v="California"/>
    <x v="0"/>
    <n v="399"/>
    <n v="4"/>
    <n v="1596"/>
    <n v="8"/>
  </r>
  <r>
    <s v="1230"/>
    <x v="165"/>
    <n v="3"/>
    <s v="Company C"/>
    <x v="2"/>
    <x v="0"/>
    <s v="Texas"/>
    <x v="0"/>
    <n v="399"/>
    <n v="5"/>
    <n v="1995"/>
    <n v="2"/>
  </r>
  <r>
    <s v="1237"/>
    <x v="166"/>
    <n v="2"/>
    <s v="Company B"/>
    <x v="4"/>
    <x v="2"/>
    <s v="Texas"/>
    <x v="0"/>
    <n v="399"/>
    <n v="7"/>
    <n v="2793"/>
    <n v="2"/>
  </r>
  <r>
    <s v="1249"/>
    <x v="167"/>
    <n v="9"/>
    <s v="Company I"/>
    <x v="1"/>
    <x v="1"/>
    <s v="California"/>
    <x v="0"/>
    <n v="399"/>
    <n v="7"/>
    <n v="2793"/>
    <n v="4"/>
  </r>
  <r>
    <s v="1255"/>
    <x v="168"/>
    <n v="14"/>
    <s v="Company N"/>
    <x v="3"/>
    <x v="2"/>
    <s v="New Mexico"/>
    <x v="0"/>
    <n v="399"/>
    <n v="4"/>
    <n v="1596"/>
    <n v="5"/>
  </r>
  <r>
    <s v="1256"/>
    <x v="168"/>
    <n v="8"/>
    <s v="Company H"/>
    <x v="7"/>
    <x v="3"/>
    <s v="California"/>
    <x v="0"/>
    <n v="399"/>
    <n v="9"/>
    <n v="3591"/>
    <n v="8"/>
  </r>
  <r>
    <s v="1259"/>
    <x v="169"/>
    <n v="7"/>
    <s v="Company G"/>
    <x v="7"/>
    <x v="3"/>
    <s v="California"/>
    <x v="0"/>
    <n v="399"/>
    <n v="5"/>
    <n v="1995"/>
    <n v="8"/>
  </r>
  <r>
    <s v="1263"/>
    <x v="170"/>
    <n v="20"/>
    <s v="Company T"/>
    <x v="6"/>
    <x v="0"/>
    <s v="Arizona"/>
    <x v="0"/>
    <n v="399"/>
    <n v="2"/>
    <n v="798"/>
    <n v="5"/>
  </r>
  <r>
    <s v="1264"/>
    <x v="171"/>
    <n v="10"/>
    <s v="Company J"/>
    <x v="7"/>
    <x v="3"/>
    <s v="California"/>
    <x v="0"/>
    <n v="399"/>
    <n v="5"/>
    <n v="1995"/>
    <n v="8"/>
  </r>
  <r>
    <s v="1269"/>
    <x v="172"/>
    <n v="13"/>
    <s v="Company M"/>
    <x v="3"/>
    <x v="2"/>
    <s v="New Mexico"/>
    <x v="0"/>
    <n v="399"/>
    <n v="6"/>
    <n v="2394"/>
    <n v="5"/>
  </r>
  <r>
    <s v="1275"/>
    <x v="173"/>
    <n v="8"/>
    <s v="Company H"/>
    <x v="1"/>
    <x v="1"/>
    <s v="California"/>
    <x v="0"/>
    <n v="399"/>
    <n v="7"/>
    <n v="2793"/>
    <n v="4"/>
  </r>
  <r>
    <s v="1276"/>
    <x v="173"/>
    <n v="14"/>
    <s v="Company N"/>
    <x v="5"/>
    <x v="1"/>
    <s v="New Mexico"/>
    <x v="0"/>
    <n v="399"/>
    <n v="9"/>
    <n v="3591"/>
    <n v="6"/>
  </r>
  <r>
    <s v="1277"/>
    <x v="174"/>
    <n v="9"/>
    <s v="Company I"/>
    <x v="7"/>
    <x v="3"/>
    <s v="California"/>
    <x v="0"/>
    <n v="399"/>
    <n v="5"/>
    <n v="1995"/>
    <n v="8"/>
  </r>
  <r>
    <s v="1278"/>
    <x v="174"/>
    <n v="3"/>
    <s v="Company C"/>
    <x v="4"/>
    <x v="2"/>
    <s v="Texas"/>
    <x v="0"/>
    <n v="399"/>
    <n v="7"/>
    <n v="2793"/>
    <n v="2"/>
  </r>
  <r>
    <s v="1283"/>
    <x v="174"/>
    <n v="7"/>
    <s v="Company G"/>
    <x v="7"/>
    <x v="3"/>
    <s v="California"/>
    <x v="0"/>
    <n v="399"/>
    <n v="3"/>
    <n v="1197"/>
    <n v="8"/>
  </r>
  <r>
    <s v="1287"/>
    <x v="174"/>
    <n v="16"/>
    <s v="Company P"/>
    <x v="6"/>
    <x v="0"/>
    <s v="Arizona"/>
    <x v="0"/>
    <n v="399"/>
    <n v="7"/>
    <n v="2793"/>
    <n v="5"/>
  </r>
  <r>
    <s v="1295"/>
    <x v="175"/>
    <n v="18"/>
    <s v="Company R"/>
    <x v="6"/>
    <x v="0"/>
    <s v="Arizona"/>
    <x v="0"/>
    <n v="399"/>
    <n v="3"/>
    <n v="1197"/>
    <n v="5"/>
  </r>
  <r>
    <s v="1298"/>
    <x v="176"/>
    <n v="3"/>
    <s v="Company C"/>
    <x v="4"/>
    <x v="2"/>
    <s v="Texas"/>
    <x v="0"/>
    <n v="399"/>
    <n v="3"/>
    <n v="1197"/>
    <n v="2"/>
  </r>
  <r>
    <s v="1304"/>
    <x v="177"/>
    <n v="8"/>
    <s v="Company H"/>
    <x v="7"/>
    <x v="3"/>
    <s v="California"/>
    <x v="0"/>
    <n v="399"/>
    <n v="5"/>
    <n v="1995"/>
    <n v="8"/>
  </r>
  <r>
    <s v="1307"/>
    <x v="177"/>
    <n v="3"/>
    <s v="Company C"/>
    <x v="4"/>
    <x v="2"/>
    <s v="Texas"/>
    <x v="0"/>
    <n v="399"/>
    <n v="8"/>
    <n v="3192"/>
    <n v="2"/>
  </r>
  <r>
    <s v="1308"/>
    <x v="178"/>
    <n v="4"/>
    <s v="Company D"/>
    <x v="2"/>
    <x v="0"/>
    <s v="Texas"/>
    <x v="0"/>
    <n v="399"/>
    <n v="2"/>
    <n v="798"/>
    <n v="2"/>
  </r>
  <r>
    <s v="1309"/>
    <x v="178"/>
    <n v="2"/>
    <s v="Company B"/>
    <x v="4"/>
    <x v="2"/>
    <s v="Texas"/>
    <x v="0"/>
    <n v="399"/>
    <n v="6"/>
    <n v="2394"/>
    <n v="2"/>
  </r>
  <r>
    <s v="1318"/>
    <x v="179"/>
    <n v="14"/>
    <s v="Company N"/>
    <x v="3"/>
    <x v="2"/>
    <s v="New Mexico"/>
    <x v="0"/>
    <n v="399"/>
    <n v="2"/>
    <n v="798"/>
    <n v="5"/>
  </r>
  <r>
    <s v="1322"/>
    <x v="180"/>
    <n v="19"/>
    <s v="Company S"/>
    <x v="6"/>
    <x v="0"/>
    <s v="Arizona"/>
    <x v="0"/>
    <n v="399"/>
    <n v="9"/>
    <n v="3591"/>
    <n v="5"/>
  </r>
  <r>
    <s v="1325"/>
    <x v="181"/>
    <n v="8"/>
    <s v="Company H"/>
    <x v="7"/>
    <x v="3"/>
    <s v="California"/>
    <x v="0"/>
    <n v="399"/>
    <n v="3"/>
    <n v="1197"/>
    <n v="8"/>
  </r>
  <r>
    <s v="1330"/>
    <x v="182"/>
    <n v="7"/>
    <s v="Company G"/>
    <x v="7"/>
    <x v="3"/>
    <s v="California"/>
    <x v="0"/>
    <n v="399"/>
    <n v="7"/>
    <n v="2793"/>
    <n v="8"/>
  </r>
  <r>
    <s v="1334"/>
    <x v="183"/>
    <n v="12"/>
    <s v="Company L"/>
    <x v="3"/>
    <x v="2"/>
    <s v="New Mexico"/>
    <x v="0"/>
    <n v="399"/>
    <n v="1"/>
    <n v="399"/>
    <n v="5"/>
  </r>
  <r>
    <s v="1338"/>
    <x v="184"/>
    <n v="9"/>
    <s v="Company I"/>
    <x v="1"/>
    <x v="1"/>
    <s v="California"/>
    <x v="0"/>
    <n v="399"/>
    <n v="0"/>
    <n v="0"/>
    <n v="4"/>
  </r>
  <r>
    <s v="1354"/>
    <x v="185"/>
    <n v="19"/>
    <s v="Company S"/>
    <x v="6"/>
    <x v="0"/>
    <s v="Arizona"/>
    <x v="0"/>
    <n v="399"/>
    <n v="3"/>
    <n v="1197"/>
    <n v="5"/>
  </r>
  <r>
    <s v="1360"/>
    <x v="186"/>
    <n v="17"/>
    <s v="Company Q"/>
    <x v="6"/>
    <x v="0"/>
    <s v="Arizona"/>
    <x v="0"/>
    <n v="399"/>
    <n v="6"/>
    <n v="2394"/>
    <n v="5"/>
  </r>
  <r>
    <s v="1362"/>
    <x v="186"/>
    <n v="9"/>
    <s v="Company I"/>
    <x v="7"/>
    <x v="3"/>
    <s v="California"/>
    <x v="0"/>
    <n v="399"/>
    <n v="5"/>
    <n v="1995"/>
    <n v="8"/>
  </r>
  <r>
    <s v="1368"/>
    <x v="187"/>
    <n v="19"/>
    <s v="Company S"/>
    <x v="0"/>
    <x v="0"/>
    <s v="Arizona"/>
    <x v="0"/>
    <n v="399"/>
    <n v="9"/>
    <n v="3591"/>
    <n v="3"/>
  </r>
  <r>
    <s v="1370"/>
    <x v="188"/>
    <n v="19"/>
    <s v="Company S"/>
    <x v="6"/>
    <x v="0"/>
    <s v="Arizona"/>
    <x v="0"/>
    <n v="399"/>
    <n v="2"/>
    <n v="798"/>
    <n v="5"/>
  </r>
  <r>
    <s v="1371"/>
    <x v="188"/>
    <n v="15"/>
    <s v="Company O"/>
    <x v="3"/>
    <x v="2"/>
    <s v="New Mexico"/>
    <x v="0"/>
    <n v="399"/>
    <n v="9"/>
    <n v="3591"/>
    <n v="5"/>
  </r>
  <r>
    <s v="1376"/>
    <x v="189"/>
    <n v="7"/>
    <s v="Company G"/>
    <x v="1"/>
    <x v="1"/>
    <s v="California"/>
    <x v="0"/>
    <n v="399"/>
    <n v="6"/>
    <n v="2394"/>
    <n v="4"/>
  </r>
  <r>
    <s v="1378"/>
    <x v="189"/>
    <n v="14"/>
    <s v="Company N"/>
    <x v="3"/>
    <x v="2"/>
    <s v="New Mexico"/>
    <x v="0"/>
    <n v="399"/>
    <n v="7"/>
    <n v="2793"/>
    <n v="5"/>
  </r>
  <r>
    <s v="1383"/>
    <x v="190"/>
    <n v="14"/>
    <s v="Company N"/>
    <x v="5"/>
    <x v="1"/>
    <s v="New Mexico"/>
    <x v="0"/>
    <n v="399"/>
    <n v="8"/>
    <n v="3192"/>
    <n v="6"/>
  </r>
  <r>
    <s v="1385"/>
    <x v="190"/>
    <n v="17"/>
    <s v="Company Q"/>
    <x v="6"/>
    <x v="0"/>
    <s v="Arizona"/>
    <x v="0"/>
    <n v="399"/>
    <n v="5"/>
    <n v="1995"/>
    <n v="5"/>
  </r>
  <r>
    <s v="1388"/>
    <x v="190"/>
    <n v="9"/>
    <s v="Company I"/>
    <x v="1"/>
    <x v="1"/>
    <s v="California"/>
    <x v="0"/>
    <n v="399"/>
    <n v="9"/>
    <n v="3591"/>
    <n v="4"/>
  </r>
  <r>
    <s v="1391"/>
    <x v="190"/>
    <n v="10"/>
    <s v="Company J"/>
    <x v="1"/>
    <x v="1"/>
    <s v="California"/>
    <x v="0"/>
    <n v="399"/>
    <n v="0"/>
    <n v="0"/>
    <n v="4"/>
  </r>
  <r>
    <s v="1396"/>
    <x v="191"/>
    <n v="11"/>
    <s v="Company K"/>
    <x v="3"/>
    <x v="2"/>
    <s v="New Mexico"/>
    <x v="0"/>
    <n v="399"/>
    <n v="9"/>
    <n v="3591"/>
    <n v="5"/>
  </r>
  <r>
    <s v="1400"/>
    <x v="192"/>
    <n v="5"/>
    <s v="Company E"/>
    <x v="4"/>
    <x v="2"/>
    <s v="Texas"/>
    <x v="0"/>
    <n v="399"/>
    <n v="1"/>
    <n v="399"/>
    <n v="2"/>
  </r>
  <r>
    <s v="1403"/>
    <x v="192"/>
    <n v="9"/>
    <s v="Company I"/>
    <x v="7"/>
    <x v="3"/>
    <s v="California"/>
    <x v="0"/>
    <n v="399"/>
    <n v="9"/>
    <n v="3591"/>
    <n v="8"/>
  </r>
  <r>
    <s v="1407"/>
    <x v="193"/>
    <n v="12"/>
    <s v="Company L"/>
    <x v="5"/>
    <x v="1"/>
    <s v="New Mexico"/>
    <x v="0"/>
    <n v="399"/>
    <n v="8"/>
    <n v="3192"/>
    <n v="6"/>
  </r>
  <r>
    <s v="1408"/>
    <x v="194"/>
    <n v="3"/>
    <s v="Company C"/>
    <x v="2"/>
    <x v="0"/>
    <s v="Texas"/>
    <x v="0"/>
    <n v="399"/>
    <n v="9"/>
    <n v="3591"/>
    <n v="2"/>
  </r>
  <r>
    <s v="1409"/>
    <x v="194"/>
    <n v="18"/>
    <s v="Company R"/>
    <x v="0"/>
    <x v="0"/>
    <s v="Arizona"/>
    <x v="0"/>
    <n v="399"/>
    <n v="3"/>
    <n v="1197"/>
    <n v="3"/>
  </r>
  <r>
    <s v="1413"/>
    <x v="195"/>
    <n v="4"/>
    <s v="Company D"/>
    <x v="2"/>
    <x v="0"/>
    <s v="Texas"/>
    <x v="0"/>
    <n v="399"/>
    <n v="6"/>
    <n v="2394"/>
    <n v="2"/>
  </r>
  <r>
    <s v="1423"/>
    <x v="196"/>
    <n v="7"/>
    <s v="Company G"/>
    <x v="7"/>
    <x v="3"/>
    <s v="California"/>
    <x v="0"/>
    <n v="399"/>
    <n v="2"/>
    <n v="798"/>
    <n v="8"/>
  </r>
  <r>
    <s v="1426"/>
    <x v="197"/>
    <n v="13"/>
    <s v="Company M"/>
    <x v="5"/>
    <x v="1"/>
    <s v="New Mexico"/>
    <x v="0"/>
    <n v="399"/>
    <n v="0"/>
    <n v="0"/>
    <n v="6"/>
  </r>
  <r>
    <s v="1427"/>
    <x v="197"/>
    <n v="10"/>
    <s v="Company J"/>
    <x v="1"/>
    <x v="1"/>
    <s v="California"/>
    <x v="0"/>
    <n v="399"/>
    <n v="8"/>
    <n v="3192"/>
    <n v="4"/>
  </r>
  <r>
    <s v="1429"/>
    <x v="198"/>
    <n v="1"/>
    <s v="Company A"/>
    <x v="4"/>
    <x v="2"/>
    <s v="Texas"/>
    <x v="0"/>
    <n v="399"/>
    <n v="4"/>
    <n v="1596"/>
    <n v="2"/>
  </r>
  <r>
    <s v="1431"/>
    <x v="199"/>
    <n v="8"/>
    <s v="Company H"/>
    <x v="7"/>
    <x v="3"/>
    <s v="California"/>
    <x v="0"/>
    <n v="399"/>
    <n v="0"/>
    <n v="0"/>
    <n v="8"/>
  </r>
  <r>
    <s v="1446"/>
    <x v="200"/>
    <n v="12"/>
    <s v="Company L"/>
    <x v="5"/>
    <x v="1"/>
    <s v="New Mexico"/>
    <x v="0"/>
    <n v="399"/>
    <n v="5"/>
    <n v="1995"/>
    <n v="6"/>
  </r>
  <r>
    <s v="1452"/>
    <x v="201"/>
    <n v="9"/>
    <s v="Company I"/>
    <x v="1"/>
    <x v="1"/>
    <s v="California"/>
    <x v="0"/>
    <n v="399"/>
    <n v="5"/>
    <n v="1995"/>
    <n v="4"/>
  </r>
  <r>
    <s v="1465"/>
    <x v="202"/>
    <n v="13"/>
    <s v="Company M"/>
    <x v="5"/>
    <x v="1"/>
    <s v="New Mexico"/>
    <x v="0"/>
    <n v="399"/>
    <n v="0"/>
    <n v="0"/>
    <n v="6"/>
  </r>
  <r>
    <s v="1466"/>
    <x v="203"/>
    <n v="9"/>
    <s v="Company I"/>
    <x v="7"/>
    <x v="3"/>
    <s v="California"/>
    <x v="0"/>
    <n v="399"/>
    <n v="7"/>
    <n v="2793"/>
    <n v="8"/>
  </r>
  <r>
    <s v="1468"/>
    <x v="204"/>
    <n v="6"/>
    <s v="Company F"/>
    <x v="7"/>
    <x v="3"/>
    <s v="California"/>
    <x v="0"/>
    <n v="399"/>
    <n v="0"/>
    <n v="0"/>
    <n v="8"/>
  </r>
  <r>
    <s v="1471"/>
    <x v="205"/>
    <n v="5"/>
    <s v="Company E"/>
    <x v="4"/>
    <x v="2"/>
    <s v="Texas"/>
    <x v="0"/>
    <n v="399"/>
    <n v="8"/>
    <n v="3192"/>
    <n v="2"/>
  </r>
  <r>
    <s v="1475"/>
    <x v="205"/>
    <n v="13"/>
    <s v="Company M"/>
    <x v="3"/>
    <x v="2"/>
    <s v="New Mexico"/>
    <x v="0"/>
    <n v="399"/>
    <n v="5"/>
    <n v="1995"/>
    <n v="5"/>
  </r>
  <r>
    <s v="1477"/>
    <x v="206"/>
    <n v="4"/>
    <s v="Company D"/>
    <x v="2"/>
    <x v="0"/>
    <s v="Texas"/>
    <x v="0"/>
    <n v="399"/>
    <n v="7"/>
    <n v="2793"/>
    <n v="2"/>
  </r>
  <r>
    <s v="1478"/>
    <x v="206"/>
    <n v="4"/>
    <s v="Company D"/>
    <x v="4"/>
    <x v="2"/>
    <s v="Texas"/>
    <x v="0"/>
    <n v="399"/>
    <n v="9"/>
    <n v="3591"/>
    <n v="2"/>
  </r>
  <r>
    <s v="1479"/>
    <x v="206"/>
    <n v="10"/>
    <s v="Company J"/>
    <x v="7"/>
    <x v="3"/>
    <s v="California"/>
    <x v="0"/>
    <n v="399"/>
    <n v="4"/>
    <n v="1596"/>
    <n v="8"/>
  </r>
  <r>
    <s v="1480"/>
    <x v="207"/>
    <n v="6"/>
    <s v="Company F"/>
    <x v="7"/>
    <x v="3"/>
    <s v="California"/>
    <x v="0"/>
    <n v="399"/>
    <n v="6"/>
    <n v="2394"/>
    <n v="8"/>
  </r>
  <r>
    <s v="1483"/>
    <x v="207"/>
    <n v="20"/>
    <s v="Company T"/>
    <x v="0"/>
    <x v="0"/>
    <s v="Arizona"/>
    <x v="0"/>
    <n v="399"/>
    <n v="9"/>
    <n v="3591"/>
    <n v="3"/>
  </r>
  <r>
    <s v="1490"/>
    <x v="208"/>
    <n v="19"/>
    <s v="Company S"/>
    <x v="6"/>
    <x v="0"/>
    <s v="Arizona"/>
    <x v="0"/>
    <n v="399"/>
    <n v="1"/>
    <n v="399"/>
    <n v="5"/>
  </r>
  <r>
    <s v="1491"/>
    <x v="208"/>
    <n v="5"/>
    <s v="Company E"/>
    <x v="2"/>
    <x v="0"/>
    <s v="Texas"/>
    <x v="0"/>
    <n v="399"/>
    <n v="8"/>
    <n v="3192"/>
    <n v="2"/>
  </r>
  <r>
    <s v="1492"/>
    <x v="208"/>
    <n v="11"/>
    <s v="Company K"/>
    <x v="5"/>
    <x v="1"/>
    <s v="New Mexico"/>
    <x v="0"/>
    <n v="399"/>
    <n v="6"/>
    <n v="2394"/>
    <n v="6"/>
  </r>
  <r>
    <s v="1493"/>
    <x v="208"/>
    <n v="8"/>
    <s v="Company H"/>
    <x v="1"/>
    <x v="1"/>
    <s v="California"/>
    <x v="0"/>
    <n v="399"/>
    <n v="2"/>
    <n v="798"/>
    <n v="4"/>
  </r>
  <r>
    <s v="1496"/>
    <x v="209"/>
    <n v="10"/>
    <s v="Company J"/>
    <x v="7"/>
    <x v="3"/>
    <s v="California"/>
    <x v="0"/>
    <n v="399"/>
    <n v="5"/>
    <n v="1995"/>
    <n v="8"/>
  </r>
  <r>
    <s v="1504"/>
    <x v="210"/>
    <n v="11"/>
    <s v="Company K"/>
    <x v="3"/>
    <x v="2"/>
    <s v="New Mexico"/>
    <x v="0"/>
    <n v="399"/>
    <n v="5"/>
    <n v="1995"/>
    <n v="5"/>
  </r>
  <r>
    <s v="1511"/>
    <x v="211"/>
    <n v="16"/>
    <s v="Company P"/>
    <x v="0"/>
    <x v="0"/>
    <s v="Arizona"/>
    <x v="0"/>
    <n v="399"/>
    <n v="3"/>
    <n v="1197"/>
    <n v="3"/>
  </r>
  <r>
    <s v="1515"/>
    <x v="211"/>
    <n v="18"/>
    <s v="Company R"/>
    <x v="6"/>
    <x v="0"/>
    <s v="Arizona"/>
    <x v="0"/>
    <n v="399"/>
    <n v="6"/>
    <n v="2394"/>
    <n v="5"/>
  </r>
  <r>
    <s v="1521"/>
    <x v="212"/>
    <n v="19"/>
    <s v="Company S"/>
    <x v="6"/>
    <x v="0"/>
    <s v="Arizona"/>
    <x v="0"/>
    <n v="399"/>
    <n v="5"/>
    <n v="1995"/>
    <n v="5"/>
  </r>
  <r>
    <s v="1530"/>
    <x v="213"/>
    <n v="15"/>
    <s v="Company O"/>
    <x v="3"/>
    <x v="2"/>
    <s v="New Mexico"/>
    <x v="0"/>
    <n v="399"/>
    <n v="0"/>
    <n v="0"/>
    <n v="5"/>
  </r>
  <r>
    <s v="1537"/>
    <x v="214"/>
    <n v="17"/>
    <s v="Company Q"/>
    <x v="6"/>
    <x v="0"/>
    <s v="Arizona"/>
    <x v="0"/>
    <n v="399"/>
    <n v="1"/>
    <n v="399"/>
    <n v="5"/>
  </r>
  <r>
    <s v="1543"/>
    <x v="215"/>
    <n v="11"/>
    <s v="Company K"/>
    <x v="5"/>
    <x v="1"/>
    <s v="New Mexico"/>
    <x v="0"/>
    <n v="399"/>
    <n v="2"/>
    <n v="798"/>
    <n v="6"/>
  </r>
  <r>
    <s v="1545"/>
    <x v="216"/>
    <n v="11"/>
    <s v="Company K"/>
    <x v="3"/>
    <x v="2"/>
    <s v="New Mexico"/>
    <x v="0"/>
    <n v="399"/>
    <n v="6"/>
    <n v="2394"/>
    <n v="5"/>
  </r>
  <r>
    <s v="1551"/>
    <x v="217"/>
    <n v="1"/>
    <s v="Company A"/>
    <x v="4"/>
    <x v="2"/>
    <s v="Texas"/>
    <x v="0"/>
    <n v="399"/>
    <n v="7"/>
    <n v="2793"/>
    <n v="2"/>
  </r>
  <r>
    <s v="1558"/>
    <x v="218"/>
    <n v="2"/>
    <s v="Company B"/>
    <x v="4"/>
    <x v="2"/>
    <s v="Texas"/>
    <x v="0"/>
    <n v="399"/>
    <n v="4"/>
    <n v="1596"/>
    <n v="2"/>
  </r>
  <r>
    <s v="1559"/>
    <x v="219"/>
    <n v="10"/>
    <s v="Company J"/>
    <x v="7"/>
    <x v="3"/>
    <s v="California"/>
    <x v="0"/>
    <n v="399"/>
    <n v="1"/>
    <n v="399"/>
    <n v="8"/>
  </r>
  <r>
    <s v="1563"/>
    <x v="220"/>
    <n v="19"/>
    <s v="Company S"/>
    <x v="0"/>
    <x v="0"/>
    <s v="Arizona"/>
    <x v="0"/>
    <n v="399"/>
    <n v="8"/>
    <n v="3192"/>
    <n v="3"/>
  </r>
  <r>
    <s v="1572"/>
    <x v="221"/>
    <n v="14"/>
    <s v="Company N"/>
    <x v="5"/>
    <x v="1"/>
    <s v="New Mexico"/>
    <x v="0"/>
    <n v="399"/>
    <n v="4"/>
    <n v="1596"/>
    <n v="6"/>
  </r>
  <r>
    <s v="1576"/>
    <x v="222"/>
    <n v="12"/>
    <s v="Company L"/>
    <x v="5"/>
    <x v="1"/>
    <s v="New Mexico"/>
    <x v="0"/>
    <n v="399"/>
    <n v="2"/>
    <n v="798"/>
    <n v="6"/>
  </r>
  <r>
    <s v="1594"/>
    <x v="223"/>
    <n v="11"/>
    <s v="Company K"/>
    <x v="5"/>
    <x v="1"/>
    <s v="New Mexico"/>
    <x v="0"/>
    <n v="399"/>
    <n v="0"/>
    <n v="0"/>
    <n v="6"/>
  </r>
  <r>
    <s v="1601"/>
    <x v="224"/>
    <n v="17"/>
    <s v="Company Q"/>
    <x v="6"/>
    <x v="0"/>
    <s v="Arizona"/>
    <x v="0"/>
    <n v="399"/>
    <n v="2"/>
    <n v="798"/>
    <n v="5"/>
  </r>
  <r>
    <s v="1620"/>
    <x v="225"/>
    <n v="9"/>
    <s v="Company I"/>
    <x v="1"/>
    <x v="1"/>
    <s v="California"/>
    <x v="0"/>
    <n v="399"/>
    <n v="0"/>
    <n v="0"/>
    <n v="4"/>
  </r>
  <r>
    <s v="1627"/>
    <x v="226"/>
    <n v="5"/>
    <s v="Company E"/>
    <x v="4"/>
    <x v="2"/>
    <s v="Texas"/>
    <x v="0"/>
    <n v="399"/>
    <n v="6"/>
    <n v="2394"/>
    <n v="2"/>
  </r>
  <r>
    <s v="1629"/>
    <x v="226"/>
    <n v="9"/>
    <s v="Company I"/>
    <x v="1"/>
    <x v="1"/>
    <s v="California"/>
    <x v="0"/>
    <n v="399"/>
    <n v="0"/>
    <n v="0"/>
    <n v="4"/>
  </r>
  <r>
    <s v="1632"/>
    <x v="226"/>
    <n v="1"/>
    <s v="Company A"/>
    <x v="4"/>
    <x v="2"/>
    <s v="Texas"/>
    <x v="0"/>
    <n v="399"/>
    <n v="0"/>
    <n v="0"/>
    <n v="2"/>
  </r>
  <r>
    <s v="1637"/>
    <x v="227"/>
    <n v="10"/>
    <s v="Company J"/>
    <x v="1"/>
    <x v="1"/>
    <s v="California"/>
    <x v="0"/>
    <n v="399"/>
    <n v="5"/>
    <n v="1995"/>
    <n v="4"/>
  </r>
  <r>
    <s v="1639"/>
    <x v="227"/>
    <n v="20"/>
    <s v="Company T"/>
    <x v="6"/>
    <x v="0"/>
    <s v="Arizona"/>
    <x v="0"/>
    <n v="399"/>
    <n v="6"/>
    <n v="2394"/>
    <n v="5"/>
  </r>
  <r>
    <s v="1642"/>
    <x v="227"/>
    <n v="17"/>
    <s v="Company Q"/>
    <x v="6"/>
    <x v="0"/>
    <s v="Arizona"/>
    <x v="0"/>
    <n v="399"/>
    <n v="9"/>
    <n v="3591"/>
    <n v="5"/>
  </r>
  <r>
    <s v="1644"/>
    <x v="228"/>
    <n v="4"/>
    <s v="Company D"/>
    <x v="2"/>
    <x v="0"/>
    <s v="Texas"/>
    <x v="0"/>
    <n v="399"/>
    <n v="6"/>
    <n v="2394"/>
    <n v="2"/>
  </r>
  <r>
    <s v="1645"/>
    <x v="228"/>
    <n v="11"/>
    <s v="Company K"/>
    <x v="3"/>
    <x v="2"/>
    <s v="New Mexico"/>
    <x v="0"/>
    <n v="399"/>
    <n v="3"/>
    <n v="1197"/>
    <n v="5"/>
  </r>
  <r>
    <s v="1648"/>
    <x v="229"/>
    <n v="1"/>
    <s v="Company A"/>
    <x v="4"/>
    <x v="2"/>
    <s v="Texas"/>
    <x v="0"/>
    <n v="399"/>
    <n v="2"/>
    <n v="798"/>
    <n v="2"/>
  </r>
  <r>
    <s v="1650"/>
    <x v="230"/>
    <n v="9"/>
    <s v="Company I"/>
    <x v="7"/>
    <x v="3"/>
    <s v="California"/>
    <x v="0"/>
    <n v="399"/>
    <n v="3"/>
    <n v="1197"/>
    <n v="8"/>
  </r>
  <r>
    <s v="1654"/>
    <x v="231"/>
    <n v="3"/>
    <s v="Company C"/>
    <x v="2"/>
    <x v="0"/>
    <s v="Texas"/>
    <x v="0"/>
    <n v="399"/>
    <n v="5"/>
    <n v="1995"/>
    <n v="2"/>
  </r>
  <r>
    <s v="1657"/>
    <x v="232"/>
    <n v="10"/>
    <s v="Company J"/>
    <x v="1"/>
    <x v="1"/>
    <s v="California"/>
    <x v="0"/>
    <n v="399"/>
    <n v="8"/>
    <n v="3192"/>
    <n v="4"/>
  </r>
  <r>
    <s v="1658"/>
    <x v="232"/>
    <n v="3"/>
    <s v="Company C"/>
    <x v="2"/>
    <x v="0"/>
    <s v="Texas"/>
    <x v="0"/>
    <n v="399"/>
    <n v="8"/>
    <n v="3192"/>
    <n v="2"/>
  </r>
  <r>
    <s v="1664"/>
    <x v="233"/>
    <n v="13"/>
    <s v="Company M"/>
    <x v="5"/>
    <x v="1"/>
    <s v="New Mexico"/>
    <x v="0"/>
    <n v="399"/>
    <n v="7"/>
    <n v="2793"/>
    <n v="6"/>
  </r>
  <r>
    <s v="1667"/>
    <x v="234"/>
    <n v="8"/>
    <s v="Company H"/>
    <x v="1"/>
    <x v="1"/>
    <s v="California"/>
    <x v="0"/>
    <n v="399"/>
    <n v="2"/>
    <n v="798"/>
    <n v="4"/>
  </r>
  <r>
    <s v="1674"/>
    <x v="235"/>
    <n v="17"/>
    <s v="Company Q"/>
    <x v="0"/>
    <x v="0"/>
    <s v="Arizona"/>
    <x v="0"/>
    <n v="399"/>
    <n v="3"/>
    <n v="1197"/>
    <n v="3"/>
  </r>
  <r>
    <s v="1688"/>
    <x v="236"/>
    <n v="13"/>
    <s v="Company M"/>
    <x v="3"/>
    <x v="2"/>
    <s v="New Mexico"/>
    <x v="0"/>
    <n v="399"/>
    <n v="5"/>
    <n v="1995"/>
    <n v="5"/>
  </r>
  <r>
    <s v="1689"/>
    <x v="237"/>
    <n v="16"/>
    <s v="Company P"/>
    <x v="0"/>
    <x v="0"/>
    <s v="Arizona"/>
    <x v="0"/>
    <n v="399"/>
    <n v="6"/>
    <n v="2394"/>
    <n v="3"/>
  </r>
  <r>
    <s v="1690"/>
    <x v="238"/>
    <n v="7"/>
    <s v="Company G"/>
    <x v="1"/>
    <x v="1"/>
    <s v="California"/>
    <x v="0"/>
    <n v="399"/>
    <n v="4"/>
    <n v="1596"/>
    <n v="4"/>
  </r>
  <r>
    <s v="1694"/>
    <x v="239"/>
    <n v="9"/>
    <s v="Company I"/>
    <x v="7"/>
    <x v="3"/>
    <s v="California"/>
    <x v="0"/>
    <n v="399"/>
    <n v="5"/>
    <n v="1995"/>
    <n v="8"/>
  </r>
  <r>
    <s v="1701"/>
    <x v="240"/>
    <n v="16"/>
    <s v="Company P"/>
    <x v="0"/>
    <x v="0"/>
    <s v="Arizona"/>
    <x v="0"/>
    <n v="399"/>
    <n v="4"/>
    <n v="1596"/>
    <n v="3"/>
  </r>
  <r>
    <s v="1703"/>
    <x v="241"/>
    <n v="5"/>
    <s v="Company E"/>
    <x v="2"/>
    <x v="0"/>
    <s v="Texas"/>
    <x v="0"/>
    <n v="399"/>
    <n v="7"/>
    <n v="2793"/>
    <n v="2"/>
  </r>
  <r>
    <s v="1710"/>
    <x v="242"/>
    <n v="14"/>
    <s v="Company N"/>
    <x v="3"/>
    <x v="2"/>
    <s v="New Mexico"/>
    <x v="0"/>
    <n v="399"/>
    <n v="0"/>
    <n v="0"/>
    <n v="5"/>
  </r>
  <r>
    <s v="1713"/>
    <x v="243"/>
    <n v="19"/>
    <s v="Company S"/>
    <x v="6"/>
    <x v="0"/>
    <s v="Arizona"/>
    <x v="0"/>
    <n v="399"/>
    <n v="9"/>
    <n v="3591"/>
    <n v="5"/>
  </r>
  <r>
    <s v="1716"/>
    <x v="244"/>
    <n v="14"/>
    <s v="Company N"/>
    <x v="3"/>
    <x v="2"/>
    <s v="New Mexico"/>
    <x v="0"/>
    <n v="399"/>
    <n v="1"/>
    <n v="399"/>
    <n v="5"/>
  </r>
  <r>
    <s v="1726"/>
    <x v="245"/>
    <n v="10"/>
    <s v="Company J"/>
    <x v="1"/>
    <x v="1"/>
    <s v="California"/>
    <x v="0"/>
    <n v="399"/>
    <n v="9"/>
    <n v="3591"/>
    <n v="4"/>
  </r>
  <r>
    <s v="1730"/>
    <x v="246"/>
    <n v="18"/>
    <s v="Company R"/>
    <x v="0"/>
    <x v="0"/>
    <s v="Arizona"/>
    <x v="0"/>
    <n v="399"/>
    <n v="5"/>
    <n v="1995"/>
    <n v="3"/>
  </r>
  <r>
    <s v="1731"/>
    <x v="247"/>
    <n v="9"/>
    <s v="Company I"/>
    <x v="1"/>
    <x v="1"/>
    <s v="California"/>
    <x v="0"/>
    <n v="399"/>
    <n v="0"/>
    <n v="0"/>
    <n v="4"/>
  </r>
  <r>
    <s v="1732"/>
    <x v="248"/>
    <n v="4"/>
    <s v="Company D"/>
    <x v="2"/>
    <x v="0"/>
    <s v="Texas"/>
    <x v="0"/>
    <n v="399"/>
    <n v="8"/>
    <n v="3192"/>
    <n v="2"/>
  </r>
  <r>
    <s v="1734"/>
    <x v="249"/>
    <n v="5"/>
    <s v="Company E"/>
    <x v="2"/>
    <x v="0"/>
    <s v="Texas"/>
    <x v="0"/>
    <n v="399"/>
    <n v="2"/>
    <n v="798"/>
    <n v="2"/>
  </r>
  <r>
    <s v="1735"/>
    <x v="249"/>
    <n v="12"/>
    <s v="Company L"/>
    <x v="5"/>
    <x v="1"/>
    <s v="New Mexico"/>
    <x v="0"/>
    <n v="399"/>
    <n v="7"/>
    <n v="2793"/>
    <n v="6"/>
  </r>
  <r>
    <s v="1749"/>
    <x v="250"/>
    <n v="2"/>
    <s v="Company B"/>
    <x v="4"/>
    <x v="2"/>
    <s v="Texas"/>
    <x v="0"/>
    <n v="399"/>
    <n v="9"/>
    <n v="3591"/>
    <n v="2"/>
  </r>
  <r>
    <s v="1756"/>
    <x v="251"/>
    <n v="2"/>
    <s v="Company B"/>
    <x v="2"/>
    <x v="0"/>
    <s v="Texas"/>
    <x v="0"/>
    <n v="399"/>
    <n v="9"/>
    <n v="3591"/>
    <n v="2"/>
  </r>
  <r>
    <s v="1766"/>
    <x v="252"/>
    <n v="13"/>
    <s v="Company M"/>
    <x v="3"/>
    <x v="2"/>
    <s v="New Mexico"/>
    <x v="0"/>
    <n v="399"/>
    <n v="8"/>
    <n v="3192"/>
    <n v="5"/>
  </r>
  <r>
    <s v="1767"/>
    <x v="252"/>
    <n v="6"/>
    <s v="Company F"/>
    <x v="7"/>
    <x v="3"/>
    <s v="California"/>
    <x v="0"/>
    <n v="399"/>
    <n v="9"/>
    <n v="3591"/>
    <n v="8"/>
  </r>
  <r>
    <s v="1769"/>
    <x v="253"/>
    <n v="6"/>
    <s v="Company F"/>
    <x v="1"/>
    <x v="1"/>
    <s v="California"/>
    <x v="0"/>
    <n v="399"/>
    <n v="2"/>
    <n v="798"/>
    <n v="4"/>
  </r>
  <r>
    <s v="1777"/>
    <x v="254"/>
    <n v="7"/>
    <s v="Company G"/>
    <x v="7"/>
    <x v="3"/>
    <s v="California"/>
    <x v="0"/>
    <n v="399"/>
    <n v="6"/>
    <n v="2394"/>
    <n v="8"/>
  </r>
  <r>
    <s v="1783"/>
    <x v="255"/>
    <n v="5"/>
    <s v="Company E"/>
    <x v="2"/>
    <x v="0"/>
    <s v="Texas"/>
    <x v="0"/>
    <n v="399"/>
    <n v="1"/>
    <n v="399"/>
    <n v="2"/>
  </r>
  <r>
    <s v="1786"/>
    <x v="255"/>
    <n v="15"/>
    <s v="Company O"/>
    <x v="3"/>
    <x v="2"/>
    <s v="New Mexico"/>
    <x v="0"/>
    <n v="399"/>
    <n v="2"/>
    <n v="798"/>
    <n v="5"/>
  </r>
  <r>
    <s v="1788"/>
    <x v="256"/>
    <n v="11"/>
    <s v="Company K"/>
    <x v="5"/>
    <x v="1"/>
    <s v="New Mexico"/>
    <x v="0"/>
    <n v="399"/>
    <n v="5"/>
    <n v="1995"/>
    <n v="6"/>
  </r>
  <r>
    <s v="1791"/>
    <x v="257"/>
    <n v="17"/>
    <s v="Company Q"/>
    <x v="6"/>
    <x v="0"/>
    <s v="Arizona"/>
    <x v="0"/>
    <n v="399"/>
    <n v="8"/>
    <n v="3192"/>
    <n v="5"/>
  </r>
  <r>
    <s v="1792"/>
    <x v="257"/>
    <n v="3"/>
    <s v="Company C"/>
    <x v="2"/>
    <x v="0"/>
    <s v="Texas"/>
    <x v="0"/>
    <n v="399"/>
    <n v="2"/>
    <n v="798"/>
    <n v="2"/>
  </r>
  <r>
    <s v="1799"/>
    <x v="258"/>
    <n v="15"/>
    <s v="Company O"/>
    <x v="3"/>
    <x v="2"/>
    <s v="New Mexico"/>
    <x v="0"/>
    <n v="399"/>
    <n v="4"/>
    <n v="1596"/>
    <n v="5"/>
  </r>
  <r>
    <s v="1801"/>
    <x v="258"/>
    <n v="17"/>
    <s v="Company Q"/>
    <x v="0"/>
    <x v="0"/>
    <s v="Arizona"/>
    <x v="0"/>
    <n v="399"/>
    <n v="1"/>
    <n v="399"/>
    <n v="3"/>
  </r>
  <r>
    <s v="1803"/>
    <x v="258"/>
    <n v="18"/>
    <s v="Company R"/>
    <x v="6"/>
    <x v="0"/>
    <s v="Arizona"/>
    <x v="0"/>
    <n v="399"/>
    <n v="5"/>
    <n v="1995"/>
    <n v="5"/>
  </r>
  <r>
    <s v="1838"/>
    <x v="259"/>
    <n v="20"/>
    <s v="Company T"/>
    <x v="0"/>
    <x v="0"/>
    <s v="Arizona"/>
    <x v="0"/>
    <n v="399"/>
    <n v="9"/>
    <n v="3591"/>
    <n v="3"/>
  </r>
  <r>
    <s v="1849"/>
    <x v="260"/>
    <n v="4"/>
    <s v="Company D"/>
    <x v="2"/>
    <x v="0"/>
    <s v="Texas"/>
    <x v="0"/>
    <n v="399"/>
    <n v="7"/>
    <n v="2793"/>
    <n v="2"/>
  </r>
  <r>
    <s v="1858"/>
    <x v="261"/>
    <n v="17"/>
    <s v="Company Q"/>
    <x v="0"/>
    <x v="0"/>
    <s v="Arizona"/>
    <x v="0"/>
    <n v="399"/>
    <n v="1"/>
    <n v="399"/>
    <n v="3"/>
  </r>
  <r>
    <s v="1860"/>
    <x v="261"/>
    <n v="14"/>
    <s v="Company N"/>
    <x v="5"/>
    <x v="1"/>
    <s v="New Mexico"/>
    <x v="0"/>
    <n v="399"/>
    <n v="4"/>
    <n v="1596"/>
    <n v="6"/>
  </r>
  <r>
    <s v="1861"/>
    <x v="261"/>
    <n v="20"/>
    <s v="Company T"/>
    <x v="6"/>
    <x v="0"/>
    <s v="Arizona"/>
    <x v="0"/>
    <n v="399"/>
    <n v="8"/>
    <n v="3192"/>
    <n v="5"/>
  </r>
  <r>
    <s v="1863"/>
    <x v="262"/>
    <n v="11"/>
    <s v="Company K"/>
    <x v="3"/>
    <x v="2"/>
    <s v="New Mexico"/>
    <x v="0"/>
    <n v="399"/>
    <n v="5"/>
    <n v="1995"/>
    <n v="5"/>
  </r>
  <r>
    <s v="1865"/>
    <x v="263"/>
    <n v="11"/>
    <s v="Company K"/>
    <x v="5"/>
    <x v="1"/>
    <s v="New Mexico"/>
    <x v="0"/>
    <n v="399"/>
    <n v="4"/>
    <n v="1596"/>
    <n v="6"/>
  </r>
  <r>
    <s v="1869"/>
    <x v="264"/>
    <n v="7"/>
    <s v="Company G"/>
    <x v="7"/>
    <x v="3"/>
    <s v="California"/>
    <x v="0"/>
    <n v="399"/>
    <n v="1"/>
    <n v="399"/>
    <n v="8"/>
  </r>
  <r>
    <s v="1870"/>
    <x v="265"/>
    <n v="19"/>
    <s v="Company S"/>
    <x v="0"/>
    <x v="0"/>
    <s v="Arizona"/>
    <x v="0"/>
    <n v="399"/>
    <n v="9"/>
    <n v="3591"/>
    <n v="3"/>
  </r>
  <r>
    <s v="1877"/>
    <x v="266"/>
    <n v="1"/>
    <s v="Company A"/>
    <x v="2"/>
    <x v="0"/>
    <s v="Texas"/>
    <x v="0"/>
    <n v="399"/>
    <n v="3"/>
    <n v="1197"/>
    <n v="2"/>
  </r>
  <r>
    <s v="1879"/>
    <x v="266"/>
    <n v="4"/>
    <s v="Company D"/>
    <x v="4"/>
    <x v="2"/>
    <s v="Texas"/>
    <x v="0"/>
    <n v="399"/>
    <n v="4"/>
    <n v="1596"/>
    <n v="2"/>
  </r>
  <r>
    <s v="1884"/>
    <x v="267"/>
    <n v="13"/>
    <s v="Company M"/>
    <x v="3"/>
    <x v="2"/>
    <s v="New Mexico"/>
    <x v="0"/>
    <n v="399"/>
    <n v="4"/>
    <n v="1596"/>
    <n v="5"/>
  </r>
  <r>
    <s v="1887"/>
    <x v="267"/>
    <n v="8"/>
    <s v="Company H"/>
    <x v="1"/>
    <x v="1"/>
    <s v="California"/>
    <x v="0"/>
    <n v="399"/>
    <n v="1"/>
    <n v="399"/>
    <n v="4"/>
  </r>
  <r>
    <s v="1892"/>
    <x v="268"/>
    <n v="5"/>
    <s v="Company E"/>
    <x v="2"/>
    <x v="0"/>
    <s v="Texas"/>
    <x v="0"/>
    <n v="399"/>
    <n v="9"/>
    <n v="3591"/>
    <n v="2"/>
  </r>
  <r>
    <s v="1895"/>
    <x v="269"/>
    <n v="15"/>
    <s v="Company O"/>
    <x v="5"/>
    <x v="1"/>
    <s v="New Mexico"/>
    <x v="0"/>
    <n v="399"/>
    <n v="1"/>
    <n v="399"/>
    <n v="6"/>
  </r>
  <r>
    <s v="1901"/>
    <x v="270"/>
    <n v="18"/>
    <s v="Company R"/>
    <x v="0"/>
    <x v="0"/>
    <s v="Arizona"/>
    <x v="0"/>
    <n v="399"/>
    <n v="3"/>
    <n v="1197"/>
    <n v="3"/>
  </r>
  <r>
    <s v="1902"/>
    <x v="270"/>
    <n v="14"/>
    <s v="Company N"/>
    <x v="3"/>
    <x v="2"/>
    <s v="New Mexico"/>
    <x v="0"/>
    <n v="399"/>
    <n v="8"/>
    <n v="3192"/>
    <n v="5"/>
  </r>
  <r>
    <s v="1903"/>
    <x v="270"/>
    <n v="15"/>
    <s v="Company O"/>
    <x v="5"/>
    <x v="1"/>
    <s v="New Mexico"/>
    <x v="0"/>
    <n v="399"/>
    <n v="0"/>
    <n v="0"/>
    <n v="6"/>
  </r>
  <r>
    <s v="1904"/>
    <x v="271"/>
    <n v="15"/>
    <s v="Company O"/>
    <x v="5"/>
    <x v="1"/>
    <s v="New Mexico"/>
    <x v="0"/>
    <n v="399"/>
    <n v="2"/>
    <n v="798"/>
    <n v="6"/>
  </r>
  <r>
    <s v="1911"/>
    <x v="272"/>
    <n v="1"/>
    <s v="Company A"/>
    <x v="4"/>
    <x v="2"/>
    <s v="Texas"/>
    <x v="0"/>
    <n v="399"/>
    <n v="6"/>
    <n v="2394"/>
    <n v="2"/>
  </r>
  <r>
    <s v="1916"/>
    <x v="273"/>
    <n v="5"/>
    <s v="Company E"/>
    <x v="2"/>
    <x v="0"/>
    <s v="Texas"/>
    <x v="0"/>
    <n v="399"/>
    <n v="4"/>
    <n v="1596"/>
    <n v="2"/>
  </r>
  <r>
    <s v="1918"/>
    <x v="273"/>
    <n v="1"/>
    <s v="Company A"/>
    <x v="2"/>
    <x v="0"/>
    <s v="Texas"/>
    <x v="0"/>
    <n v="399"/>
    <n v="1"/>
    <n v="399"/>
    <n v="2"/>
  </r>
  <r>
    <s v="1921"/>
    <x v="273"/>
    <n v="17"/>
    <s v="Company Q"/>
    <x v="6"/>
    <x v="0"/>
    <s v="Arizona"/>
    <x v="0"/>
    <n v="399"/>
    <n v="1"/>
    <n v="399"/>
    <n v="5"/>
  </r>
  <r>
    <s v="1922"/>
    <x v="273"/>
    <n v="8"/>
    <s v="Company H"/>
    <x v="7"/>
    <x v="3"/>
    <s v="California"/>
    <x v="0"/>
    <n v="399"/>
    <n v="3"/>
    <n v="1197"/>
    <n v="8"/>
  </r>
  <r>
    <s v="1928"/>
    <x v="274"/>
    <n v="13"/>
    <s v="Company M"/>
    <x v="5"/>
    <x v="1"/>
    <s v="New Mexico"/>
    <x v="0"/>
    <n v="399"/>
    <n v="6"/>
    <n v="2394"/>
    <n v="6"/>
  </r>
  <r>
    <s v="1930"/>
    <x v="275"/>
    <n v="4"/>
    <s v="Company D"/>
    <x v="2"/>
    <x v="0"/>
    <s v="Texas"/>
    <x v="0"/>
    <n v="399"/>
    <n v="7"/>
    <n v="2793"/>
    <n v="2"/>
  </r>
  <r>
    <s v="1931"/>
    <x v="275"/>
    <n v="2"/>
    <s v="Company B"/>
    <x v="2"/>
    <x v="0"/>
    <s v="Texas"/>
    <x v="0"/>
    <n v="399"/>
    <n v="0"/>
    <n v="0"/>
    <n v="2"/>
  </r>
  <r>
    <s v="1939"/>
    <x v="276"/>
    <n v="13"/>
    <s v="Company M"/>
    <x v="5"/>
    <x v="1"/>
    <s v="New Mexico"/>
    <x v="0"/>
    <n v="399"/>
    <n v="6"/>
    <n v="2394"/>
    <n v="6"/>
  </r>
  <r>
    <s v="1949"/>
    <x v="277"/>
    <n v="9"/>
    <s v="Company I"/>
    <x v="7"/>
    <x v="3"/>
    <s v="California"/>
    <x v="0"/>
    <n v="399"/>
    <n v="4"/>
    <n v="1596"/>
    <n v="8"/>
  </r>
  <r>
    <s v="1954"/>
    <x v="278"/>
    <n v="2"/>
    <s v="Company B"/>
    <x v="2"/>
    <x v="0"/>
    <s v="Texas"/>
    <x v="0"/>
    <n v="399"/>
    <n v="2"/>
    <n v="798"/>
    <n v="2"/>
  </r>
  <r>
    <s v="1958"/>
    <x v="279"/>
    <n v="8"/>
    <s v="Company H"/>
    <x v="1"/>
    <x v="1"/>
    <s v="California"/>
    <x v="0"/>
    <n v="399"/>
    <n v="3"/>
    <n v="1197"/>
    <n v="4"/>
  </r>
  <r>
    <s v="1962"/>
    <x v="280"/>
    <n v="20"/>
    <s v="Company T"/>
    <x v="6"/>
    <x v="0"/>
    <s v="Arizona"/>
    <x v="0"/>
    <n v="399"/>
    <n v="3"/>
    <n v="1197"/>
    <n v="5"/>
  </r>
  <r>
    <s v="1966"/>
    <x v="281"/>
    <n v="15"/>
    <s v="Company O"/>
    <x v="3"/>
    <x v="2"/>
    <s v="New Mexico"/>
    <x v="0"/>
    <n v="399"/>
    <n v="0"/>
    <n v="0"/>
    <n v="5"/>
  </r>
  <r>
    <s v="1967"/>
    <x v="281"/>
    <n v="20"/>
    <s v="Company T"/>
    <x v="0"/>
    <x v="0"/>
    <s v="Arizona"/>
    <x v="0"/>
    <n v="399"/>
    <n v="9"/>
    <n v="3591"/>
    <n v="3"/>
  </r>
  <r>
    <s v="1970"/>
    <x v="281"/>
    <n v="11"/>
    <s v="Company K"/>
    <x v="5"/>
    <x v="1"/>
    <s v="New Mexico"/>
    <x v="0"/>
    <n v="399"/>
    <n v="2"/>
    <n v="798"/>
    <n v="6"/>
  </r>
  <r>
    <s v="1973"/>
    <x v="281"/>
    <n v="12"/>
    <s v="Company L"/>
    <x v="3"/>
    <x v="2"/>
    <s v="New Mexico"/>
    <x v="0"/>
    <n v="399"/>
    <n v="6"/>
    <n v="2394"/>
    <n v="5"/>
  </r>
  <r>
    <s v="1983"/>
    <x v="282"/>
    <n v="3"/>
    <s v="Company C"/>
    <x v="4"/>
    <x v="2"/>
    <s v="Texas"/>
    <x v="0"/>
    <n v="399"/>
    <n v="1"/>
    <n v="399"/>
    <n v="2"/>
  </r>
  <r>
    <s v="1985"/>
    <x v="283"/>
    <n v="13"/>
    <s v="Company M"/>
    <x v="3"/>
    <x v="2"/>
    <s v="New Mexico"/>
    <x v="0"/>
    <n v="399"/>
    <n v="3"/>
    <n v="1197"/>
    <n v="5"/>
  </r>
  <r>
    <s v="1998"/>
    <x v="284"/>
    <n v="3"/>
    <s v="Company C"/>
    <x v="4"/>
    <x v="2"/>
    <s v="Texas"/>
    <x v="0"/>
    <n v="399"/>
    <n v="6"/>
    <n v="2394"/>
    <n v="2"/>
  </r>
  <r>
    <s v="0002"/>
    <x v="285"/>
    <n v="1"/>
    <s v="Company A"/>
    <x v="2"/>
    <x v="0"/>
    <s v="Texas"/>
    <x v="1"/>
    <n v="289"/>
    <n v="7"/>
    <n v="2023"/>
    <n v="2"/>
  </r>
  <r>
    <s v="0004"/>
    <x v="286"/>
    <n v="18"/>
    <s v="Company R"/>
    <x v="6"/>
    <x v="0"/>
    <s v="Arizona"/>
    <x v="1"/>
    <n v="289"/>
    <n v="3"/>
    <n v="867"/>
    <n v="5"/>
  </r>
  <r>
    <s v="0007"/>
    <x v="287"/>
    <n v="17"/>
    <s v="Company Q"/>
    <x v="0"/>
    <x v="0"/>
    <s v="Arizona"/>
    <x v="1"/>
    <n v="289"/>
    <n v="9"/>
    <n v="2601"/>
    <n v="3"/>
  </r>
  <r>
    <s v="0011"/>
    <x v="0"/>
    <n v="8"/>
    <s v="Company H"/>
    <x v="1"/>
    <x v="1"/>
    <s v="California"/>
    <x v="1"/>
    <n v="289"/>
    <n v="9"/>
    <n v="2601"/>
    <n v="4"/>
  </r>
  <r>
    <s v="0017"/>
    <x v="1"/>
    <n v="14"/>
    <s v="Company N"/>
    <x v="3"/>
    <x v="2"/>
    <s v="New Mexico"/>
    <x v="1"/>
    <n v="289"/>
    <n v="0"/>
    <n v="0"/>
    <n v="5"/>
  </r>
  <r>
    <s v="0022"/>
    <x v="1"/>
    <n v="11"/>
    <s v="Company K"/>
    <x v="5"/>
    <x v="1"/>
    <s v="New Mexico"/>
    <x v="1"/>
    <n v="289"/>
    <n v="6"/>
    <n v="1734"/>
    <n v="6"/>
  </r>
  <r>
    <s v="0026"/>
    <x v="2"/>
    <n v="14"/>
    <s v="Company N"/>
    <x v="3"/>
    <x v="2"/>
    <s v="New Mexico"/>
    <x v="1"/>
    <n v="289"/>
    <n v="0"/>
    <n v="0"/>
    <n v="5"/>
  </r>
  <r>
    <s v="0030"/>
    <x v="3"/>
    <n v="12"/>
    <s v="Company L"/>
    <x v="5"/>
    <x v="1"/>
    <s v="New Mexico"/>
    <x v="1"/>
    <n v="289"/>
    <n v="0"/>
    <n v="0"/>
    <n v="6"/>
  </r>
  <r>
    <s v="0036"/>
    <x v="4"/>
    <n v="13"/>
    <s v="Company M"/>
    <x v="5"/>
    <x v="1"/>
    <s v="New Mexico"/>
    <x v="1"/>
    <n v="289"/>
    <n v="1"/>
    <n v="289"/>
    <n v="6"/>
  </r>
  <r>
    <s v="0040"/>
    <x v="5"/>
    <n v="14"/>
    <s v="Company N"/>
    <x v="3"/>
    <x v="2"/>
    <s v="New Mexico"/>
    <x v="1"/>
    <n v="289"/>
    <n v="3"/>
    <n v="867"/>
    <n v="5"/>
  </r>
  <r>
    <s v="0045"/>
    <x v="6"/>
    <n v="12"/>
    <s v="Company L"/>
    <x v="5"/>
    <x v="1"/>
    <s v="New Mexico"/>
    <x v="1"/>
    <n v="289"/>
    <n v="4"/>
    <n v="1156"/>
    <n v="6"/>
  </r>
  <r>
    <s v="0047"/>
    <x v="6"/>
    <n v="17"/>
    <s v="Company Q"/>
    <x v="6"/>
    <x v="0"/>
    <s v="Arizona"/>
    <x v="1"/>
    <n v="289"/>
    <n v="0"/>
    <n v="0"/>
    <n v="5"/>
  </r>
  <r>
    <s v="0054"/>
    <x v="7"/>
    <n v="8"/>
    <s v="Company H"/>
    <x v="1"/>
    <x v="1"/>
    <s v="California"/>
    <x v="1"/>
    <n v="289"/>
    <n v="1"/>
    <n v="289"/>
    <n v="4"/>
  </r>
  <r>
    <s v="0063"/>
    <x v="288"/>
    <n v="9"/>
    <s v="Company I"/>
    <x v="1"/>
    <x v="1"/>
    <s v="California"/>
    <x v="1"/>
    <n v="289"/>
    <n v="7"/>
    <n v="2023"/>
    <n v="4"/>
  </r>
  <r>
    <s v="0066"/>
    <x v="289"/>
    <n v="10"/>
    <s v="Company J"/>
    <x v="1"/>
    <x v="1"/>
    <s v="California"/>
    <x v="1"/>
    <n v="289"/>
    <n v="3"/>
    <n v="867"/>
    <n v="4"/>
  </r>
  <r>
    <s v="0074"/>
    <x v="290"/>
    <n v="20"/>
    <s v="Company T"/>
    <x v="6"/>
    <x v="0"/>
    <s v="Arizona"/>
    <x v="1"/>
    <n v="289"/>
    <n v="1"/>
    <n v="289"/>
    <n v="5"/>
  </r>
  <r>
    <s v="0075"/>
    <x v="290"/>
    <n v="13"/>
    <s v="Company M"/>
    <x v="3"/>
    <x v="2"/>
    <s v="New Mexico"/>
    <x v="1"/>
    <n v="289"/>
    <n v="5"/>
    <n v="1445"/>
    <n v="5"/>
  </r>
  <r>
    <s v="0078"/>
    <x v="10"/>
    <n v="5"/>
    <s v="Company E"/>
    <x v="4"/>
    <x v="2"/>
    <s v="Texas"/>
    <x v="1"/>
    <n v="289"/>
    <n v="1"/>
    <n v="289"/>
    <n v="2"/>
  </r>
  <r>
    <s v="0079"/>
    <x v="10"/>
    <n v="19"/>
    <s v="Company S"/>
    <x v="6"/>
    <x v="0"/>
    <s v="Arizona"/>
    <x v="1"/>
    <n v="289"/>
    <n v="8"/>
    <n v="2312"/>
    <n v="5"/>
  </r>
  <r>
    <s v="0080"/>
    <x v="10"/>
    <n v="10"/>
    <s v="Company J"/>
    <x v="7"/>
    <x v="3"/>
    <s v="California"/>
    <x v="1"/>
    <n v="289"/>
    <n v="3"/>
    <n v="867"/>
    <n v="8"/>
  </r>
  <r>
    <s v="0091"/>
    <x v="291"/>
    <n v="19"/>
    <s v="Company S"/>
    <x v="0"/>
    <x v="0"/>
    <s v="Arizona"/>
    <x v="1"/>
    <n v="289"/>
    <n v="4"/>
    <n v="1156"/>
    <n v="3"/>
  </r>
  <r>
    <s v="0118"/>
    <x v="292"/>
    <n v="5"/>
    <s v="Company E"/>
    <x v="2"/>
    <x v="0"/>
    <s v="Texas"/>
    <x v="1"/>
    <n v="289"/>
    <n v="2"/>
    <n v="578"/>
    <n v="2"/>
  </r>
  <r>
    <s v="0123"/>
    <x v="19"/>
    <n v="2"/>
    <s v="Company B"/>
    <x v="2"/>
    <x v="0"/>
    <s v="Texas"/>
    <x v="1"/>
    <n v="289"/>
    <n v="6"/>
    <n v="1734"/>
    <n v="2"/>
  </r>
  <r>
    <s v="0124"/>
    <x v="19"/>
    <n v="4"/>
    <s v="Company D"/>
    <x v="4"/>
    <x v="2"/>
    <s v="Texas"/>
    <x v="1"/>
    <n v="289"/>
    <n v="7"/>
    <n v="2023"/>
    <n v="2"/>
  </r>
  <r>
    <s v="0142"/>
    <x v="21"/>
    <n v="10"/>
    <s v="Company J"/>
    <x v="7"/>
    <x v="3"/>
    <s v="California"/>
    <x v="1"/>
    <n v="289"/>
    <n v="4"/>
    <n v="1156"/>
    <n v="8"/>
  </r>
  <r>
    <s v="0143"/>
    <x v="21"/>
    <n v="7"/>
    <s v="Company G"/>
    <x v="1"/>
    <x v="1"/>
    <s v="California"/>
    <x v="1"/>
    <n v="289"/>
    <n v="5"/>
    <n v="1445"/>
    <n v="4"/>
  </r>
  <r>
    <s v="0149"/>
    <x v="21"/>
    <n v="12"/>
    <s v="Company L"/>
    <x v="5"/>
    <x v="1"/>
    <s v="New Mexico"/>
    <x v="1"/>
    <n v="289"/>
    <n v="8"/>
    <n v="2312"/>
    <n v="6"/>
  </r>
  <r>
    <s v="0153"/>
    <x v="21"/>
    <n v="2"/>
    <s v="Company B"/>
    <x v="4"/>
    <x v="2"/>
    <s v="Texas"/>
    <x v="1"/>
    <n v="289"/>
    <n v="2"/>
    <n v="578"/>
    <n v="2"/>
  </r>
  <r>
    <s v="0157"/>
    <x v="293"/>
    <n v="13"/>
    <s v="Company M"/>
    <x v="3"/>
    <x v="2"/>
    <s v="New Mexico"/>
    <x v="1"/>
    <n v="289"/>
    <n v="3"/>
    <n v="867"/>
    <n v="5"/>
  </r>
  <r>
    <s v="0163"/>
    <x v="293"/>
    <n v="19"/>
    <s v="Company S"/>
    <x v="6"/>
    <x v="0"/>
    <s v="Arizona"/>
    <x v="1"/>
    <n v="289"/>
    <n v="7"/>
    <n v="2023"/>
    <n v="5"/>
  </r>
  <r>
    <s v="0175"/>
    <x v="294"/>
    <n v="11"/>
    <s v="Company K"/>
    <x v="3"/>
    <x v="2"/>
    <s v="New Mexico"/>
    <x v="1"/>
    <n v="289"/>
    <n v="5"/>
    <n v="1445"/>
    <n v="5"/>
  </r>
  <r>
    <s v="0177"/>
    <x v="295"/>
    <n v="8"/>
    <s v="Company H"/>
    <x v="1"/>
    <x v="1"/>
    <s v="California"/>
    <x v="1"/>
    <n v="289"/>
    <n v="1"/>
    <n v="289"/>
    <n v="4"/>
  </r>
  <r>
    <s v="0179"/>
    <x v="295"/>
    <n v="1"/>
    <s v="Company A"/>
    <x v="2"/>
    <x v="0"/>
    <s v="Texas"/>
    <x v="1"/>
    <n v="289"/>
    <n v="2"/>
    <n v="578"/>
    <n v="2"/>
  </r>
  <r>
    <s v="0186"/>
    <x v="23"/>
    <n v="5"/>
    <s v="Company E"/>
    <x v="4"/>
    <x v="2"/>
    <s v="Texas"/>
    <x v="1"/>
    <n v="289"/>
    <n v="4"/>
    <n v="1156"/>
    <n v="2"/>
  </r>
  <r>
    <s v="0196"/>
    <x v="296"/>
    <n v="6"/>
    <s v="Company F"/>
    <x v="1"/>
    <x v="1"/>
    <s v="California"/>
    <x v="1"/>
    <n v="289"/>
    <n v="9"/>
    <n v="2601"/>
    <n v="4"/>
  </r>
  <r>
    <s v="0201"/>
    <x v="297"/>
    <n v="18"/>
    <s v="Company R"/>
    <x v="6"/>
    <x v="0"/>
    <s v="Arizona"/>
    <x v="1"/>
    <n v="289"/>
    <n v="5"/>
    <n v="1445"/>
    <n v="5"/>
  </r>
  <r>
    <s v="0203"/>
    <x v="298"/>
    <n v="12"/>
    <s v="Company L"/>
    <x v="3"/>
    <x v="2"/>
    <s v="New Mexico"/>
    <x v="1"/>
    <n v="289"/>
    <n v="7"/>
    <n v="2023"/>
    <n v="5"/>
  </r>
  <r>
    <s v="0217"/>
    <x v="28"/>
    <n v="12"/>
    <s v="Company L"/>
    <x v="5"/>
    <x v="1"/>
    <s v="New Mexico"/>
    <x v="1"/>
    <n v="289"/>
    <n v="4"/>
    <n v="1156"/>
    <n v="6"/>
  </r>
  <r>
    <s v="0228"/>
    <x v="299"/>
    <n v="1"/>
    <s v="Company A"/>
    <x v="4"/>
    <x v="2"/>
    <s v="Texas"/>
    <x v="1"/>
    <n v="289"/>
    <n v="2"/>
    <n v="578"/>
    <n v="2"/>
  </r>
  <r>
    <s v="0229"/>
    <x v="299"/>
    <n v="17"/>
    <s v="Company Q"/>
    <x v="6"/>
    <x v="0"/>
    <s v="Arizona"/>
    <x v="1"/>
    <n v="289"/>
    <n v="8"/>
    <n v="2312"/>
    <n v="5"/>
  </r>
  <r>
    <s v="0235"/>
    <x v="32"/>
    <n v="2"/>
    <s v="Company B"/>
    <x v="2"/>
    <x v="0"/>
    <s v="Texas"/>
    <x v="1"/>
    <n v="289"/>
    <n v="3"/>
    <n v="867"/>
    <n v="2"/>
  </r>
  <r>
    <s v="0242"/>
    <x v="300"/>
    <n v="2"/>
    <s v="Company B"/>
    <x v="2"/>
    <x v="0"/>
    <s v="Texas"/>
    <x v="1"/>
    <n v="289"/>
    <n v="0"/>
    <n v="0"/>
    <n v="2"/>
  </r>
  <r>
    <s v="0246"/>
    <x v="33"/>
    <n v="20"/>
    <s v="Company T"/>
    <x v="6"/>
    <x v="0"/>
    <s v="Arizona"/>
    <x v="1"/>
    <n v="289"/>
    <n v="4"/>
    <n v="1156"/>
    <n v="5"/>
  </r>
  <r>
    <s v="0247"/>
    <x v="33"/>
    <n v="6"/>
    <s v="Company F"/>
    <x v="7"/>
    <x v="3"/>
    <s v="California"/>
    <x v="1"/>
    <n v="289"/>
    <n v="2"/>
    <n v="578"/>
    <n v="8"/>
  </r>
  <r>
    <s v="0259"/>
    <x v="34"/>
    <n v="16"/>
    <s v="Company P"/>
    <x v="6"/>
    <x v="0"/>
    <s v="Arizona"/>
    <x v="1"/>
    <n v="289"/>
    <n v="1"/>
    <n v="289"/>
    <n v="5"/>
  </r>
  <r>
    <s v="0265"/>
    <x v="301"/>
    <n v="17"/>
    <s v="Company Q"/>
    <x v="6"/>
    <x v="0"/>
    <s v="Arizona"/>
    <x v="1"/>
    <n v="289"/>
    <n v="7"/>
    <n v="2023"/>
    <n v="5"/>
  </r>
  <r>
    <s v="0272"/>
    <x v="35"/>
    <n v="15"/>
    <s v="Company O"/>
    <x v="5"/>
    <x v="1"/>
    <s v="New Mexico"/>
    <x v="1"/>
    <n v="289"/>
    <n v="7"/>
    <n v="2023"/>
    <n v="6"/>
  </r>
  <r>
    <s v="0275"/>
    <x v="35"/>
    <n v="7"/>
    <s v="Company G"/>
    <x v="1"/>
    <x v="1"/>
    <s v="California"/>
    <x v="1"/>
    <n v="289"/>
    <n v="0"/>
    <n v="0"/>
    <n v="4"/>
  </r>
  <r>
    <s v="0277"/>
    <x v="36"/>
    <n v="16"/>
    <s v="Company P"/>
    <x v="6"/>
    <x v="0"/>
    <s v="Arizona"/>
    <x v="1"/>
    <n v="289"/>
    <n v="3"/>
    <n v="867"/>
    <n v="5"/>
  </r>
  <r>
    <s v="0285"/>
    <x v="302"/>
    <n v="11"/>
    <s v="Company K"/>
    <x v="3"/>
    <x v="2"/>
    <s v="New Mexico"/>
    <x v="1"/>
    <n v="289"/>
    <n v="3"/>
    <n v="867"/>
    <n v="5"/>
  </r>
  <r>
    <s v="0287"/>
    <x v="302"/>
    <n v="4"/>
    <s v="Company D"/>
    <x v="2"/>
    <x v="0"/>
    <s v="Texas"/>
    <x v="1"/>
    <n v="289"/>
    <n v="7"/>
    <n v="2023"/>
    <n v="2"/>
  </r>
  <r>
    <s v="0289"/>
    <x v="303"/>
    <n v="20"/>
    <s v="Company T"/>
    <x v="0"/>
    <x v="0"/>
    <s v="Arizona"/>
    <x v="1"/>
    <n v="289"/>
    <n v="1"/>
    <n v="289"/>
    <n v="3"/>
  </r>
  <r>
    <s v="0305"/>
    <x v="304"/>
    <n v="8"/>
    <s v="Company H"/>
    <x v="1"/>
    <x v="1"/>
    <s v="California"/>
    <x v="1"/>
    <n v="289"/>
    <n v="9"/>
    <n v="2601"/>
    <n v="4"/>
  </r>
  <r>
    <s v="0309"/>
    <x v="305"/>
    <n v="15"/>
    <s v="Company O"/>
    <x v="3"/>
    <x v="2"/>
    <s v="New Mexico"/>
    <x v="1"/>
    <n v="289"/>
    <n v="8"/>
    <n v="2312"/>
    <n v="5"/>
  </r>
  <r>
    <s v="0311"/>
    <x v="306"/>
    <n v="19"/>
    <s v="Company S"/>
    <x v="6"/>
    <x v="0"/>
    <s v="Arizona"/>
    <x v="1"/>
    <n v="289"/>
    <n v="5"/>
    <n v="1445"/>
    <n v="5"/>
  </r>
  <r>
    <s v="0322"/>
    <x v="307"/>
    <n v="2"/>
    <s v="Company B"/>
    <x v="2"/>
    <x v="0"/>
    <s v="Texas"/>
    <x v="1"/>
    <n v="289"/>
    <n v="8"/>
    <n v="2312"/>
    <n v="2"/>
  </r>
  <r>
    <s v="0323"/>
    <x v="307"/>
    <n v="19"/>
    <s v="Company S"/>
    <x v="6"/>
    <x v="0"/>
    <s v="Arizona"/>
    <x v="1"/>
    <n v="289"/>
    <n v="3"/>
    <n v="867"/>
    <n v="5"/>
  </r>
  <r>
    <s v="0329"/>
    <x v="40"/>
    <n v="14"/>
    <s v="Company N"/>
    <x v="3"/>
    <x v="2"/>
    <s v="New Mexico"/>
    <x v="1"/>
    <n v="289"/>
    <n v="4"/>
    <n v="1156"/>
    <n v="5"/>
  </r>
  <r>
    <s v="0334"/>
    <x v="308"/>
    <n v="4"/>
    <s v="Company D"/>
    <x v="4"/>
    <x v="2"/>
    <s v="Texas"/>
    <x v="1"/>
    <n v="289"/>
    <n v="6"/>
    <n v="1734"/>
    <n v="2"/>
  </r>
  <r>
    <s v="0341"/>
    <x v="42"/>
    <n v="1"/>
    <s v="Company A"/>
    <x v="2"/>
    <x v="0"/>
    <s v="Texas"/>
    <x v="1"/>
    <n v="289"/>
    <n v="3"/>
    <n v="867"/>
    <n v="2"/>
  </r>
  <r>
    <s v="0348"/>
    <x v="42"/>
    <n v="19"/>
    <s v="Company S"/>
    <x v="6"/>
    <x v="0"/>
    <s v="Arizona"/>
    <x v="1"/>
    <n v="289"/>
    <n v="1"/>
    <n v="289"/>
    <n v="5"/>
  </r>
  <r>
    <s v="0365"/>
    <x v="309"/>
    <n v="7"/>
    <s v="Company G"/>
    <x v="7"/>
    <x v="3"/>
    <s v="California"/>
    <x v="1"/>
    <n v="289"/>
    <n v="9"/>
    <n v="2601"/>
    <n v="8"/>
  </r>
  <r>
    <s v="0367"/>
    <x v="310"/>
    <n v="7"/>
    <s v="Company G"/>
    <x v="7"/>
    <x v="3"/>
    <s v="California"/>
    <x v="1"/>
    <n v="289"/>
    <n v="2"/>
    <n v="578"/>
    <n v="8"/>
  </r>
  <r>
    <s v="0368"/>
    <x v="310"/>
    <n v="8"/>
    <s v="Company H"/>
    <x v="7"/>
    <x v="3"/>
    <s v="California"/>
    <x v="1"/>
    <n v="289"/>
    <n v="6"/>
    <n v="1734"/>
    <n v="8"/>
  </r>
  <r>
    <s v="0372"/>
    <x v="310"/>
    <n v="7"/>
    <s v="Company G"/>
    <x v="7"/>
    <x v="3"/>
    <s v="California"/>
    <x v="1"/>
    <n v="289"/>
    <n v="8"/>
    <n v="2312"/>
    <n v="8"/>
  </r>
  <r>
    <s v="0385"/>
    <x v="47"/>
    <n v="17"/>
    <s v="Company Q"/>
    <x v="0"/>
    <x v="0"/>
    <s v="Arizona"/>
    <x v="1"/>
    <n v="289"/>
    <n v="3"/>
    <n v="867"/>
    <n v="3"/>
  </r>
  <r>
    <s v="0389"/>
    <x v="47"/>
    <n v="13"/>
    <s v="Company M"/>
    <x v="5"/>
    <x v="1"/>
    <s v="New Mexico"/>
    <x v="1"/>
    <n v="289"/>
    <n v="3"/>
    <n v="867"/>
    <n v="6"/>
  </r>
  <r>
    <s v="0390"/>
    <x v="47"/>
    <n v="1"/>
    <s v="Company A"/>
    <x v="4"/>
    <x v="2"/>
    <s v="Texas"/>
    <x v="1"/>
    <n v="289"/>
    <n v="4"/>
    <n v="1156"/>
    <n v="2"/>
  </r>
  <r>
    <s v="0392"/>
    <x v="311"/>
    <n v="8"/>
    <s v="Company H"/>
    <x v="7"/>
    <x v="3"/>
    <s v="California"/>
    <x v="1"/>
    <n v="289"/>
    <n v="0"/>
    <n v="0"/>
    <n v="8"/>
  </r>
  <r>
    <s v="0397"/>
    <x v="312"/>
    <n v="19"/>
    <s v="Company S"/>
    <x v="0"/>
    <x v="0"/>
    <s v="Arizona"/>
    <x v="1"/>
    <n v="289"/>
    <n v="1"/>
    <n v="289"/>
    <n v="3"/>
  </r>
  <r>
    <s v="0400"/>
    <x v="48"/>
    <n v="19"/>
    <s v="Company S"/>
    <x v="6"/>
    <x v="0"/>
    <s v="Arizona"/>
    <x v="1"/>
    <n v="289"/>
    <n v="6"/>
    <n v="1734"/>
    <n v="5"/>
  </r>
  <r>
    <s v="0402"/>
    <x v="49"/>
    <n v="16"/>
    <s v="Company P"/>
    <x v="0"/>
    <x v="0"/>
    <s v="Arizona"/>
    <x v="1"/>
    <n v="289"/>
    <n v="8"/>
    <n v="2312"/>
    <n v="3"/>
  </r>
  <r>
    <s v="0408"/>
    <x v="313"/>
    <n v="4"/>
    <s v="Company D"/>
    <x v="4"/>
    <x v="2"/>
    <s v="Texas"/>
    <x v="1"/>
    <n v="289"/>
    <n v="6"/>
    <n v="1734"/>
    <n v="2"/>
  </r>
  <r>
    <s v="0425"/>
    <x v="314"/>
    <n v="1"/>
    <s v="Company A"/>
    <x v="4"/>
    <x v="2"/>
    <s v="Texas"/>
    <x v="1"/>
    <n v="289"/>
    <n v="7"/>
    <n v="2023"/>
    <n v="2"/>
  </r>
  <r>
    <s v="0430"/>
    <x v="51"/>
    <n v="16"/>
    <s v="Company P"/>
    <x v="0"/>
    <x v="0"/>
    <s v="Arizona"/>
    <x v="1"/>
    <n v="289"/>
    <n v="7"/>
    <n v="2023"/>
    <n v="3"/>
  </r>
  <r>
    <s v="0431"/>
    <x v="51"/>
    <n v="4"/>
    <s v="Company D"/>
    <x v="4"/>
    <x v="2"/>
    <s v="Texas"/>
    <x v="1"/>
    <n v="289"/>
    <n v="6"/>
    <n v="1734"/>
    <n v="2"/>
  </r>
  <r>
    <s v="0433"/>
    <x v="51"/>
    <n v="3"/>
    <s v="Company C"/>
    <x v="2"/>
    <x v="0"/>
    <s v="Texas"/>
    <x v="1"/>
    <n v="289"/>
    <n v="0"/>
    <n v="0"/>
    <n v="2"/>
  </r>
  <r>
    <s v="0434"/>
    <x v="51"/>
    <n v="9"/>
    <s v="Company I"/>
    <x v="7"/>
    <x v="3"/>
    <s v="California"/>
    <x v="1"/>
    <n v="289"/>
    <n v="5"/>
    <n v="1445"/>
    <n v="8"/>
  </r>
  <r>
    <s v="0435"/>
    <x v="51"/>
    <n v="8"/>
    <s v="Company H"/>
    <x v="1"/>
    <x v="1"/>
    <s v="California"/>
    <x v="1"/>
    <n v="289"/>
    <n v="5"/>
    <n v="1445"/>
    <n v="4"/>
  </r>
  <r>
    <s v="0449"/>
    <x v="52"/>
    <n v="10"/>
    <s v="Company J"/>
    <x v="7"/>
    <x v="3"/>
    <s v="California"/>
    <x v="1"/>
    <n v="289"/>
    <n v="6"/>
    <n v="1734"/>
    <n v="8"/>
  </r>
  <r>
    <s v="0450"/>
    <x v="52"/>
    <n v="5"/>
    <s v="Company E"/>
    <x v="4"/>
    <x v="2"/>
    <s v="Texas"/>
    <x v="1"/>
    <n v="289"/>
    <n v="8"/>
    <n v="2312"/>
    <n v="2"/>
  </r>
  <r>
    <s v="0464"/>
    <x v="55"/>
    <n v="4"/>
    <s v="Company D"/>
    <x v="4"/>
    <x v="2"/>
    <s v="Texas"/>
    <x v="1"/>
    <n v="289"/>
    <n v="2"/>
    <n v="578"/>
    <n v="2"/>
  </r>
  <r>
    <s v="0469"/>
    <x v="56"/>
    <n v="2"/>
    <s v="Company B"/>
    <x v="2"/>
    <x v="0"/>
    <s v="Texas"/>
    <x v="1"/>
    <n v="289"/>
    <n v="1"/>
    <n v="289"/>
    <n v="2"/>
  </r>
  <r>
    <s v="0471"/>
    <x v="315"/>
    <n v="5"/>
    <s v="Company E"/>
    <x v="4"/>
    <x v="2"/>
    <s v="Texas"/>
    <x v="1"/>
    <n v="289"/>
    <n v="4"/>
    <n v="1156"/>
    <n v="2"/>
  </r>
  <r>
    <s v="0473"/>
    <x v="58"/>
    <n v="13"/>
    <s v="Company M"/>
    <x v="3"/>
    <x v="2"/>
    <s v="New Mexico"/>
    <x v="1"/>
    <n v="289"/>
    <n v="8"/>
    <n v="2312"/>
    <n v="5"/>
  </r>
  <r>
    <s v="0477"/>
    <x v="58"/>
    <n v="7"/>
    <s v="Company G"/>
    <x v="7"/>
    <x v="3"/>
    <s v="California"/>
    <x v="1"/>
    <n v="289"/>
    <n v="5"/>
    <n v="1445"/>
    <n v="8"/>
  </r>
  <r>
    <s v="0481"/>
    <x v="316"/>
    <n v="17"/>
    <s v="Company Q"/>
    <x v="6"/>
    <x v="0"/>
    <s v="Arizona"/>
    <x v="1"/>
    <n v="289"/>
    <n v="3"/>
    <n v="867"/>
    <n v="5"/>
  </r>
  <r>
    <s v="0487"/>
    <x v="317"/>
    <n v="4"/>
    <s v="Company D"/>
    <x v="4"/>
    <x v="2"/>
    <s v="Texas"/>
    <x v="1"/>
    <n v="289"/>
    <n v="4"/>
    <n v="1156"/>
    <n v="2"/>
  </r>
  <r>
    <s v="0492"/>
    <x v="317"/>
    <n v="3"/>
    <s v="Company C"/>
    <x v="2"/>
    <x v="0"/>
    <s v="Texas"/>
    <x v="1"/>
    <n v="289"/>
    <n v="6"/>
    <n v="1734"/>
    <n v="2"/>
  </r>
  <r>
    <s v="0496"/>
    <x v="59"/>
    <n v="9"/>
    <s v="Company I"/>
    <x v="7"/>
    <x v="3"/>
    <s v="California"/>
    <x v="1"/>
    <n v="289"/>
    <n v="6"/>
    <n v="1734"/>
    <n v="8"/>
  </r>
  <r>
    <s v="0497"/>
    <x v="59"/>
    <n v="4"/>
    <s v="Company D"/>
    <x v="4"/>
    <x v="2"/>
    <s v="Texas"/>
    <x v="1"/>
    <n v="289"/>
    <n v="1"/>
    <n v="289"/>
    <n v="2"/>
  </r>
  <r>
    <s v="0500"/>
    <x v="59"/>
    <n v="4"/>
    <s v="Company D"/>
    <x v="2"/>
    <x v="0"/>
    <s v="Texas"/>
    <x v="1"/>
    <n v="289"/>
    <n v="6"/>
    <n v="1734"/>
    <n v="2"/>
  </r>
  <r>
    <s v="0503"/>
    <x v="318"/>
    <n v="10"/>
    <s v="Company J"/>
    <x v="1"/>
    <x v="1"/>
    <s v="California"/>
    <x v="1"/>
    <n v="289"/>
    <n v="8"/>
    <n v="2312"/>
    <n v="4"/>
  </r>
  <r>
    <s v="0511"/>
    <x v="319"/>
    <n v="19"/>
    <s v="Company S"/>
    <x v="6"/>
    <x v="0"/>
    <s v="Arizona"/>
    <x v="1"/>
    <n v="289"/>
    <n v="9"/>
    <n v="2601"/>
    <n v="5"/>
  </r>
  <r>
    <s v="0515"/>
    <x v="320"/>
    <n v="8"/>
    <s v="Company H"/>
    <x v="1"/>
    <x v="1"/>
    <s v="California"/>
    <x v="1"/>
    <n v="289"/>
    <n v="4"/>
    <n v="1156"/>
    <n v="4"/>
  </r>
  <r>
    <s v="0516"/>
    <x v="320"/>
    <n v="4"/>
    <s v="Company D"/>
    <x v="4"/>
    <x v="2"/>
    <s v="Texas"/>
    <x v="1"/>
    <n v="289"/>
    <n v="3"/>
    <n v="867"/>
    <n v="2"/>
  </r>
  <r>
    <s v="0517"/>
    <x v="321"/>
    <n v="19"/>
    <s v="Company S"/>
    <x v="6"/>
    <x v="0"/>
    <s v="Arizona"/>
    <x v="1"/>
    <n v="289"/>
    <n v="4"/>
    <n v="1156"/>
    <n v="5"/>
  </r>
  <r>
    <s v="0521"/>
    <x v="61"/>
    <n v="5"/>
    <s v="Company E"/>
    <x v="4"/>
    <x v="2"/>
    <s v="Texas"/>
    <x v="1"/>
    <n v="289"/>
    <n v="3"/>
    <n v="867"/>
    <n v="2"/>
  </r>
  <r>
    <s v="0523"/>
    <x v="61"/>
    <n v="18"/>
    <s v="Company R"/>
    <x v="6"/>
    <x v="0"/>
    <s v="Arizona"/>
    <x v="1"/>
    <n v="289"/>
    <n v="7"/>
    <n v="2023"/>
    <n v="5"/>
  </r>
  <r>
    <s v="0526"/>
    <x v="61"/>
    <n v="20"/>
    <s v="Company T"/>
    <x v="0"/>
    <x v="0"/>
    <s v="Arizona"/>
    <x v="1"/>
    <n v="289"/>
    <n v="7"/>
    <n v="2023"/>
    <n v="3"/>
  </r>
  <r>
    <s v="0527"/>
    <x v="61"/>
    <n v="1"/>
    <s v="Company A"/>
    <x v="4"/>
    <x v="2"/>
    <s v="Texas"/>
    <x v="1"/>
    <n v="289"/>
    <n v="7"/>
    <n v="2023"/>
    <n v="2"/>
  </r>
  <r>
    <s v="0528"/>
    <x v="61"/>
    <n v="4"/>
    <s v="Company D"/>
    <x v="2"/>
    <x v="0"/>
    <s v="Texas"/>
    <x v="1"/>
    <n v="289"/>
    <n v="9"/>
    <n v="2601"/>
    <n v="2"/>
  </r>
  <r>
    <s v="0541"/>
    <x v="63"/>
    <n v="9"/>
    <s v="Company I"/>
    <x v="1"/>
    <x v="1"/>
    <s v="California"/>
    <x v="1"/>
    <n v="289"/>
    <n v="9"/>
    <n v="2601"/>
    <n v="4"/>
  </r>
  <r>
    <s v="0544"/>
    <x v="64"/>
    <n v="9"/>
    <s v="Company I"/>
    <x v="1"/>
    <x v="1"/>
    <s v="California"/>
    <x v="1"/>
    <n v="289"/>
    <n v="6"/>
    <n v="1734"/>
    <n v="4"/>
  </r>
  <r>
    <s v="0552"/>
    <x v="65"/>
    <n v="2"/>
    <s v="Company B"/>
    <x v="4"/>
    <x v="2"/>
    <s v="Texas"/>
    <x v="1"/>
    <n v="289"/>
    <n v="5"/>
    <n v="1445"/>
    <n v="2"/>
  </r>
  <r>
    <s v="0559"/>
    <x v="67"/>
    <n v="2"/>
    <s v="Company B"/>
    <x v="4"/>
    <x v="2"/>
    <s v="Texas"/>
    <x v="1"/>
    <n v="289"/>
    <n v="2"/>
    <n v="578"/>
    <n v="2"/>
  </r>
  <r>
    <s v="0560"/>
    <x v="67"/>
    <n v="15"/>
    <s v="Company O"/>
    <x v="5"/>
    <x v="1"/>
    <s v="New Mexico"/>
    <x v="1"/>
    <n v="289"/>
    <n v="5"/>
    <n v="1445"/>
    <n v="6"/>
  </r>
  <r>
    <s v="0561"/>
    <x v="322"/>
    <n v="13"/>
    <s v="Company M"/>
    <x v="3"/>
    <x v="2"/>
    <s v="New Mexico"/>
    <x v="1"/>
    <n v="289"/>
    <n v="3"/>
    <n v="867"/>
    <n v="5"/>
  </r>
  <r>
    <s v="0562"/>
    <x v="323"/>
    <n v="17"/>
    <s v="Company Q"/>
    <x v="0"/>
    <x v="0"/>
    <s v="Arizona"/>
    <x v="1"/>
    <n v="289"/>
    <n v="6"/>
    <n v="1734"/>
    <n v="3"/>
  </r>
  <r>
    <s v="0570"/>
    <x v="324"/>
    <n v="3"/>
    <s v="Company C"/>
    <x v="4"/>
    <x v="2"/>
    <s v="Texas"/>
    <x v="1"/>
    <n v="289"/>
    <n v="3"/>
    <n v="867"/>
    <n v="2"/>
  </r>
  <r>
    <s v="0571"/>
    <x v="324"/>
    <n v="3"/>
    <s v="Company C"/>
    <x v="4"/>
    <x v="2"/>
    <s v="Texas"/>
    <x v="1"/>
    <n v="289"/>
    <n v="1"/>
    <n v="289"/>
    <n v="2"/>
  </r>
  <r>
    <s v="0586"/>
    <x v="71"/>
    <n v="4"/>
    <s v="Company D"/>
    <x v="2"/>
    <x v="0"/>
    <s v="Texas"/>
    <x v="1"/>
    <n v="289"/>
    <n v="5"/>
    <n v="1445"/>
    <n v="2"/>
  </r>
  <r>
    <s v="0591"/>
    <x v="325"/>
    <n v="4"/>
    <s v="Company D"/>
    <x v="4"/>
    <x v="2"/>
    <s v="Texas"/>
    <x v="1"/>
    <n v="289"/>
    <n v="3"/>
    <n v="867"/>
    <n v="2"/>
  </r>
  <r>
    <s v="0592"/>
    <x v="73"/>
    <n v="6"/>
    <s v="Company F"/>
    <x v="1"/>
    <x v="1"/>
    <s v="California"/>
    <x v="1"/>
    <n v="289"/>
    <n v="9"/>
    <n v="2601"/>
    <n v="4"/>
  </r>
  <r>
    <s v="0594"/>
    <x v="73"/>
    <n v="2"/>
    <s v="Company B"/>
    <x v="4"/>
    <x v="2"/>
    <s v="Texas"/>
    <x v="1"/>
    <n v="289"/>
    <n v="1"/>
    <n v="289"/>
    <n v="2"/>
  </r>
  <r>
    <s v="0600"/>
    <x v="74"/>
    <n v="5"/>
    <s v="Company E"/>
    <x v="2"/>
    <x v="0"/>
    <s v="Texas"/>
    <x v="1"/>
    <n v="289"/>
    <n v="0"/>
    <n v="0"/>
    <n v="2"/>
  </r>
  <r>
    <s v="0603"/>
    <x v="74"/>
    <n v="11"/>
    <s v="Company K"/>
    <x v="3"/>
    <x v="2"/>
    <s v="New Mexico"/>
    <x v="1"/>
    <n v="289"/>
    <n v="7"/>
    <n v="2023"/>
    <n v="5"/>
  </r>
  <r>
    <s v="0604"/>
    <x v="74"/>
    <n v="1"/>
    <s v="Company A"/>
    <x v="4"/>
    <x v="2"/>
    <s v="Texas"/>
    <x v="1"/>
    <n v="289"/>
    <n v="8"/>
    <n v="2312"/>
    <n v="2"/>
  </r>
  <r>
    <s v="0606"/>
    <x v="75"/>
    <n v="12"/>
    <s v="Company L"/>
    <x v="3"/>
    <x v="2"/>
    <s v="New Mexico"/>
    <x v="1"/>
    <n v="289"/>
    <n v="3"/>
    <n v="867"/>
    <n v="5"/>
  </r>
  <r>
    <s v="0611"/>
    <x v="326"/>
    <n v="10"/>
    <s v="Company J"/>
    <x v="1"/>
    <x v="1"/>
    <s v="California"/>
    <x v="1"/>
    <n v="289"/>
    <n v="9"/>
    <n v="2601"/>
    <n v="4"/>
  </r>
  <r>
    <s v="0612"/>
    <x v="326"/>
    <n v="17"/>
    <s v="Company Q"/>
    <x v="6"/>
    <x v="0"/>
    <s v="Arizona"/>
    <x v="1"/>
    <n v="289"/>
    <n v="9"/>
    <n v="2601"/>
    <n v="5"/>
  </r>
  <r>
    <s v="0614"/>
    <x v="327"/>
    <n v="20"/>
    <s v="Company T"/>
    <x v="0"/>
    <x v="0"/>
    <s v="Arizona"/>
    <x v="1"/>
    <n v="289"/>
    <n v="0"/>
    <n v="0"/>
    <n v="3"/>
  </r>
  <r>
    <s v="0619"/>
    <x v="328"/>
    <n v="17"/>
    <s v="Company Q"/>
    <x v="0"/>
    <x v="0"/>
    <s v="Arizona"/>
    <x v="1"/>
    <n v="289"/>
    <n v="6"/>
    <n v="1734"/>
    <n v="3"/>
  </r>
  <r>
    <s v="0626"/>
    <x v="77"/>
    <n v="1"/>
    <s v="Company A"/>
    <x v="2"/>
    <x v="0"/>
    <s v="Texas"/>
    <x v="1"/>
    <n v="289"/>
    <n v="0"/>
    <n v="0"/>
    <n v="2"/>
  </r>
  <r>
    <s v="0640"/>
    <x v="80"/>
    <n v="20"/>
    <s v="Company T"/>
    <x v="0"/>
    <x v="0"/>
    <s v="Arizona"/>
    <x v="1"/>
    <n v="289"/>
    <n v="4"/>
    <n v="1156"/>
    <n v="3"/>
  </r>
  <r>
    <s v="0647"/>
    <x v="329"/>
    <n v="13"/>
    <s v="Company M"/>
    <x v="3"/>
    <x v="2"/>
    <s v="New Mexico"/>
    <x v="1"/>
    <n v="289"/>
    <n v="3"/>
    <n v="867"/>
    <n v="5"/>
  </r>
  <r>
    <s v="0650"/>
    <x v="82"/>
    <n v="13"/>
    <s v="Company M"/>
    <x v="5"/>
    <x v="1"/>
    <s v="New Mexico"/>
    <x v="1"/>
    <n v="289"/>
    <n v="3"/>
    <n v="867"/>
    <n v="6"/>
  </r>
  <r>
    <s v="0655"/>
    <x v="330"/>
    <n v="2"/>
    <s v="Company B"/>
    <x v="2"/>
    <x v="0"/>
    <s v="Texas"/>
    <x v="1"/>
    <n v="289"/>
    <n v="2"/>
    <n v="578"/>
    <n v="2"/>
  </r>
  <r>
    <s v="0660"/>
    <x v="331"/>
    <n v="1"/>
    <s v="Company A"/>
    <x v="2"/>
    <x v="0"/>
    <s v="Texas"/>
    <x v="1"/>
    <n v="289"/>
    <n v="4"/>
    <n v="1156"/>
    <n v="2"/>
  </r>
  <r>
    <s v="0674"/>
    <x v="332"/>
    <n v="18"/>
    <s v="Company R"/>
    <x v="0"/>
    <x v="0"/>
    <s v="Arizona"/>
    <x v="1"/>
    <n v="289"/>
    <n v="8"/>
    <n v="2312"/>
    <n v="3"/>
  </r>
  <r>
    <s v="0682"/>
    <x v="86"/>
    <n v="18"/>
    <s v="Company R"/>
    <x v="6"/>
    <x v="0"/>
    <s v="Arizona"/>
    <x v="1"/>
    <n v="289"/>
    <n v="3"/>
    <n v="867"/>
    <n v="5"/>
  </r>
  <r>
    <s v="0683"/>
    <x v="86"/>
    <n v="16"/>
    <s v="Company P"/>
    <x v="0"/>
    <x v="0"/>
    <s v="Arizona"/>
    <x v="1"/>
    <n v="289"/>
    <n v="6"/>
    <n v="1734"/>
    <n v="3"/>
  </r>
  <r>
    <s v="0691"/>
    <x v="86"/>
    <n v="19"/>
    <s v="Company S"/>
    <x v="6"/>
    <x v="0"/>
    <s v="Arizona"/>
    <x v="1"/>
    <n v="289"/>
    <n v="2"/>
    <n v="578"/>
    <n v="5"/>
  </r>
  <r>
    <s v="0692"/>
    <x v="86"/>
    <n v="7"/>
    <s v="Company G"/>
    <x v="1"/>
    <x v="1"/>
    <s v="California"/>
    <x v="1"/>
    <n v="289"/>
    <n v="4"/>
    <n v="1156"/>
    <n v="4"/>
  </r>
  <r>
    <s v="0695"/>
    <x v="333"/>
    <n v="12"/>
    <s v="Company L"/>
    <x v="5"/>
    <x v="1"/>
    <s v="New Mexico"/>
    <x v="1"/>
    <n v="289"/>
    <n v="7"/>
    <n v="2023"/>
    <n v="6"/>
  </r>
  <r>
    <s v="0698"/>
    <x v="334"/>
    <n v="8"/>
    <s v="Company H"/>
    <x v="1"/>
    <x v="1"/>
    <s v="California"/>
    <x v="1"/>
    <n v="289"/>
    <n v="9"/>
    <n v="2601"/>
    <n v="4"/>
  </r>
  <r>
    <s v="0700"/>
    <x v="335"/>
    <n v="20"/>
    <s v="Company T"/>
    <x v="0"/>
    <x v="0"/>
    <s v="Arizona"/>
    <x v="1"/>
    <n v="289"/>
    <n v="0"/>
    <n v="0"/>
    <n v="3"/>
  </r>
  <r>
    <s v="0701"/>
    <x v="336"/>
    <n v="15"/>
    <s v="Company O"/>
    <x v="3"/>
    <x v="2"/>
    <s v="New Mexico"/>
    <x v="1"/>
    <n v="289"/>
    <n v="2"/>
    <n v="578"/>
    <n v="5"/>
  </r>
  <r>
    <s v="0703"/>
    <x v="337"/>
    <n v="19"/>
    <s v="Company S"/>
    <x v="0"/>
    <x v="0"/>
    <s v="Arizona"/>
    <x v="1"/>
    <n v="289"/>
    <n v="9"/>
    <n v="2601"/>
    <n v="3"/>
  </r>
  <r>
    <s v="0704"/>
    <x v="337"/>
    <n v="15"/>
    <s v="Company O"/>
    <x v="3"/>
    <x v="2"/>
    <s v="New Mexico"/>
    <x v="1"/>
    <n v="289"/>
    <n v="6"/>
    <n v="1734"/>
    <n v="5"/>
  </r>
  <r>
    <s v="0705"/>
    <x v="337"/>
    <n v="14"/>
    <s v="Company N"/>
    <x v="3"/>
    <x v="2"/>
    <s v="New Mexico"/>
    <x v="1"/>
    <n v="289"/>
    <n v="0"/>
    <n v="0"/>
    <n v="5"/>
  </r>
  <r>
    <s v="0708"/>
    <x v="337"/>
    <n v="1"/>
    <s v="Company A"/>
    <x v="2"/>
    <x v="0"/>
    <s v="Texas"/>
    <x v="1"/>
    <n v="289"/>
    <n v="4"/>
    <n v="1156"/>
    <n v="2"/>
  </r>
  <r>
    <s v="0710"/>
    <x v="337"/>
    <n v="13"/>
    <s v="Company M"/>
    <x v="3"/>
    <x v="2"/>
    <s v="New Mexico"/>
    <x v="1"/>
    <n v="289"/>
    <n v="8"/>
    <n v="2312"/>
    <n v="5"/>
  </r>
  <r>
    <s v="0714"/>
    <x v="338"/>
    <n v="4"/>
    <s v="Company D"/>
    <x v="2"/>
    <x v="0"/>
    <s v="Texas"/>
    <x v="1"/>
    <n v="289"/>
    <n v="6"/>
    <n v="1734"/>
    <n v="2"/>
  </r>
  <r>
    <s v="0720"/>
    <x v="339"/>
    <n v="9"/>
    <s v="Company I"/>
    <x v="1"/>
    <x v="1"/>
    <s v="California"/>
    <x v="1"/>
    <n v="289"/>
    <n v="9"/>
    <n v="2601"/>
    <n v="4"/>
  </r>
  <r>
    <s v="0724"/>
    <x v="87"/>
    <n v="7"/>
    <s v="Company G"/>
    <x v="1"/>
    <x v="1"/>
    <s v="California"/>
    <x v="1"/>
    <n v="289"/>
    <n v="5"/>
    <n v="1445"/>
    <n v="4"/>
  </r>
  <r>
    <s v="0725"/>
    <x v="87"/>
    <n v="8"/>
    <s v="Company H"/>
    <x v="7"/>
    <x v="3"/>
    <s v="California"/>
    <x v="1"/>
    <n v="289"/>
    <n v="2"/>
    <n v="578"/>
    <n v="8"/>
  </r>
  <r>
    <s v="0726"/>
    <x v="87"/>
    <n v="8"/>
    <s v="Company H"/>
    <x v="1"/>
    <x v="1"/>
    <s v="California"/>
    <x v="1"/>
    <n v="289"/>
    <n v="1"/>
    <n v="289"/>
    <n v="4"/>
  </r>
  <r>
    <s v="0728"/>
    <x v="340"/>
    <n v="10"/>
    <s v="Company J"/>
    <x v="7"/>
    <x v="3"/>
    <s v="California"/>
    <x v="1"/>
    <n v="289"/>
    <n v="7"/>
    <n v="2023"/>
    <n v="8"/>
  </r>
  <r>
    <s v="0732"/>
    <x v="88"/>
    <n v="1"/>
    <s v="Company A"/>
    <x v="4"/>
    <x v="2"/>
    <s v="Texas"/>
    <x v="1"/>
    <n v="289"/>
    <n v="6"/>
    <n v="1734"/>
    <n v="2"/>
  </r>
  <r>
    <s v="0734"/>
    <x v="88"/>
    <n v="3"/>
    <s v="Company C"/>
    <x v="2"/>
    <x v="0"/>
    <s v="Texas"/>
    <x v="1"/>
    <n v="289"/>
    <n v="2"/>
    <n v="578"/>
    <n v="2"/>
  </r>
  <r>
    <s v="0741"/>
    <x v="341"/>
    <n v="1"/>
    <s v="Company A"/>
    <x v="4"/>
    <x v="2"/>
    <s v="Texas"/>
    <x v="1"/>
    <n v="289"/>
    <n v="7"/>
    <n v="2023"/>
    <n v="2"/>
  </r>
  <r>
    <s v="0742"/>
    <x v="341"/>
    <n v="18"/>
    <s v="Company R"/>
    <x v="0"/>
    <x v="0"/>
    <s v="Arizona"/>
    <x v="1"/>
    <n v="289"/>
    <n v="0"/>
    <n v="0"/>
    <n v="3"/>
  </r>
  <r>
    <s v="0749"/>
    <x v="342"/>
    <n v="11"/>
    <s v="Company K"/>
    <x v="5"/>
    <x v="1"/>
    <s v="New Mexico"/>
    <x v="1"/>
    <n v="289"/>
    <n v="3"/>
    <n v="867"/>
    <n v="6"/>
  </r>
  <r>
    <s v="0751"/>
    <x v="342"/>
    <n v="10"/>
    <s v="Company J"/>
    <x v="7"/>
    <x v="3"/>
    <s v="California"/>
    <x v="1"/>
    <n v="289"/>
    <n v="5"/>
    <n v="1445"/>
    <n v="8"/>
  </r>
  <r>
    <s v="0757"/>
    <x v="93"/>
    <n v="13"/>
    <s v="Company M"/>
    <x v="5"/>
    <x v="1"/>
    <s v="New Mexico"/>
    <x v="1"/>
    <n v="289"/>
    <n v="0"/>
    <n v="0"/>
    <n v="6"/>
  </r>
  <r>
    <s v="0759"/>
    <x v="93"/>
    <n v="3"/>
    <s v="Company C"/>
    <x v="4"/>
    <x v="2"/>
    <s v="Texas"/>
    <x v="1"/>
    <n v="289"/>
    <n v="1"/>
    <n v="289"/>
    <n v="2"/>
  </r>
  <r>
    <s v="0762"/>
    <x v="94"/>
    <n v="16"/>
    <s v="Company P"/>
    <x v="0"/>
    <x v="0"/>
    <s v="Arizona"/>
    <x v="1"/>
    <n v="289"/>
    <n v="2"/>
    <n v="578"/>
    <n v="3"/>
  </r>
  <r>
    <s v="0771"/>
    <x v="97"/>
    <n v="4"/>
    <s v="Company D"/>
    <x v="2"/>
    <x v="0"/>
    <s v="Texas"/>
    <x v="1"/>
    <n v="289"/>
    <n v="2"/>
    <n v="578"/>
    <n v="2"/>
  </r>
  <r>
    <s v="0772"/>
    <x v="97"/>
    <n v="6"/>
    <s v="Company F"/>
    <x v="1"/>
    <x v="1"/>
    <s v="California"/>
    <x v="1"/>
    <n v="289"/>
    <n v="3"/>
    <n v="867"/>
    <n v="4"/>
  </r>
  <r>
    <s v="0778"/>
    <x v="98"/>
    <n v="2"/>
    <s v="Company B"/>
    <x v="2"/>
    <x v="0"/>
    <s v="Texas"/>
    <x v="1"/>
    <n v="289"/>
    <n v="5"/>
    <n v="1445"/>
    <n v="2"/>
  </r>
  <r>
    <s v="0779"/>
    <x v="98"/>
    <n v="14"/>
    <s v="Company N"/>
    <x v="5"/>
    <x v="1"/>
    <s v="New Mexico"/>
    <x v="1"/>
    <n v="289"/>
    <n v="6"/>
    <n v="1734"/>
    <n v="6"/>
  </r>
  <r>
    <s v="0786"/>
    <x v="99"/>
    <n v="4"/>
    <s v="Company D"/>
    <x v="4"/>
    <x v="2"/>
    <s v="Texas"/>
    <x v="1"/>
    <n v="289"/>
    <n v="6"/>
    <n v="1734"/>
    <n v="2"/>
  </r>
  <r>
    <s v="0796"/>
    <x v="101"/>
    <n v="18"/>
    <s v="Company R"/>
    <x v="0"/>
    <x v="0"/>
    <s v="Arizona"/>
    <x v="1"/>
    <n v="289"/>
    <n v="4"/>
    <n v="1156"/>
    <n v="3"/>
  </r>
  <r>
    <s v="0801"/>
    <x v="102"/>
    <n v="10"/>
    <s v="Company J"/>
    <x v="1"/>
    <x v="1"/>
    <s v="California"/>
    <x v="1"/>
    <n v="289"/>
    <n v="7"/>
    <n v="2023"/>
    <n v="4"/>
  </r>
  <r>
    <s v="0819"/>
    <x v="106"/>
    <n v="6"/>
    <s v="Company F"/>
    <x v="7"/>
    <x v="3"/>
    <s v="California"/>
    <x v="1"/>
    <n v="289"/>
    <n v="0"/>
    <n v="0"/>
    <n v="8"/>
  </r>
  <r>
    <s v="0824"/>
    <x v="107"/>
    <n v="8"/>
    <s v="Company H"/>
    <x v="7"/>
    <x v="3"/>
    <s v="California"/>
    <x v="1"/>
    <n v="289"/>
    <n v="0"/>
    <n v="0"/>
    <n v="8"/>
  </r>
  <r>
    <s v="0826"/>
    <x v="108"/>
    <n v="15"/>
    <s v="Company O"/>
    <x v="5"/>
    <x v="1"/>
    <s v="New Mexico"/>
    <x v="1"/>
    <n v="289"/>
    <n v="1"/>
    <n v="289"/>
    <n v="6"/>
  </r>
  <r>
    <s v="0832"/>
    <x v="343"/>
    <n v="3"/>
    <s v="Company C"/>
    <x v="4"/>
    <x v="2"/>
    <s v="Texas"/>
    <x v="1"/>
    <n v="289"/>
    <n v="1"/>
    <n v="289"/>
    <n v="2"/>
  </r>
  <r>
    <s v="0839"/>
    <x v="344"/>
    <n v="20"/>
    <s v="Company T"/>
    <x v="0"/>
    <x v="0"/>
    <s v="Arizona"/>
    <x v="1"/>
    <n v="289"/>
    <n v="4"/>
    <n v="1156"/>
    <n v="3"/>
  </r>
  <r>
    <s v="0841"/>
    <x v="345"/>
    <n v="7"/>
    <s v="Company G"/>
    <x v="7"/>
    <x v="3"/>
    <s v="California"/>
    <x v="1"/>
    <n v="289"/>
    <n v="2"/>
    <n v="578"/>
    <n v="8"/>
  </r>
  <r>
    <s v="0844"/>
    <x v="346"/>
    <n v="11"/>
    <s v="Company K"/>
    <x v="3"/>
    <x v="2"/>
    <s v="New Mexico"/>
    <x v="1"/>
    <n v="289"/>
    <n v="6"/>
    <n v="1734"/>
    <n v="5"/>
  </r>
  <r>
    <s v="0848"/>
    <x v="112"/>
    <n v="15"/>
    <s v="Company O"/>
    <x v="3"/>
    <x v="2"/>
    <s v="New Mexico"/>
    <x v="1"/>
    <n v="289"/>
    <n v="3"/>
    <n v="867"/>
    <n v="5"/>
  </r>
  <r>
    <s v="0850"/>
    <x v="112"/>
    <n v="10"/>
    <s v="Company J"/>
    <x v="1"/>
    <x v="1"/>
    <s v="California"/>
    <x v="1"/>
    <n v="289"/>
    <n v="0"/>
    <n v="0"/>
    <n v="4"/>
  </r>
  <r>
    <s v="0851"/>
    <x v="112"/>
    <n v="17"/>
    <s v="Company Q"/>
    <x v="6"/>
    <x v="0"/>
    <s v="Arizona"/>
    <x v="1"/>
    <n v="289"/>
    <n v="0"/>
    <n v="0"/>
    <n v="5"/>
  </r>
  <r>
    <s v="0855"/>
    <x v="112"/>
    <n v="9"/>
    <s v="Company I"/>
    <x v="7"/>
    <x v="3"/>
    <s v="California"/>
    <x v="1"/>
    <n v="289"/>
    <n v="7"/>
    <n v="2023"/>
    <n v="8"/>
  </r>
  <r>
    <s v="0857"/>
    <x v="347"/>
    <n v="19"/>
    <s v="Company S"/>
    <x v="6"/>
    <x v="0"/>
    <s v="Arizona"/>
    <x v="1"/>
    <n v="289"/>
    <n v="8"/>
    <n v="2312"/>
    <n v="5"/>
  </r>
  <r>
    <s v="0859"/>
    <x v="113"/>
    <n v="19"/>
    <s v="Company S"/>
    <x v="0"/>
    <x v="0"/>
    <s v="Arizona"/>
    <x v="1"/>
    <n v="289"/>
    <n v="4"/>
    <n v="1156"/>
    <n v="3"/>
  </r>
  <r>
    <s v="0864"/>
    <x v="348"/>
    <n v="3"/>
    <s v="Company C"/>
    <x v="4"/>
    <x v="2"/>
    <s v="Texas"/>
    <x v="1"/>
    <n v="289"/>
    <n v="4"/>
    <n v="1156"/>
    <n v="2"/>
  </r>
  <r>
    <s v="0874"/>
    <x v="349"/>
    <n v="3"/>
    <s v="Company C"/>
    <x v="4"/>
    <x v="2"/>
    <s v="Texas"/>
    <x v="1"/>
    <n v="289"/>
    <n v="8"/>
    <n v="2312"/>
    <n v="2"/>
  </r>
  <r>
    <s v="0876"/>
    <x v="349"/>
    <n v="7"/>
    <s v="Company G"/>
    <x v="1"/>
    <x v="1"/>
    <s v="California"/>
    <x v="1"/>
    <n v="289"/>
    <n v="0"/>
    <n v="0"/>
    <n v="4"/>
  </r>
  <r>
    <s v="0877"/>
    <x v="350"/>
    <n v="11"/>
    <s v="Company K"/>
    <x v="3"/>
    <x v="2"/>
    <s v="New Mexico"/>
    <x v="1"/>
    <n v="289"/>
    <n v="1"/>
    <n v="289"/>
    <n v="5"/>
  </r>
  <r>
    <s v="0884"/>
    <x v="351"/>
    <n v="14"/>
    <s v="Company N"/>
    <x v="5"/>
    <x v="1"/>
    <s v="New Mexico"/>
    <x v="1"/>
    <n v="289"/>
    <n v="9"/>
    <n v="2601"/>
    <n v="6"/>
  </r>
  <r>
    <s v="0887"/>
    <x v="352"/>
    <n v="20"/>
    <s v="Company T"/>
    <x v="0"/>
    <x v="0"/>
    <s v="Arizona"/>
    <x v="1"/>
    <n v="289"/>
    <n v="1"/>
    <n v="289"/>
    <n v="3"/>
  </r>
  <r>
    <s v="0890"/>
    <x v="353"/>
    <n v="9"/>
    <s v="Company I"/>
    <x v="1"/>
    <x v="1"/>
    <s v="California"/>
    <x v="1"/>
    <n v="289"/>
    <n v="9"/>
    <n v="2601"/>
    <n v="4"/>
  </r>
  <r>
    <s v="0903"/>
    <x v="354"/>
    <n v="6"/>
    <s v="Company F"/>
    <x v="7"/>
    <x v="3"/>
    <s v="California"/>
    <x v="1"/>
    <n v="289"/>
    <n v="3"/>
    <n v="867"/>
    <n v="8"/>
  </r>
  <r>
    <s v="0904"/>
    <x v="354"/>
    <n v="5"/>
    <s v="Company E"/>
    <x v="2"/>
    <x v="0"/>
    <s v="Texas"/>
    <x v="1"/>
    <n v="289"/>
    <n v="1"/>
    <n v="289"/>
    <n v="2"/>
  </r>
  <r>
    <s v="0905"/>
    <x v="355"/>
    <n v="13"/>
    <s v="Company M"/>
    <x v="3"/>
    <x v="2"/>
    <s v="New Mexico"/>
    <x v="1"/>
    <n v="289"/>
    <n v="7"/>
    <n v="2023"/>
    <n v="5"/>
  </r>
  <r>
    <s v="0908"/>
    <x v="356"/>
    <n v="20"/>
    <s v="Company T"/>
    <x v="6"/>
    <x v="0"/>
    <s v="Arizona"/>
    <x v="1"/>
    <n v="289"/>
    <n v="3"/>
    <n v="867"/>
    <n v="5"/>
  </r>
  <r>
    <s v="0912"/>
    <x v="357"/>
    <n v="13"/>
    <s v="Company M"/>
    <x v="3"/>
    <x v="2"/>
    <s v="New Mexico"/>
    <x v="1"/>
    <n v="289"/>
    <n v="8"/>
    <n v="2312"/>
    <n v="5"/>
  </r>
  <r>
    <s v="0916"/>
    <x v="358"/>
    <n v="10"/>
    <s v="Company J"/>
    <x v="1"/>
    <x v="1"/>
    <s v="California"/>
    <x v="1"/>
    <n v="289"/>
    <n v="5"/>
    <n v="1445"/>
    <n v="4"/>
  </r>
  <r>
    <s v="0922"/>
    <x v="120"/>
    <n v="1"/>
    <s v="Company A"/>
    <x v="2"/>
    <x v="0"/>
    <s v="Texas"/>
    <x v="1"/>
    <n v="289"/>
    <n v="7"/>
    <n v="2023"/>
    <n v="2"/>
  </r>
  <r>
    <s v="0924"/>
    <x v="120"/>
    <n v="11"/>
    <s v="Company K"/>
    <x v="3"/>
    <x v="2"/>
    <s v="New Mexico"/>
    <x v="1"/>
    <n v="289"/>
    <n v="9"/>
    <n v="2601"/>
    <n v="5"/>
  </r>
  <r>
    <s v="0935"/>
    <x v="359"/>
    <n v="18"/>
    <s v="Company R"/>
    <x v="6"/>
    <x v="0"/>
    <s v="Arizona"/>
    <x v="1"/>
    <n v="289"/>
    <n v="5"/>
    <n v="1445"/>
    <n v="5"/>
  </r>
  <r>
    <s v="0939"/>
    <x v="122"/>
    <n v="1"/>
    <s v="Company A"/>
    <x v="4"/>
    <x v="2"/>
    <s v="Texas"/>
    <x v="1"/>
    <n v="289"/>
    <n v="7"/>
    <n v="2023"/>
    <n v="2"/>
  </r>
  <r>
    <s v="0957"/>
    <x v="126"/>
    <n v="17"/>
    <s v="Company Q"/>
    <x v="0"/>
    <x v="0"/>
    <s v="Arizona"/>
    <x v="1"/>
    <n v="289"/>
    <n v="9"/>
    <n v="2601"/>
    <n v="3"/>
  </r>
  <r>
    <s v="0980"/>
    <x v="130"/>
    <n v="9"/>
    <s v="Company I"/>
    <x v="1"/>
    <x v="1"/>
    <s v="California"/>
    <x v="1"/>
    <n v="289"/>
    <n v="9"/>
    <n v="2601"/>
    <n v="4"/>
  </r>
  <r>
    <s v="0990"/>
    <x v="132"/>
    <n v="16"/>
    <s v="Company P"/>
    <x v="0"/>
    <x v="0"/>
    <s v="Arizona"/>
    <x v="1"/>
    <n v="289"/>
    <n v="4"/>
    <n v="1156"/>
    <n v="3"/>
  </r>
  <r>
    <s v="1001"/>
    <x v="360"/>
    <n v="15"/>
    <s v="Company O"/>
    <x v="3"/>
    <x v="2"/>
    <s v="New Mexico"/>
    <x v="1"/>
    <n v="289"/>
    <n v="7"/>
    <n v="2023"/>
    <n v="5"/>
  </r>
  <r>
    <s v="1008"/>
    <x v="134"/>
    <n v="15"/>
    <s v="Company O"/>
    <x v="3"/>
    <x v="2"/>
    <s v="New Mexico"/>
    <x v="1"/>
    <n v="289"/>
    <n v="1"/>
    <n v="289"/>
    <n v="5"/>
  </r>
  <r>
    <s v="1011"/>
    <x v="361"/>
    <n v="7"/>
    <s v="Company G"/>
    <x v="1"/>
    <x v="1"/>
    <s v="California"/>
    <x v="1"/>
    <n v="289"/>
    <n v="0"/>
    <n v="0"/>
    <n v="4"/>
  </r>
  <r>
    <s v="1012"/>
    <x v="361"/>
    <n v="3"/>
    <s v="Company C"/>
    <x v="4"/>
    <x v="2"/>
    <s v="Texas"/>
    <x v="1"/>
    <n v="289"/>
    <n v="4"/>
    <n v="1156"/>
    <n v="2"/>
  </r>
  <r>
    <s v="1016"/>
    <x v="135"/>
    <n v="6"/>
    <s v="Company F"/>
    <x v="7"/>
    <x v="3"/>
    <s v="California"/>
    <x v="1"/>
    <n v="289"/>
    <n v="5"/>
    <n v="1445"/>
    <n v="8"/>
  </r>
  <r>
    <s v="1037"/>
    <x v="139"/>
    <n v="12"/>
    <s v="Company L"/>
    <x v="3"/>
    <x v="2"/>
    <s v="New Mexico"/>
    <x v="1"/>
    <n v="289"/>
    <n v="6"/>
    <n v="1734"/>
    <n v="5"/>
  </r>
  <r>
    <s v="1039"/>
    <x v="140"/>
    <n v="13"/>
    <s v="Company M"/>
    <x v="5"/>
    <x v="1"/>
    <s v="New Mexico"/>
    <x v="1"/>
    <n v="289"/>
    <n v="1"/>
    <n v="289"/>
    <n v="6"/>
  </r>
  <r>
    <s v="1042"/>
    <x v="140"/>
    <n v="14"/>
    <s v="Company N"/>
    <x v="5"/>
    <x v="1"/>
    <s v="New Mexico"/>
    <x v="1"/>
    <n v="289"/>
    <n v="2"/>
    <n v="578"/>
    <n v="6"/>
  </r>
  <r>
    <s v="1047"/>
    <x v="362"/>
    <n v="6"/>
    <s v="Company F"/>
    <x v="1"/>
    <x v="1"/>
    <s v="California"/>
    <x v="1"/>
    <n v="289"/>
    <n v="1"/>
    <n v="289"/>
    <n v="4"/>
  </r>
  <r>
    <s v="1048"/>
    <x v="362"/>
    <n v="13"/>
    <s v="Company M"/>
    <x v="5"/>
    <x v="1"/>
    <s v="New Mexico"/>
    <x v="1"/>
    <n v="289"/>
    <n v="7"/>
    <n v="2023"/>
    <n v="6"/>
  </r>
  <r>
    <s v="1055"/>
    <x v="363"/>
    <n v="11"/>
    <s v="Company K"/>
    <x v="3"/>
    <x v="2"/>
    <s v="New Mexico"/>
    <x v="1"/>
    <n v="289"/>
    <n v="8"/>
    <n v="2312"/>
    <n v="5"/>
  </r>
  <r>
    <s v="1056"/>
    <x v="363"/>
    <n v="4"/>
    <s v="Company D"/>
    <x v="2"/>
    <x v="0"/>
    <s v="Texas"/>
    <x v="1"/>
    <n v="289"/>
    <n v="7"/>
    <n v="2023"/>
    <n v="2"/>
  </r>
  <r>
    <s v="1059"/>
    <x v="143"/>
    <n v="12"/>
    <s v="Company L"/>
    <x v="5"/>
    <x v="1"/>
    <s v="New Mexico"/>
    <x v="1"/>
    <n v="289"/>
    <n v="9"/>
    <n v="2601"/>
    <n v="6"/>
  </r>
  <r>
    <s v="1062"/>
    <x v="144"/>
    <n v="17"/>
    <s v="Company Q"/>
    <x v="0"/>
    <x v="0"/>
    <s v="Arizona"/>
    <x v="1"/>
    <n v="289"/>
    <n v="0"/>
    <n v="0"/>
    <n v="3"/>
  </r>
  <r>
    <s v="1064"/>
    <x v="364"/>
    <n v="1"/>
    <s v="Company A"/>
    <x v="4"/>
    <x v="2"/>
    <s v="Texas"/>
    <x v="1"/>
    <n v="289"/>
    <n v="4"/>
    <n v="1156"/>
    <n v="2"/>
  </r>
  <r>
    <s v="1065"/>
    <x v="364"/>
    <n v="19"/>
    <s v="Company S"/>
    <x v="6"/>
    <x v="0"/>
    <s v="Arizona"/>
    <x v="1"/>
    <n v="289"/>
    <n v="2"/>
    <n v="578"/>
    <n v="5"/>
  </r>
  <r>
    <s v="1073"/>
    <x v="365"/>
    <n v="9"/>
    <s v="Company I"/>
    <x v="7"/>
    <x v="3"/>
    <s v="California"/>
    <x v="1"/>
    <n v="289"/>
    <n v="7"/>
    <n v="2023"/>
    <n v="8"/>
  </r>
  <r>
    <s v="1076"/>
    <x v="366"/>
    <n v="20"/>
    <s v="Company T"/>
    <x v="6"/>
    <x v="0"/>
    <s v="Arizona"/>
    <x v="1"/>
    <n v="289"/>
    <n v="8"/>
    <n v="2312"/>
    <n v="5"/>
  </r>
  <r>
    <s v="1077"/>
    <x v="367"/>
    <n v="11"/>
    <s v="Company K"/>
    <x v="3"/>
    <x v="2"/>
    <s v="New Mexico"/>
    <x v="1"/>
    <n v="289"/>
    <n v="9"/>
    <n v="2601"/>
    <n v="5"/>
  </r>
  <r>
    <s v="1078"/>
    <x v="368"/>
    <n v="13"/>
    <s v="Company M"/>
    <x v="3"/>
    <x v="2"/>
    <s v="New Mexico"/>
    <x v="1"/>
    <n v="289"/>
    <n v="8"/>
    <n v="2312"/>
    <n v="5"/>
  </r>
  <r>
    <s v="1080"/>
    <x v="368"/>
    <n v="19"/>
    <s v="Company S"/>
    <x v="6"/>
    <x v="0"/>
    <s v="Arizona"/>
    <x v="1"/>
    <n v="289"/>
    <n v="9"/>
    <n v="2601"/>
    <n v="5"/>
  </r>
  <r>
    <s v="1081"/>
    <x v="369"/>
    <n v="14"/>
    <s v="Company N"/>
    <x v="3"/>
    <x v="2"/>
    <s v="New Mexico"/>
    <x v="1"/>
    <n v="289"/>
    <n v="5"/>
    <n v="1445"/>
    <n v="5"/>
  </r>
  <r>
    <s v="1083"/>
    <x v="148"/>
    <n v="13"/>
    <s v="Company M"/>
    <x v="3"/>
    <x v="2"/>
    <s v="New Mexico"/>
    <x v="1"/>
    <n v="289"/>
    <n v="5"/>
    <n v="1445"/>
    <n v="5"/>
  </r>
  <r>
    <s v="1090"/>
    <x v="370"/>
    <n v="18"/>
    <s v="Company R"/>
    <x v="6"/>
    <x v="0"/>
    <s v="Arizona"/>
    <x v="1"/>
    <n v="289"/>
    <n v="9"/>
    <n v="2601"/>
    <n v="5"/>
  </r>
  <r>
    <s v="1091"/>
    <x v="371"/>
    <n v="15"/>
    <s v="Company O"/>
    <x v="5"/>
    <x v="1"/>
    <s v="New Mexico"/>
    <x v="1"/>
    <n v="289"/>
    <n v="9"/>
    <n v="2601"/>
    <n v="6"/>
  </r>
  <r>
    <s v="1092"/>
    <x v="371"/>
    <n v="8"/>
    <s v="Company H"/>
    <x v="7"/>
    <x v="3"/>
    <s v="California"/>
    <x v="1"/>
    <n v="289"/>
    <n v="2"/>
    <n v="578"/>
    <n v="8"/>
  </r>
  <r>
    <s v="1095"/>
    <x v="372"/>
    <n v="20"/>
    <s v="Company T"/>
    <x v="0"/>
    <x v="0"/>
    <s v="Arizona"/>
    <x v="1"/>
    <n v="289"/>
    <n v="3"/>
    <n v="867"/>
    <n v="3"/>
  </r>
  <r>
    <s v="1106"/>
    <x v="150"/>
    <n v="20"/>
    <s v="Company T"/>
    <x v="6"/>
    <x v="0"/>
    <s v="Arizona"/>
    <x v="1"/>
    <n v="289"/>
    <n v="4"/>
    <n v="1156"/>
    <n v="5"/>
  </r>
  <r>
    <s v="1117"/>
    <x v="151"/>
    <n v="9"/>
    <s v="Company I"/>
    <x v="7"/>
    <x v="3"/>
    <s v="California"/>
    <x v="1"/>
    <n v="289"/>
    <n v="5"/>
    <n v="1445"/>
    <n v="8"/>
  </r>
  <r>
    <s v="1126"/>
    <x v="373"/>
    <n v="11"/>
    <s v="Company K"/>
    <x v="3"/>
    <x v="2"/>
    <s v="New Mexico"/>
    <x v="1"/>
    <n v="289"/>
    <n v="9"/>
    <n v="2601"/>
    <n v="5"/>
  </r>
  <r>
    <s v="1135"/>
    <x v="374"/>
    <n v="5"/>
    <s v="Company E"/>
    <x v="2"/>
    <x v="0"/>
    <s v="Texas"/>
    <x v="1"/>
    <n v="289"/>
    <n v="4"/>
    <n v="1156"/>
    <n v="2"/>
  </r>
  <r>
    <s v="1137"/>
    <x v="374"/>
    <n v="3"/>
    <s v="Company C"/>
    <x v="4"/>
    <x v="2"/>
    <s v="Texas"/>
    <x v="1"/>
    <n v="289"/>
    <n v="6"/>
    <n v="1734"/>
    <n v="2"/>
  </r>
  <r>
    <s v="1139"/>
    <x v="375"/>
    <n v="11"/>
    <s v="Company K"/>
    <x v="3"/>
    <x v="2"/>
    <s v="New Mexico"/>
    <x v="1"/>
    <n v="289"/>
    <n v="2"/>
    <n v="578"/>
    <n v="5"/>
  </r>
  <r>
    <s v="1151"/>
    <x v="376"/>
    <n v="1"/>
    <s v="Company A"/>
    <x v="4"/>
    <x v="2"/>
    <s v="Texas"/>
    <x v="1"/>
    <n v="289"/>
    <n v="4"/>
    <n v="1156"/>
    <n v="2"/>
  </r>
  <r>
    <s v="1156"/>
    <x v="377"/>
    <n v="15"/>
    <s v="Company O"/>
    <x v="5"/>
    <x v="1"/>
    <s v="New Mexico"/>
    <x v="1"/>
    <n v="289"/>
    <n v="0"/>
    <n v="0"/>
    <n v="6"/>
  </r>
  <r>
    <s v="1161"/>
    <x v="378"/>
    <n v="10"/>
    <s v="Company J"/>
    <x v="1"/>
    <x v="1"/>
    <s v="California"/>
    <x v="1"/>
    <n v="289"/>
    <n v="3"/>
    <n v="867"/>
    <n v="4"/>
  </r>
  <r>
    <s v="1166"/>
    <x v="379"/>
    <n v="13"/>
    <s v="Company M"/>
    <x v="5"/>
    <x v="1"/>
    <s v="New Mexico"/>
    <x v="1"/>
    <n v="289"/>
    <n v="9"/>
    <n v="2601"/>
    <n v="6"/>
  </r>
  <r>
    <s v="1182"/>
    <x v="159"/>
    <n v="15"/>
    <s v="Company O"/>
    <x v="5"/>
    <x v="1"/>
    <s v="New Mexico"/>
    <x v="1"/>
    <n v="289"/>
    <n v="2"/>
    <n v="578"/>
    <n v="6"/>
  </r>
  <r>
    <s v="1194"/>
    <x v="160"/>
    <n v="12"/>
    <s v="Company L"/>
    <x v="5"/>
    <x v="1"/>
    <s v="New Mexico"/>
    <x v="1"/>
    <n v="289"/>
    <n v="7"/>
    <n v="2023"/>
    <n v="6"/>
  </r>
  <r>
    <s v="1196"/>
    <x v="380"/>
    <n v="16"/>
    <s v="Company P"/>
    <x v="0"/>
    <x v="0"/>
    <s v="Arizona"/>
    <x v="1"/>
    <n v="289"/>
    <n v="9"/>
    <n v="2601"/>
    <n v="3"/>
  </r>
  <r>
    <s v="1202"/>
    <x v="161"/>
    <n v="18"/>
    <s v="Company R"/>
    <x v="0"/>
    <x v="0"/>
    <s v="Arizona"/>
    <x v="1"/>
    <n v="289"/>
    <n v="2"/>
    <n v="578"/>
    <n v="3"/>
  </r>
  <r>
    <s v="1205"/>
    <x v="161"/>
    <n v="7"/>
    <s v="Company G"/>
    <x v="7"/>
    <x v="3"/>
    <s v="California"/>
    <x v="1"/>
    <n v="289"/>
    <n v="5"/>
    <n v="1445"/>
    <n v="8"/>
  </r>
  <r>
    <s v="1214"/>
    <x v="381"/>
    <n v="8"/>
    <s v="Company H"/>
    <x v="1"/>
    <x v="1"/>
    <s v="California"/>
    <x v="1"/>
    <n v="289"/>
    <n v="4"/>
    <n v="1156"/>
    <n v="4"/>
  </r>
  <r>
    <s v="1219"/>
    <x v="382"/>
    <n v="2"/>
    <s v="Company B"/>
    <x v="4"/>
    <x v="2"/>
    <s v="Texas"/>
    <x v="1"/>
    <n v="289"/>
    <n v="5"/>
    <n v="1445"/>
    <n v="2"/>
  </r>
  <r>
    <s v="1220"/>
    <x v="382"/>
    <n v="7"/>
    <s v="Company G"/>
    <x v="7"/>
    <x v="3"/>
    <s v="California"/>
    <x v="1"/>
    <n v="289"/>
    <n v="7"/>
    <n v="2023"/>
    <n v="8"/>
  </r>
  <r>
    <s v="1228"/>
    <x v="383"/>
    <n v="17"/>
    <s v="Company Q"/>
    <x v="6"/>
    <x v="0"/>
    <s v="Arizona"/>
    <x v="1"/>
    <n v="289"/>
    <n v="2"/>
    <n v="578"/>
    <n v="5"/>
  </r>
  <r>
    <s v="1235"/>
    <x v="384"/>
    <n v="9"/>
    <s v="Company I"/>
    <x v="1"/>
    <x v="1"/>
    <s v="California"/>
    <x v="1"/>
    <n v="289"/>
    <n v="1"/>
    <n v="289"/>
    <n v="4"/>
  </r>
  <r>
    <s v="1238"/>
    <x v="385"/>
    <n v="13"/>
    <s v="Company M"/>
    <x v="5"/>
    <x v="1"/>
    <s v="New Mexico"/>
    <x v="1"/>
    <n v="289"/>
    <n v="9"/>
    <n v="2601"/>
    <n v="6"/>
  </r>
  <r>
    <s v="1239"/>
    <x v="386"/>
    <n v="8"/>
    <s v="Company H"/>
    <x v="7"/>
    <x v="3"/>
    <s v="California"/>
    <x v="1"/>
    <n v="289"/>
    <n v="3"/>
    <n v="867"/>
    <n v="8"/>
  </r>
  <r>
    <s v="1242"/>
    <x v="387"/>
    <n v="9"/>
    <s v="Company I"/>
    <x v="1"/>
    <x v="1"/>
    <s v="California"/>
    <x v="1"/>
    <n v="289"/>
    <n v="0"/>
    <n v="0"/>
    <n v="4"/>
  </r>
  <r>
    <s v="1243"/>
    <x v="167"/>
    <n v="16"/>
    <s v="Company P"/>
    <x v="0"/>
    <x v="0"/>
    <s v="Arizona"/>
    <x v="1"/>
    <n v="289"/>
    <n v="9"/>
    <n v="2601"/>
    <n v="3"/>
  </r>
  <r>
    <s v="1244"/>
    <x v="167"/>
    <n v="16"/>
    <s v="Company P"/>
    <x v="6"/>
    <x v="0"/>
    <s v="Arizona"/>
    <x v="1"/>
    <n v="289"/>
    <n v="9"/>
    <n v="2601"/>
    <n v="5"/>
  </r>
  <r>
    <s v="1246"/>
    <x v="167"/>
    <n v="3"/>
    <s v="Company C"/>
    <x v="4"/>
    <x v="2"/>
    <s v="Texas"/>
    <x v="1"/>
    <n v="289"/>
    <n v="9"/>
    <n v="2601"/>
    <n v="2"/>
  </r>
  <r>
    <s v="1252"/>
    <x v="388"/>
    <n v="9"/>
    <s v="Company I"/>
    <x v="7"/>
    <x v="3"/>
    <s v="California"/>
    <x v="1"/>
    <n v="289"/>
    <n v="4"/>
    <n v="1156"/>
    <n v="8"/>
  </r>
  <r>
    <s v="1270"/>
    <x v="389"/>
    <n v="1"/>
    <s v="Company A"/>
    <x v="4"/>
    <x v="2"/>
    <s v="Texas"/>
    <x v="1"/>
    <n v="289"/>
    <n v="7"/>
    <n v="2023"/>
    <n v="2"/>
  </r>
  <r>
    <s v="1272"/>
    <x v="390"/>
    <n v="11"/>
    <s v="Company K"/>
    <x v="5"/>
    <x v="1"/>
    <s v="New Mexico"/>
    <x v="1"/>
    <n v="289"/>
    <n v="4"/>
    <n v="1156"/>
    <n v="6"/>
  </r>
  <r>
    <s v="1274"/>
    <x v="173"/>
    <n v="5"/>
    <s v="Company E"/>
    <x v="4"/>
    <x v="2"/>
    <s v="Texas"/>
    <x v="1"/>
    <n v="289"/>
    <n v="0"/>
    <n v="0"/>
    <n v="2"/>
  </r>
  <r>
    <s v="1280"/>
    <x v="174"/>
    <n v="3"/>
    <s v="Company C"/>
    <x v="2"/>
    <x v="0"/>
    <s v="Texas"/>
    <x v="1"/>
    <n v="289"/>
    <n v="7"/>
    <n v="2023"/>
    <n v="2"/>
  </r>
  <r>
    <s v="1286"/>
    <x v="174"/>
    <n v="3"/>
    <s v="Company C"/>
    <x v="2"/>
    <x v="0"/>
    <s v="Texas"/>
    <x v="1"/>
    <n v="289"/>
    <n v="7"/>
    <n v="2023"/>
    <n v="2"/>
  </r>
  <r>
    <s v="1290"/>
    <x v="174"/>
    <n v="14"/>
    <s v="Company N"/>
    <x v="5"/>
    <x v="1"/>
    <s v="New Mexico"/>
    <x v="1"/>
    <n v="289"/>
    <n v="9"/>
    <n v="2601"/>
    <n v="6"/>
  </r>
  <r>
    <s v="1291"/>
    <x v="391"/>
    <n v="8"/>
    <s v="Company H"/>
    <x v="1"/>
    <x v="1"/>
    <s v="California"/>
    <x v="1"/>
    <n v="289"/>
    <n v="5"/>
    <n v="1445"/>
    <n v="4"/>
  </r>
  <r>
    <s v="1294"/>
    <x v="175"/>
    <n v="8"/>
    <s v="Company H"/>
    <x v="1"/>
    <x v="1"/>
    <s v="California"/>
    <x v="1"/>
    <n v="289"/>
    <n v="1"/>
    <n v="289"/>
    <n v="4"/>
  </r>
  <r>
    <s v="1296"/>
    <x v="176"/>
    <n v="20"/>
    <s v="Company T"/>
    <x v="6"/>
    <x v="0"/>
    <s v="Arizona"/>
    <x v="1"/>
    <n v="289"/>
    <n v="0"/>
    <n v="0"/>
    <n v="5"/>
  </r>
  <r>
    <s v="1297"/>
    <x v="176"/>
    <n v="13"/>
    <s v="Company M"/>
    <x v="3"/>
    <x v="2"/>
    <s v="New Mexico"/>
    <x v="1"/>
    <n v="289"/>
    <n v="7"/>
    <n v="2023"/>
    <n v="5"/>
  </r>
  <r>
    <s v="1300"/>
    <x v="176"/>
    <n v="16"/>
    <s v="Company P"/>
    <x v="6"/>
    <x v="0"/>
    <s v="Arizona"/>
    <x v="1"/>
    <n v="289"/>
    <n v="3"/>
    <n v="867"/>
    <n v="5"/>
  </r>
  <r>
    <s v="1302"/>
    <x v="176"/>
    <n v="20"/>
    <s v="Company T"/>
    <x v="0"/>
    <x v="0"/>
    <s v="Arizona"/>
    <x v="1"/>
    <n v="289"/>
    <n v="0"/>
    <n v="0"/>
    <n v="3"/>
  </r>
  <r>
    <s v="1303"/>
    <x v="176"/>
    <n v="3"/>
    <s v="Company C"/>
    <x v="2"/>
    <x v="0"/>
    <s v="Texas"/>
    <x v="1"/>
    <n v="289"/>
    <n v="7"/>
    <n v="2023"/>
    <n v="2"/>
  </r>
  <r>
    <s v="1310"/>
    <x v="178"/>
    <n v="8"/>
    <s v="Company H"/>
    <x v="1"/>
    <x v="1"/>
    <s v="California"/>
    <x v="1"/>
    <n v="289"/>
    <n v="0"/>
    <n v="0"/>
    <n v="4"/>
  </r>
  <r>
    <s v="1317"/>
    <x v="179"/>
    <n v="3"/>
    <s v="Company C"/>
    <x v="2"/>
    <x v="0"/>
    <s v="Texas"/>
    <x v="1"/>
    <n v="289"/>
    <n v="3"/>
    <n v="867"/>
    <n v="2"/>
  </r>
  <r>
    <s v="1323"/>
    <x v="180"/>
    <n v="12"/>
    <s v="Company L"/>
    <x v="3"/>
    <x v="2"/>
    <s v="New Mexico"/>
    <x v="1"/>
    <n v="289"/>
    <n v="1"/>
    <n v="289"/>
    <n v="5"/>
  </r>
  <r>
    <s v="1329"/>
    <x v="182"/>
    <n v="19"/>
    <s v="Company S"/>
    <x v="0"/>
    <x v="0"/>
    <s v="Arizona"/>
    <x v="1"/>
    <n v="289"/>
    <n v="7"/>
    <n v="2023"/>
    <n v="3"/>
  </r>
  <r>
    <s v="1331"/>
    <x v="392"/>
    <n v="5"/>
    <s v="Company E"/>
    <x v="4"/>
    <x v="2"/>
    <s v="Texas"/>
    <x v="1"/>
    <n v="289"/>
    <n v="5"/>
    <n v="1445"/>
    <n v="2"/>
  </r>
  <r>
    <s v="1332"/>
    <x v="393"/>
    <n v="2"/>
    <s v="Company B"/>
    <x v="2"/>
    <x v="0"/>
    <s v="Texas"/>
    <x v="1"/>
    <n v="289"/>
    <n v="0"/>
    <n v="0"/>
    <n v="2"/>
  </r>
  <r>
    <s v="1351"/>
    <x v="185"/>
    <n v="8"/>
    <s v="Company H"/>
    <x v="1"/>
    <x v="1"/>
    <s v="California"/>
    <x v="1"/>
    <n v="289"/>
    <n v="9"/>
    <n v="2601"/>
    <n v="4"/>
  </r>
  <r>
    <s v="1355"/>
    <x v="186"/>
    <n v="16"/>
    <s v="Company P"/>
    <x v="6"/>
    <x v="0"/>
    <s v="Arizona"/>
    <x v="1"/>
    <n v="289"/>
    <n v="6"/>
    <n v="1734"/>
    <n v="5"/>
  </r>
  <r>
    <s v="1357"/>
    <x v="186"/>
    <n v="4"/>
    <s v="Company D"/>
    <x v="2"/>
    <x v="0"/>
    <s v="Texas"/>
    <x v="1"/>
    <n v="289"/>
    <n v="6"/>
    <n v="1734"/>
    <n v="2"/>
  </r>
  <r>
    <s v="1359"/>
    <x v="186"/>
    <n v="4"/>
    <s v="Company D"/>
    <x v="2"/>
    <x v="0"/>
    <s v="Texas"/>
    <x v="1"/>
    <n v="289"/>
    <n v="2"/>
    <n v="578"/>
    <n v="2"/>
  </r>
  <r>
    <s v="1361"/>
    <x v="186"/>
    <n v="3"/>
    <s v="Company C"/>
    <x v="2"/>
    <x v="0"/>
    <s v="Texas"/>
    <x v="1"/>
    <n v="289"/>
    <n v="5"/>
    <n v="1445"/>
    <n v="2"/>
  </r>
  <r>
    <s v="1379"/>
    <x v="189"/>
    <n v="14"/>
    <s v="Company N"/>
    <x v="3"/>
    <x v="2"/>
    <s v="New Mexico"/>
    <x v="1"/>
    <n v="289"/>
    <n v="6"/>
    <n v="1734"/>
    <n v="5"/>
  </r>
  <r>
    <s v="1394"/>
    <x v="394"/>
    <n v="1"/>
    <s v="Company A"/>
    <x v="4"/>
    <x v="2"/>
    <s v="Texas"/>
    <x v="1"/>
    <n v="289"/>
    <n v="3"/>
    <n v="867"/>
    <n v="2"/>
  </r>
  <r>
    <s v="1398"/>
    <x v="192"/>
    <n v="17"/>
    <s v="Company Q"/>
    <x v="6"/>
    <x v="0"/>
    <s v="Arizona"/>
    <x v="1"/>
    <n v="289"/>
    <n v="2"/>
    <n v="578"/>
    <n v="5"/>
  </r>
  <r>
    <s v="1401"/>
    <x v="192"/>
    <n v="15"/>
    <s v="Company O"/>
    <x v="5"/>
    <x v="1"/>
    <s v="New Mexico"/>
    <x v="1"/>
    <n v="289"/>
    <n v="6"/>
    <n v="1734"/>
    <n v="6"/>
  </r>
  <r>
    <s v="1404"/>
    <x v="192"/>
    <n v="5"/>
    <s v="Company E"/>
    <x v="2"/>
    <x v="0"/>
    <s v="Texas"/>
    <x v="1"/>
    <n v="289"/>
    <n v="6"/>
    <n v="1734"/>
    <n v="2"/>
  </r>
  <r>
    <s v="1410"/>
    <x v="194"/>
    <n v="12"/>
    <s v="Company L"/>
    <x v="5"/>
    <x v="1"/>
    <s v="New Mexico"/>
    <x v="1"/>
    <n v="289"/>
    <n v="6"/>
    <n v="1734"/>
    <n v="6"/>
  </r>
  <r>
    <s v="1412"/>
    <x v="395"/>
    <n v="19"/>
    <s v="Company S"/>
    <x v="0"/>
    <x v="0"/>
    <s v="Arizona"/>
    <x v="1"/>
    <n v="289"/>
    <n v="3"/>
    <n v="867"/>
    <n v="3"/>
  </r>
  <r>
    <s v="1414"/>
    <x v="195"/>
    <n v="6"/>
    <s v="Company F"/>
    <x v="1"/>
    <x v="1"/>
    <s v="California"/>
    <x v="1"/>
    <n v="289"/>
    <n v="7"/>
    <n v="2023"/>
    <n v="4"/>
  </r>
  <r>
    <s v="1416"/>
    <x v="195"/>
    <n v="13"/>
    <s v="Company M"/>
    <x v="5"/>
    <x v="1"/>
    <s v="New Mexico"/>
    <x v="1"/>
    <n v="289"/>
    <n v="9"/>
    <n v="2601"/>
    <n v="6"/>
  </r>
  <r>
    <s v="1418"/>
    <x v="396"/>
    <n v="1"/>
    <s v="Company A"/>
    <x v="4"/>
    <x v="2"/>
    <s v="Texas"/>
    <x v="1"/>
    <n v="289"/>
    <n v="9"/>
    <n v="2601"/>
    <n v="2"/>
  </r>
  <r>
    <s v="1424"/>
    <x v="197"/>
    <n v="19"/>
    <s v="Company S"/>
    <x v="0"/>
    <x v="0"/>
    <s v="Arizona"/>
    <x v="1"/>
    <n v="289"/>
    <n v="8"/>
    <n v="2312"/>
    <n v="3"/>
  </r>
  <r>
    <s v="1435"/>
    <x v="397"/>
    <n v="19"/>
    <s v="Company S"/>
    <x v="6"/>
    <x v="0"/>
    <s v="Arizona"/>
    <x v="1"/>
    <n v="289"/>
    <n v="2"/>
    <n v="578"/>
    <n v="5"/>
  </r>
  <r>
    <s v="1443"/>
    <x v="398"/>
    <n v="15"/>
    <s v="Company O"/>
    <x v="5"/>
    <x v="1"/>
    <s v="New Mexico"/>
    <x v="1"/>
    <n v="289"/>
    <n v="8"/>
    <n v="2312"/>
    <n v="6"/>
  </r>
  <r>
    <s v="1444"/>
    <x v="399"/>
    <n v="3"/>
    <s v="Company C"/>
    <x v="2"/>
    <x v="0"/>
    <s v="Texas"/>
    <x v="1"/>
    <n v="289"/>
    <n v="2"/>
    <n v="578"/>
    <n v="2"/>
  </r>
  <r>
    <s v="1454"/>
    <x v="201"/>
    <n v="7"/>
    <s v="Company G"/>
    <x v="1"/>
    <x v="1"/>
    <s v="California"/>
    <x v="1"/>
    <n v="289"/>
    <n v="3"/>
    <n v="867"/>
    <n v="4"/>
  </r>
  <r>
    <s v="1462"/>
    <x v="400"/>
    <n v="19"/>
    <s v="Company S"/>
    <x v="0"/>
    <x v="0"/>
    <s v="Arizona"/>
    <x v="1"/>
    <n v="289"/>
    <n v="3"/>
    <n v="867"/>
    <n v="3"/>
  </r>
  <r>
    <s v="1464"/>
    <x v="400"/>
    <n v="5"/>
    <s v="Company E"/>
    <x v="4"/>
    <x v="2"/>
    <s v="Texas"/>
    <x v="1"/>
    <n v="289"/>
    <n v="5"/>
    <n v="1445"/>
    <n v="2"/>
  </r>
  <r>
    <s v="1473"/>
    <x v="205"/>
    <n v="12"/>
    <s v="Company L"/>
    <x v="3"/>
    <x v="2"/>
    <s v="New Mexico"/>
    <x v="1"/>
    <n v="289"/>
    <n v="5"/>
    <n v="1445"/>
    <n v="5"/>
  </r>
  <r>
    <s v="1485"/>
    <x v="401"/>
    <n v="6"/>
    <s v="Company F"/>
    <x v="1"/>
    <x v="1"/>
    <s v="California"/>
    <x v="1"/>
    <n v="289"/>
    <n v="5"/>
    <n v="1445"/>
    <n v="4"/>
  </r>
  <r>
    <s v="1494"/>
    <x v="402"/>
    <n v="3"/>
    <s v="Company C"/>
    <x v="4"/>
    <x v="2"/>
    <s v="Texas"/>
    <x v="1"/>
    <n v="289"/>
    <n v="6"/>
    <n v="1734"/>
    <n v="2"/>
  </r>
  <r>
    <s v="1498"/>
    <x v="403"/>
    <n v="1"/>
    <s v="Company A"/>
    <x v="4"/>
    <x v="2"/>
    <s v="Texas"/>
    <x v="1"/>
    <n v="289"/>
    <n v="4"/>
    <n v="1156"/>
    <n v="2"/>
  </r>
  <r>
    <s v="1500"/>
    <x v="404"/>
    <n v="18"/>
    <s v="Company R"/>
    <x v="0"/>
    <x v="0"/>
    <s v="Arizona"/>
    <x v="1"/>
    <n v="289"/>
    <n v="8"/>
    <n v="2312"/>
    <n v="3"/>
  </r>
  <r>
    <s v="1503"/>
    <x v="210"/>
    <n v="6"/>
    <s v="Company F"/>
    <x v="1"/>
    <x v="1"/>
    <s v="California"/>
    <x v="1"/>
    <n v="289"/>
    <n v="7"/>
    <n v="2023"/>
    <n v="4"/>
  </r>
  <r>
    <s v="1505"/>
    <x v="210"/>
    <n v="9"/>
    <s v="Company I"/>
    <x v="7"/>
    <x v="3"/>
    <s v="California"/>
    <x v="1"/>
    <n v="289"/>
    <n v="6"/>
    <n v="1734"/>
    <n v="8"/>
  </r>
  <r>
    <s v="1507"/>
    <x v="405"/>
    <n v="1"/>
    <s v="Company A"/>
    <x v="4"/>
    <x v="2"/>
    <s v="Texas"/>
    <x v="1"/>
    <n v="289"/>
    <n v="6"/>
    <n v="1734"/>
    <n v="2"/>
  </r>
  <r>
    <s v="1509"/>
    <x v="406"/>
    <n v="17"/>
    <s v="Company Q"/>
    <x v="6"/>
    <x v="0"/>
    <s v="Arizona"/>
    <x v="1"/>
    <n v="289"/>
    <n v="7"/>
    <n v="2023"/>
    <n v="5"/>
  </r>
  <r>
    <s v="1512"/>
    <x v="211"/>
    <n v="12"/>
    <s v="Company L"/>
    <x v="5"/>
    <x v="1"/>
    <s v="New Mexico"/>
    <x v="1"/>
    <n v="289"/>
    <n v="1"/>
    <n v="289"/>
    <n v="6"/>
  </r>
  <r>
    <s v="1526"/>
    <x v="213"/>
    <n v="4"/>
    <s v="Company D"/>
    <x v="4"/>
    <x v="2"/>
    <s v="Texas"/>
    <x v="1"/>
    <n v="289"/>
    <n v="5"/>
    <n v="1445"/>
    <n v="2"/>
  </r>
  <r>
    <s v="1532"/>
    <x v="407"/>
    <n v="11"/>
    <s v="Company K"/>
    <x v="5"/>
    <x v="1"/>
    <s v="New Mexico"/>
    <x v="1"/>
    <n v="289"/>
    <n v="1"/>
    <n v="289"/>
    <n v="6"/>
  </r>
  <r>
    <s v="1541"/>
    <x v="408"/>
    <n v="3"/>
    <s v="Company C"/>
    <x v="2"/>
    <x v="0"/>
    <s v="Texas"/>
    <x v="1"/>
    <n v="289"/>
    <n v="9"/>
    <n v="2601"/>
    <n v="2"/>
  </r>
  <r>
    <s v="1549"/>
    <x v="409"/>
    <n v="3"/>
    <s v="Company C"/>
    <x v="2"/>
    <x v="0"/>
    <s v="Texas"/>
    <x v="1"/>
    <n v="289"/>
    <n v="4"/>
    <n v="1156"/>
    <n v="2"/>
  </r>
  <r>
    <s v="1552"/>
    <x v="217"/>
    <n v="1"/>
    <s v="Company A"/>
    <x v="2"/>
    <x v="0"/>
    <s v="Texas"/>
    <x v="1"/>
    <n v="289"/>
    <n v="9"/>
    <n v="2601"/>
    <n v="2"/>
  </r>
  <r>
    <s v="1553"/>
    <x v="217"/>
    <n v="10"/>
    <s v="Company J"/>
    <x v="1"/>
    <x v="1"/>
    <s v="California"/>
    <x v="1"/>
    <n v="289"/>
    <n v="2"/>
    <n v="578"/>
    <n v="4"/>
  </r>
  <r>
    <s v="1555"/>
    <x v="217"/>
    <n v="14"/>
    <s v="Company N"/>
    <x v="3"/>
    <x v="2"/>
    <s v="New Mexico"/>
    <x v="1"/>
    <n v="289"/>
    <n v="6"/>
    <n v="1734"/>
    <n v="5"/>
  </r>
  <r>
    <s v="1561"/>
    <x v="219"/>
    <n v="1"/>
    <s v="Company A"/>
    <x v="2"/>
    <x v="0"/>
    <s v="Texas"/>
    <x v="1"/>
    <n v="289"/>
    <n v="1"/>
    <n v="289"/>
    <n v="2"/>
  </r>
  <r>
    <s v="1565"/>
    <x v="220"/>
    <n v="7"/>
    <s v="Company G"/>
    <x v="7"/>
    <x v="3"/>
    <s v="California"/>
    <x v="1"/>
    <n v="289"/>
    <n v="8"/>
    <n v="2312"/>
    <n v="8"/>
  </r>
  <r>
    <s v="1566"/>
    <x v="410"/>
    <n v="5"/>
    <s v="Company E"/>
    <x v="2"/>
    <x v="0"/>
    <s v="Texas"/>
    <x v="1"/>
    <n v="289"/>
    <n v="2"/>
    <n v="578"/>
    <n v="2"/>
  </r>
  <r>
    <s v="1568"/>
    <x v="411"/>
    <n v="10"/>
    <s v="Company J"/>
    <x v="7"/>
    <x v="3"/>
    <s v="California"/>
    <x v="1"/>
    <n v="289"/>
    <n v="7"/>
    <n v="2023"/>
    <n v="8"/>
  </r>
  <r>
    <s v="1574"/>
    <x v="222"/>
    <n v="17"/>
    <s v="Company Q"/>
    <x v="6"/>
    <x v="0"/>
    <s v="Arizona"/>
    <x v="1"/>
    <n v="289"/>
    <n v="3"/>
    <n v="867"/>
    <n v="5"/>
  </r>
  <r>
    <s v="1582"/>
    <x v="222"/>
    <n v="16"/>
    <s v="Company P"/>
    <x v="6"/>
    <x v="0"/>
    <s v="Arizona"/>
    <x v="1"/>
    <n v="289"/>
    <n v="1"/>
    <n v="289"/>
    <n v="5"/>
  </r>
  <r>
    <s v="1583"/>
    <x v="222"/>
    <n v="1"/>
    <s v="Company A"/>
    <x v="4"/>
    <x v="2"/>
    <s v="Texas"/>
    <x v="1"/>
    <n v="289"/>
    <n v="9"/>
    <n v="2601"/>
    <n v="2"/>
  </r>
  <r>
    <s v="1586"/>
    <x v="412"/>
    <n v="4"/>
    <s v="Company D"/>
    <x v="2"/>
    <x v="0"/>
    <s v="Texas"/>
    <x v="1"/>
    <n v="289"/>
    <n v="2"/>
    <n v="578"/>
    <n v="2"/>
  </r>
  <r>
    <s v="1593"/>
    <x v="412"/>
    <n v="16"/>
    <s v="Company P"/>
    <x v="0"/>
    <x v="0"/>
    <s v="Arizona"/>
    <x v="1"/>
    <n v="289"/>
    <n v="9"/>
    <n v="2601"/>
    <n v="3"/>
  </r>
  <r>
    <s v="1607"/>
    <x v="413"/>
    <n v="5"/>
    <s v="Company E"/>
    <x v="2"/>
    <x v="0"/>
    <s v="Texas"/>
    <x v="1"/>
    <n v="289"/>
    <n v="3"/>
    <n v="867"/>
    <n v="2"/>
  </r>
  <r>
    <s v="1613"/>
    <x v="414"/>
    <n v="17"/>
    <s v="Company Q"/>
    <x v="0"/>
    <x v="0"/>
    <s v="Arizona"/>
    <x v="1"/>
    <n v="289"/>
    <n v="0"/>
    <n v="0"/>
    <n v="3"/>
  </r>
  <r>
    <s v="1614"/>
    <x v="415"/>
    <n v="8"/>
    <s v="Company H"/>
    <x v="1"/>
    <x v="1"/>
    <s v="California"/>
    <x v="1"/>
    <n v="289"/>
    <n v="4"/>
    <n v="1156"/>
    <n v="4"/>
  </r>
  <r>
    <s v="1622"/>
    <x v="225"/>
    <n v="11"/>
    <s v="Company K"/>
    <x v="3"/>
    <x v="2"/>
    <s v="New Mexico"/>
    <x v="1"/>
    <n v="289"/>
    <n v="2"/>
    <n v="578"/>
    <n v="5"/>
  </r>
  <r>
    <s v="1624"/>
    <x v="226"/>
    <n v="6"/>
    <s v="Company F"/>
    <x v="1"/>
    <x v="1"/>
    <s v="California"/>
    <x v="1"/>
    <n v="289"/>
    <n v="1"/>
    <n v="289"/>
    <n v="4"/>
  </r>
  <r>
    <s v="1635"/>
    <x v="226"/>
    <n v="3"/>
    <s v="Company C"/>
    <x v="2"/>
    <x v="0"/>
    <s v="Texas"/>
    <x v="1"/>
    <n v="289"/>
    <n v="9"/>
    <n v="2601"/>
    <n v="2"/>
  </r>
  <r>
    <s v="1656"/>
    <x v="232"/>
    <n v="16"/>
    <s v="Company P"/>
    <x v="0"/>
    <x v="0"/>
    <s v="Arizona"/>
    <x v="1"/>
    <n v="289"/>
    <n v="9"/>
    <n v="2601"/>
    <n v="3"/>
  </r>
  <r>
    <s v="1660"/>
    <x v="233"/>
    <n v="13"/>
    <s v="Company M"/>
    <x v="3"/>
    <x v="2"/>
    <s v="New Mexico"/>
    <x v="1"/>
    <n v="289"/>
    <n v="4"/>
    <n v="1156"/>
    <n v="5"/>
  </r>
  <r>
    <s v="1663"/>
    <x v="233"/>
    <n v="2"/>
    <s v="Company B"/>
    <x v="2"/>
    <x v="0"/>
    <s v="Texas"/>
    <x v="1"/>
    <n v="289"/>
    <n v="5"/>
    <n v="1445"/>
    <n v="2"/>
  </r>
  <r>
    <s v="1670"/>
    <x v="416"/>
    <n v="1"/>
    <s v="Company A"/>
    <x v="2"/>
    <x v="0"/>
    <s v="Texas"/>
    <x v="1"/>
    <n v="289"/>
    <n v="5"/>
    <n v="1445"/>
    <n v="2"/>
  </r>
  <r>
    <s v="1671"/>
    <x v="416"/>
    <n v="17"/>
    <s v="Company Q"/>
    <x v="0"/>
    <x v="0"/>
    <s v="Arizona"/>
    <x v="1"/>
    <n v="289"/>
    <n v="1"/>
    <n v="289"/>
    <n v="3"/>
  </r>
  <r>
    <s v="1691"/>
    <x v="238"/>
    <n v="2"/>
    <s v="Company B"/>
    <x v="4"/>
    <x v="2"/>
    <s v="Texas"/>
    <x v="1"/>
    <n v="289"/>
    <n v="7"/>
    <n v="2023"/>
    <n v="2"/>
  </r>
  <r>
    <s v="1693"/>
    <x v="417"/>
    <n v="20"/>
    <s v="Company T"/>
    <x v="0"/>
    <x v="0"/>
    <s v="Arizona"/>
    <x v="1"/>
    <n v="289"/>
    <n v="8"/>
    <n v="2312"/>
    <n v="3"/>
  </r>
  <r>
    <s v="1700"/>
    <x v="418"/>
    <n v="12"/>
    <s v="Company L"/>
    <x v="3"/>
    <x v="2"/>
    <s v="New Mexico"/>
    <x v="1"/>
    <n v="289"/>
    <n v="5"/>
    <n v="1445"/>
    <n v="5"/>
  </r>
  <r>
    <s v="1719"/>
    <x v="244"/>
    <n v="5"/>
    <s v="Company E"/>
    <x v="4"/>
    <x v="2"/>
    <s v="Texas"/>
    <x v="1"/>
    <n v="289"/>
    <n v="0"/>
    <n v="0"/>
    <n v="2"/>
  </r>
  <r>
    <s v="1720"/>
    <x v="244"/>
    <n v="1"/>
    <s v="Company A"/>
    <x v="4"/>
    <x v="2"/>
    <s v="Texas"/>
    <x v="1"/>
    <n v="289"/>
    <n v="3"/>
    <n v="867"/>
    <n v="2"/>
  </r>
  <r>
    <s v="1725"/>
    <x v="245"/>
    <n v="4"/>
    <s v="Company D"/>
    <x v="2"/>
    <x v="0"/>
    <s v="Texas"/>
    <x v="1"/>
    <n v="289"/>
    <n v="8"/>
    <n v="2312"/>
    <n v="2"/>
  </r>
  <r>
    <s v="1736"/>
    <x v="249"/>
    <n v="7"/>
    <s v="Company G"/>
    <x v="1"/>
    <x v="1"/>
    <s v="California"/>
    <x v="1"/>
    <n v="289"/>
    <n v="7"/>
    <n v="2023"/>
    <n v="4"/>
  </r>
  <r>
    <s v="1741"/>
    <x v="419"/>
    <n v="17"/>
    <s v="Company Q"/>
    <x v="6"/>
    <x v="0"/>
    <s v="Arizona"/>
    <x v="1"/>
    <n v="289"/>
    <n v="2"/>
    <n v="578"/>
    <n v="5"/>
  </r>
  <r>
    <s v="1742"/>
    <x v="420"/>
    <n v="14"/>
    <s v="Company N"/>
    <x v="5"/>
    <x v="1"/>
    <s v="New Mexico"/>
    <x v="1"/>
    <n v="289"/>
    <n v="9"/>
    <n v="2601"/>
    <n v="6"/>
  </r>
  <r>
    <s v="1752"/>
    <x v="251"/>
    <n v="6"/>
    <s v="Company F"/>
    <x v="7"/>
    <x v="3"/>
    <s v="California"/>
    <x v="1"/>
    <n v="289"/>
    <n v="7"/>
    <n v="2023"/>
    <n v="8"/>
  </r>
  <r>
    <s v="1755"/>
    <x v="251"/>
    <n v="15"/>
    <s v="Company O"/>
    <x v="5"/>
    <x v="1"/>
    <s v="New Mexico"/>
    <x v="1"/>
    <n v="289"/>
    <n v="4"/>
    <n v="1156"/>
    <n v="6"/>
  </r>
  <r>
    <s v="1757"/>
    <x v="251"/>
    <n v="4"/>
    <s v="Company D"/>
    <x v="2"/>
    <x v="0"/>
    <s v="Texas"/>
    <x v="1"/>
    <n v="289"/>
    <n v="2"/>
    <n v="578"/>
    <n v="2"/>
  </r>
  <r>
    <s v="1776"/>
    <x v="421"/>
    <n v="2"/>
    <s v="Company B"/>
    <x v="2"/>
    <x v="0"/>
    <s v="Texas"/>
    <x v="1"/>
    <n v="289"/>
    <n v="8"/>
    <n v="2312"/>
    <n v="2"/>
  </r>
  <r>
    <s v="1780"/>
    <x v="422"/>
    <n v="18"/>
    <s v="Company R"/>
    <x v="0"/>
    <x v="0"/>
    <s v="Arizona"/>
    <x v="1"/>
    <n v="289"/>
    <n v="0"/>
    <n v="0"/>
    <n v="3"/>
  </r>
  <r>
    <s v="1781"/>
    <x v="422"/>
    <n v="19"/>
    <s v="Company S"/>
    <x v="6"/>
    <x v="0"/>
    <s v="Arizona"/>
    <x v="1"/>
    <n v="289"/>
    <n v="8"/>
    <n v="2312"/>
    <n v="5"/>
  </r>
  <r>
    <s v="1787"/>
    <x v="256"/>
    <n v="15"/>
    <s v="Company O"/>
    <x v="5"/>
    <x v="1"/>
    <s v="New Mexico"/>
    <x v="1"/>
    <n v="289"/>
    <n v="8"/>
    <n v="2312"/>
    <n v="6"/>
  </r>
  <r>
    <s v="1796"/>
    <x v="258"/>
    <n v="2"/>
    <s v="Company B"/>
    <x v="4"/>
    <x v="2"/>
    <s v="Texas"/>
    <x v="1"/>
    <n v="289"/>
    <n v="5"/>
    <n v="1445"/>
    <n v="2"/>
  </r>
  <r>
    <s v="1798"/>
    <x v="258"/>
    <n v="13"/>
    <s v="Company M"/>
    <x v="5"/>
    <x v="1"/>
    <s v="New Mexico"/>
    <x v="1"/>
    <n v="289"/>
    <n v="4"/>
    <n v="1156"/>
    <n v="6"/>
  </r>
  <r>
    <s v="1810"/>
    <x v="423"/>
    <n v="3"/>
    <s v="Company C"/>
    <x v="4"/>
    <x v="2"/>
    <s v="Texas"/>
    <x v="1"/>
    <n v="289"/>
    <n v="3"/>
    <n v="867"/>
    <n v="2"/>
  </r>
  <r>
    <s v="1822"/>
    <x v="424"/>
    <n v="17"/>
    <s v="Company Q"/>
    <x v="6"/>
    <x v="0"/>
    <s v="Arizona"/>
    <x v="1"/>
    <n v="289"/>
    <n v="7"/>
    <n v="2023"/>
    <n v="5"/>
  </r>
  <r>
    <s v="1826"/>
    <x v="425"/>
    <n v="18"/>
    <s v="Company R"/>
    <x v="0"/>
    <x v="0"/>
    <s v="Arizona"/>
    <x v="1"/>
    <n v="289"/>
    <n v="4"/>
    <n v="1156"/>
    <n v="3"/>
  </r>
  <r>
    <s v="1827"/>
    <x v="425"/>
    <n v="2"/>
    <s v="Company B"/>
    <x v="2"/>
    <x v="0"/>
    <s v="Texas"/>
    <x v="1"/>
    <n v="289"/>
    <n v="2"/>
    <n v="578"/>
    <n v="2"/>
  </r>
  <r>
    <s v="1830"/>
    <x v="426"/>
    <n v="5"/>
    <s v="Company E"/>
    <x v="2"/>
    <x v="0"/>
    <s v="Texas"/>
    <x v="1"/>
    <n v="289"/>
    <n v="2"/>
    <n v="578"/>
    <n v="2"/>
  </r>
  <r>
    <s v="1835"/>
    <x v="427"/>
    <n v="5"/>
    <s v="Company E"/>
    <x v="4"/>
    <x v="2"/>
    <s v="Texas"/>
    <x v="1"/>
    <n v="289"/>
    <n v="3"/>
    <n v="867"/>
    <n v="2"/>
  </r>
  <r>
    <s v="1839"/>
    <x v="259"/>
    <n v="19"/>
    <s v="Company S"/>
    <x v="6"/>
    <x v="0"/>
    <s v="Arizona"/>
    <x v="1"/>
    <n v="289"/>
    <n v="5"/>
    <n v="1445"/>
    <n v="5"/>
  </r>
  <r>
    <s v="1862"/>
    <x v="261"/>
    <n v="10"/>
    <s v="Company J"/>
    <x v="7"/>
    <x v="3"/>
    <s v="California"/>
    <x v="1"/>
    <n v="289"/>
    <n v="3"/>
    <n v="867"/>
    <n v="8"/>
  </r>
  <r>
    <s v="1864"/>
    <x v="263"/>
    <n v="16"/>
    <s v="Company P"/>
    <x v="6"/>
    <x v="0"/>
    <s v="Arizona"/>
    <x v="1"/>
    <n v="289"/>
    <n v="3"/>
    <n v="867"/>
    <n v="5"/>
  </r>
  <r>
    <s v="1867"/>
    <x v="428"/>
    <n v="3"/>
    <s v="Company C"/>
    <x v="2"/>
    <x v="0"/>
    <s v="Texas"/>
    <x v="1"/>
    <n v="289"/>
    <n v="6"/>
    <n v="1734"/>
    <n v="2"/>
  </r>
  <r>
    <s v="1874"/>
    <x v="266"/>
    <n v="9"/>
    <s v="Company I"/>
    <x v="7"/>
    <x v="3"/>
    <s v="California"/>
    <x v="1"/>
    <n v="289"/>
    <n v="2"/>
    <n v="578"/>
    <n v="8"/>
  </r>
  <r>
    <s v="1886"/>
    <x v="267"/>
    <n v="10"/>
    <s v="Company J"/>
    <x v="1"/>
    <x v="1"/>
    <s v="California"/>
    <x v="1"/>
    <n v="289"/>
    <n v="2"/>
    <n v="578"/>
    <n v="4"/>
  </r>
  <r>
    <s v="1896"/>
    <x v="269"/>
    <n v="20"/>
    <s v="Company T"/>
    <x v="0"/>
    <x v="0"/>
    <s v="Arizona"/>
    <x v="1"/>
    <n v="289"/>
    <n v="0"/>
    <n v="0"/>
    <n v="3"/>
  </r>
  <r>
    <s v="1912"/>
    <x v="429"/>
    <n v="6"/>
    <s v="Company F"/>
    <x v="7"/>
    <x v="3"/>
    <s v="California"/>
    <x v="1"/>
    <n v="289"/>
    <n v="7"/>
    <n v="2023"/>
    <n v="8"/>
  </r>
  <r>
    <s v="1917"/>
    <x v="273"/>
    <n v="4"/>
    <s v="Company D"/>
    <x v="2"/>
    <x v="0"/>
    <s v="Texas"/>
    <x v="1"/>
    <n v="289"/>
    <n v="8"/>
    <n v="2312"/>
    <n v="2"/>
  </r>
  <r>
    <s v="1925"/>
    <x v="430"/>
    <n v="19"/>
    <s v="Company S"/>
    <x v="6"/>
    <x v="0"/>
    <s v="Arizona"/>
    <x v="1"/>
    <n v="289"/>
    <n v="1"/>
    <n v="289"/>
    <n v="5"/>
  </r>
  <r>
    <s v="1927"/>
    <x v="274"/>
    <n v="6"/>
    <s v="Company F"/>
    <x v="1"/>
    <x v="1"/>
    <s v="California"/>
    <x v="1"/>
    <n v="289"/>
    <n v="2"/>
    <n v="578"/>
    <n v="4"/>
  </r>
  <r>
    <s v="1934"/>
    <x v="431"/>
    <n v="6"/>
    <s v="Company F"/>
    <x v="1"/>
    <x v="1"/>
    <s v="California"/>
    <x v="1"/>
    <n v="289"/>
    <n v="8"/>
    <n v="2312"/>
    <n v="4"/>
  </r>
  <r>
    <s v="1935"/>
    <x v="431"/>
    <n v="12"/>
    <s v="Company L"/>
    <x v="3"/>
    <x v="2"/>
    <s v="New Mexico"/>
    <x v="1"/>
    <n v="289"/>
    <n v="5"/>
    <n v="1445"/>
    <n v="5"/>
  </r>
  <r>
    <s v="1936"/>
    <x v="432"/>
    <n v="17"/>
    <s v="Company Q"/>
    <x v="0"/>
    <x v="0"/>
    <s v="Arizona"/>
    <x v="1"/>
    <n v="289"/>
    <n v="6"/>
    <n v="1734"/>
    <n v="3"/>
  </r>
  <r>
    <s v="1937"/>
    <x v="276"/>
    <n v="15"/>
    <s v="Company O"/>
    <x v="3"/>
    <x v="2"/>
    <s v="New Mexico"/>
    <x v="1"/>
    <n v="289"/>
    <n v="2"/>
    <n v="578"/>
    <n v="5"/>
  </r>
  <r>
    <s v="1938"/>
    <x v="276"/>
    <n v="13"/>
    <s v="Company M"/>
    <x v="5"/>
    <x v="1"/>
    <s v="New Mexico"/>
    <x v="1"/>
    <n v="289"/>
    <n v="5"/>
    <n v="1445"/>
    <n v="6"/>
  </r>
  <r>
    <s v="1945"/>
    <x v="277"/>
    <n v="19"/>
    <s v="Company S"/>
    <x v="6"/>
    <x v="0"/>
    <s v="Arizona"/>
    <x v="1"/>
    <n v="289"/>
    <n v="0"/>
    <n v="0"/>
    <n v="5"/>
  </r>
  <r>
    <s v="1948"/>
    <x v="277"/>
    <n v="1"/>
    <s v="Company A"/>
    <x v="2"/>
    <x v="0"/>
    <s v="Texas"/>
    <x v="1"/>
    <n v="289"/>
    <n v="8"/>
    <n v="2312"/>
    <n v="2"/>
  </r>
  <r>
    <s v="1952"/>
    <x v="278"/>
    <n v="8"/>
    <s v="Company H"/>
    <x v="7"/>
    <x v="3"/>
    <s v="California"/>
    <x v="1"/>
    <n v="289"/>
    <n v="5"/>
    <n v="1445"/>
    <n v="8"/>
  </r>
  <r>
    <s v="1957"/>
    <x v="433"/>
    <n v="17"/>
    <s v="Company Q"/>
    <x v="6"/>
    <x v="0"/>
    <s v="Arizona"/>
    <x v="1"/>
    <n v="289"/>
    <n v="6"/>
    <n v="1734"/>
    <n v="5"/>
  </r>
  <r>
    <s v="1961"/>
    <x v="280"/>
    <n v="9"/>
    <s v="Company I"/>
    <x v="7"/>
    <x v="3"/>
    <s v="California"/>
    <x v="1"/>
    <n v="289"/>
    <n v="8"/>
    <n v="2312"/>
    <n v="8"/>
  </r>
  <r>
    <s v="1963"/>
    <x v="281"/>
    <n v="20"/>
    <s v="Company T"/>
    <x v="0"/>
    <x v="0"/>
    <s v="Arizona"/>
    <x v="1"/>
    <n v="289"/>
    <n v="1"/>
    <n v="289"/>
    <n v="3"/>
  </r>
  <r>
    <s v="1964"/>
    <x v="281"/>
    <n v="4"/>
    <s v="Company D"/>
    <x v="2"/>
    <x v="0"/>
    <s v="Texas"/>
    <x v="1"/>
    <n v="289"/>
    <n v="3"/>
    <n v="867"/>
    <n v="2"/>
  </r>
  <r>
    <s v="1974"/>
    <x v="434"/>
    <n v="19"/>
    <s v="Company S"/>
    <x v="6"/>
    <x v="0"/>
    <s v="Arizona"/>
    <x v="1"/>
    <n v="289"/>
    <n v="1"/>
    <n v="289"/>
    <n v="5"/>
  </r>
  <r>
    <s v="1981"/>
    <x v="435"/>
    <n v="12"/>
    <s v="Company L"/>
    <x v="3"/>
    <x v="2"/>
    <s v="New Mexico"/>
    <x v="1"/>
    <n v="289"/>
    <n v="0"/>
    <n v="0"/>
    <n v="5"/>
  </r>
  <r>
    <s v="1987"/>
    <x v="436"/>
    <n v="9"/>
    <s v="Company I"/>
    <x v="7"/>
    <x v="3"/>
    <s v="California"/>
    <x v="1"/>
    <n v="289"/>
    <n v="0"/>
    <n v="0"/>
    <n v="8"/>
  </r>
  <r>
    <s v="1989"/>
    <x v="436"/>
    <n v="12"/>
    <s v="Company L"/>
    <x v="5"/>
    <x v="1"/>
    <s v="New Mexico"/>
    <x v="1"/>
    <n v="289"/>
    <n v="3"/>
    <n v="867"/>
    <n v="6"/>
  </r>
  <r>
    <s v="1999"/>
    <x v="284"/>
    <n v="6"/>
    <s v="Company F"/>
    <x v="1"/>
    <x v="1"/>
    <s v="California"/>
    <x v="1"/>
    <n v="289"/>
    <n v="1"/>
    <n v="289"/>
    <n v="4"/>
  </r>
  <r>
    <s v="0001"/>
    <x v="437"/>
    <n v="11"/>
    <s v="Company K"/>
    <x v="3"/>
    <x v="2"/>
    <s v="New Mexico"/>
    <x v="2"/>
    <n v="199"/>
    <n v="3"/>
    <n v="597"/>
    <n v="5"/>
  </r>
  <r>
    <s v="0006"/>
    <x v="287"/>
    <n v="13"/>
    <s v="Company M"/>
    <x v="3"/>
    <x v="2"/>
    <s v="New Mexico"/>
    <x v="2"/>
    <n v="199"/>
    <n v="2"/>
    <n v="398"/>
    <n v="5"/>
  </r>
  <r>
    <s v="0008"/>
    <x v="0"/>
    <n v="14"/>
    <s v="Company N"/>
    <x v="3"/>
    <x v="2"/>
    <s v="New Mexico"/>
    <x v="2"/>
    <n v="199"/>
    <n v="5"/>
    <n v="995"/>
    <n v="5"/>
  </r>
  <r>
    <s v="0010"/>
    <x v="0"/>
    <n v="3"/>
    <s v="Company C"/>
    <x v="2"/>
    <x v="0"/>
    <s v="Texas"/>
    <x v="2"/>
    <n v="199"/>
    <n v="0"/>
    <n v="0"/>
    <n v="2"/>
  </r>
  <r>
    <s v="0013"/>
    <x v="0"/>
    <n v="9"/>
    <s v="Company I"/>
    <x v="7"/>
    <x v="3"/>
    <s v="California"/>
    <x v="2"/>
    <n v="199"/>
    <n v="6"/>
    <n v="1194"/>
    <n v="8"/>
  </r>
  <r>
    <s v="0015"/>
    <x v="0"/>
    <n v="6"/>
    <s v="Company F"/>
    <x v="7"/>
    <x v="3"/>
    <s v="California"/>
    <x v="2"/>
    <n v="199"/>
    <n v="2"/>
    <n v="398"/>
    <n v="8"/>
  </r>
  <r>
    <s v="0027"/>
    <x v="2"/>
    <n v="14"/>
    <s v="Company N"/>
    <x v="5"/>
    <x v="1"/>
    <s v="New Mexico"/>
    <x v="2"/>
    <n v="199"/>
    <n v="1"/>
    <n v="199"/>
    <n v="6"/>
  </r>
  <r>
    <s v="0029"/>
    <x v="3"/>
    <n v="10"/>
    <s v="Company J"/>
    <x v="1"/>
    <x v="1"/>
    <s v="California"/>
    <x v="2"/>
    <n v="199"/>
    <n v="3"/>
    <n v="597"/>
    <n v="4"/>
  </r>
  <r>
    <s v="0034"/>
    <x v="4"/>
    <n v="1"/>
    <s v="Company A"/>
    <x v="4"/>
    <x v="2"/>
    <s v="Texas"/>
    <x v="2"/>
    <n v="199"/>
    <n v="8"/>
    <n v="1592"/>
    <n v="2"/>
  </r>
  <r>
    <s v="0035"/>
    <x v="4"/>
    <n v="16"/>
    <s v="Company P"/>
    <x v="0"/>
    <x v="0"/>
    <s v="Arizona"/>
    <x v="2"/>
    <n v="199"/>
    <n v="5"/>
    <n v="995"/>
    <n v="3"/>
  </r>
  <r>
    <s v="0057"/>
    <x v="7"/>
    <n v="8"/>
    <s v="Company H"/>
    <x v="1"/>
    <x v="1"/>
    <s v="California"/>
    <x v="2"/>
    <n v="199"/>
    <n v="5"/>
    <n v="995"/>
    <n v="4"/>
  </r>
  <r>
    <s v="0060"/>
    <x v="7"/>
    <n v="10"/>
    <s v="Company J"/>
    <x v="1"/>
    <x v="1"/>
    <s v="California"/>
    <x v="2"/>
    <n v="199"/>
    <n v="3"/>
    <n v="597"/>
    <n v="4"/>
  </r>
  <r>
    <s v="0065"/>
    <x v="289"/>
    <n v="9"/>
    <s v="Company I"/>
    <x v="1"/>
    <x v="1"/>
    <s v="California"/>
    <x v="2"/>
    <n v="199"/>
    <n v="6"/>
    <n v="1194"/>
    <n v="4"/>
  </r>
  <r>
    <s v="0068"/>
    <x v="438"/>
    <n v="13"/>
    <s v="Company M"/>
    <x v="5"/>
    <x v="1"/>
    <s v="New Mexico"/>
    <x v="2"/>
    <n v="199"/>
    <n v="8"/>
    <n v="1592"/>
    <n v="6"/>
  </r>
  <r>
    <s v="0069"/>
    <x v="439"/>
    <n v="19"/>
    <s v="Company S"/>
    <x v="0"/>
    <x v="0"/>
    <s v="Arizona"/>
    <x v="2"/>
    <n v="199"/>
    <n v="8"/>
    <n v="1592"/>
    <n v="3"/>
  </r>
  <r>
    <s v="0070"/>
    <x v="439"/>
    <n v="6"/>
    <s v="Company F"/>
    <x v="1"/>
    <x v="1"/>
    <s v="California"/>
    <x v="2"/>
    <n v="199"/>
    <n v="0"/>
    <n v="0"/>
    <n v="4"/>
  </r>
  <r>
    <s v="0089"/>
    <x v="291"/>
    <n v="8"/>
    <s v="Company H"/>
    <x v="7"/>
    <x v="3"/>
    <s v="California"/>
    <x v="2"/>
    <n v="199"/>
    <n v="5"/>
    <n v="995"/>
    <n v="8"/>
  </r>
  <r>
    <s v="0094"/>
    <x v="14"/>
    <n v="8"/>
    <s v="Company H"/>
    <x v="7"/>
    <x v="3"/>
    <s v="California"/>
    <x v="2"/>
    <n v="199"/>
    <n v="2"/>
    <n v="398"/>
    <n v="8"/>
  </r>
  <r>
    <s v="0099"/>
    <x v="440"/>
    <n v="8"/>
    <s v="Company H"/>
    <x v="1"/>
    <x v="1"/>
    <s v="California"/>
    <x v="2"/>
    <n v="199"/>
    <n v="9"/>
    <n v="1791"/>
    <n v="4"/>
  </r>
  <r>
    <s v="0100"/>
    <x v="440"/>
    <n v="12"/>
    <s v="Company L"/>
    <x v="3"/>
    <x v="2"/>
    <s v="New Mexico"/>
    <x v="2"/>
    <n v="199"/>
    <n v="5"/>
    <n v="995"/>
    <n v="5"/>
  </r>
  <r>
    <s v="0110"/>
    <x v="16"/>
    <n v="16"/>
    <s v="Company P"/>
    <x v="6"/>
    <x v="0"/>
    <s v="Arizona"/>
    <x v="2"/>
    <n v="199"/>
    <n v="6"/>
    <n v="1194"/>
    <n v="5"/>
  </r>
  <r>
    <s v="0119"/>
    <x v="292"/>
    <n v="5"/>
    <s v="Company E"/>
    <x v="2"/>
    <x v="0"/>
    <s v="Texas"/>
    <x v="2"/>
    <n v="199"/>
    <n v="2"/>
    <n v="398"/>
    <n v="2"/>
  </r>
  <r>
    <s v="0121"/>
    <x v="441"/>
    <n v="15"/>
    <s v="Company O"/>
    <x v="3"/>
    <x v="2"/>
    <s v="New Mexico"/>
    <x v="2"/>
    <n v="199"/>
    <n v="3"/>
    <n v="597"/>
    <n v="5"/>
  </r>
  <r>
    <s v="0128"/>
    <x v="442"/>
    <n v="11"/>
    <s v="Company K"/>
    <x v="5"/>
    <x v="1"/>
    <s v="New Mexico"/>
    <x v="2"/>
    <n v="199"/>
    <n v="0"/>
    <n v="0"/>
    <n v="6"/>
  </r>
  <r>
    <s v="0129"/>
    <x v="443"/>
    <n v="6"/>
    <s v="Company F"/>
    <x v="7"/>
    <x v="3"/>
    <s v="California"/>
    <x v="2"/>
    <n v="199"/>
    <n v="8"/>
    <n v="1592"/>
    <n v="8"/>
  </r>
  <r>
    <s v="0130"/>
    <x v="20"/>
    <n v="16"/>
    <s v="Company P"/>
    <x v="6"/>
    <x v="0"/>
    <s v="Arizona"/>
    <x v="2"/>
    <n v="199"/>
    <n v="0"/>
    <n v="0"/>
    <n v="5"/>
  </r>
  <r>
    <s v="0136"/>
    <x v="21"/>
    <n v="6"/>
    <s v="Company F"/>
    <x v="1"/>
    <x v="1"/>
    <s v="California"/>
    <x v="2"/>
    <n v="199"/>
    <n v="9"/>
    <n v="1791"/>
    <n v="4"/>
  </r>
  <r>
    <s v="0145"/>
    <x v="21"/>
    <n v="6"/>
    <s v="Company F"/>
    <x v="7"/>
    <x v="3"/>
    <s v="California"/>
    <x v="2"/>
    <n v="199"/>
    <n v="6"/>
    <n v="1194"/>
    <n v="8"/>
  </r>
  <r>
    <s v="0146"/>
    <x v="21"/>
    <n v="8"/>
    <s v="Company H"/>
    <x v="1"/>
    <x v="1"/>
    <s v="California"/>
    <x v="2"/>
    <n v="199"/>
    <n v="2"/>
    <n v="398"/>
    <n v="4"/>
  </r>
  <r>
    <s v="0150"/>
    <x v="21"/>
    <n v="8"/>
    <s v="Company H"/>
    <x v="1"/>
    <x v="1"/>
    <s v="California"/>
    <x v="2"/>
    <n v="199"/>
    <n v="1"/>
    <n v="199"/>
    <n v="4"/>
  </r>
  <r>
    <s v="0151"/>
    <x v="21"/>
    <n v="20"/>
    <s v="Company T"/>
    <x v="6"/>
    <x v="0"/>
    <s v="Arizona"/>
    <x v="2"/>
    <n v="199"/>
    <n v="8"/>
    <n v="1592"/>
    <n v="5"/>
  </r>
  <r>
    <s v="0155"/>
    <x v="444"/>
    <n v="15"/>
    <s v="Company O"/>
    <x v="3"/>
    <x v="2"/>
    <s v="New Mexico"/>
    <x v="2"/>
    <n v="199"/>
    <n v="9"/>
    <n v="1791"/>
    <n v="5"/>
  </r>
  <r>
    <s v="0158"/>
    <x v="293"/>
    <n v="11"/>
    <s v="Company K"/>
    <x v="5"/>
    <x v="1"/>
    <s v="New Mexico"/>
    <x v="2"/>
    <n v="199"/>
    <n v="4"/>
    <n v="796"/>
    <n v="6"/>
  </r>
  <r>
    <s v="0160"/>
    <x v="293"/>
    <n v="1"/>
    <s v="Company A"/>
    <x v="2"/>
    <x v="0"/>
    <s v="Texas"/>
    <x v="2"/>
    <n v="199"/>
    <n v="9"/>
    <n v="1791"/>
    <n v="2"/>
  </r>
  <r>
    <s v="0161"/>
    <x v="293"/>
    <n v="8"/>
    <s v="Company H"/>
    <x v="1"/>
    <x v="1"/>
    <s v="California"/>
    <x v="2"/>
    <n v="199"/>
    <n v="2"/>
    <n v="398"/>
    <n v="4"/>
  </r>
  <r>
    <s v="0176"/>
    <x v="295"/>
    <n v="13"/>
    <s v="Company M"/>
    <x v="5"/>
    <x v="1"/>
    <s v="New Mexico"/>
    <x v="2"/>
    <n v="199"/>
    <n v="6"/>
    <n v="1194"/>
    <n v="6"/>
  </r>
  <r>
    <s v="0183"/>
    <x v="445"/>
    <n v="10"/>
    <s v="Company J"/>
    <x v="7"/>
    <x v="3"/>
    <s v="California"/>
    <x v="2"/>
    <n v="199"/>
    <n v="2"/>
    <n v="398"/>
    <n v="8"/>
  </r>
  <r>
    <s v="0188"/>
    <x v="24"/>
    <n v="17"/>
    <s v="Company Q"/>
    <x v="0"/>
    <x v="0"/>
    <s v="Arizona"/>
    <x v="2"/>
    <n v="199"/>
    <n v="6"/>
    <n v="1194"/>
    <n v="3"/>
  </r>
  <r>
    <s v="0190"/>
    <x v="25"/>
    <n v="5"/>
    <s v="Company E"/>
    <x v="2"/>
    <x v="0"/>
    <s v="Texas"/>
    <x v="2"/>
    <n v="199"/>
    <n v="5"/>
    <n v="995"/>
    <n v="2"/>
  </r>
  <r>
    <s v="0194"/>
    <x v="446"/>
    <n v="4"/>
    <s v="Company D"/>
    <x v="2"/>
    <x v="0"/>
    <s v="Texas"/>
    <x v="2"/>
    <n v="199"/>
    <n v="0"/>
    <n v="0"/>
    <n v="2"/>
  </r>
  <r>
    <s v="0200"/>
    <x v="447"/>
    <n v="12"/>
    <s v="Company L"/>
    <x v="5"/>
    <x v="1"/>
    <s v="New Mexico"/>
    <x v="2"/>
    <n v="199"/>
    <n v="4"/>
    <n v="796"/>
    <n v="6"/>
  </r>
  <r>
    <s v="0202"/>
    <x v="448"/>
    <n v="9"/>
    <s v="Company I"/>
    <x v="7"/>
    <x v="3"/>
    <s v="California"/>
    <x v="2"/>
    <n v="199"/>
    <n v="0"/>
    <n v="0"/>
    <n v="8"/>
  </r>
  <r>
    <s v="0204"/>
    <x v="449"/>
    <n v="2"/>
    <s v="Company B"/>
    <x v="2"/>
    <x v="0"/>
    <s v="Texas"/>
    <x v="2"/>
    <n v="199"/>
    <n v="2"/>
    <n v="398"/>
    <n v="2"/>
  </r>
  <r>
    <s v="0205"/>
    <x v="27"/>
    <n v="19"/>
    <s v="Company S"/>
    <x v="0"/>
    <x v="0"/>
    <s v="Arizona"/>
    <x v="2"/>
    <n v="199"/>
    <n v="5"/>
    <n v="995"/>
    <n v="3"/>
  </r>
  <r>
    <s v="0207"/>
    <x v="27"/>
    <n v="18"/>
    <s v="Company R"/>
    <x v="6"/>
    <x v="0"/>
    <s v="Arizona"/>
    <x v="2"/>
    <n v="199"/>
    <n v="6"/>
    <n v="1194"/>
    <n v="5"/>
  </r>
  <r>
    <s v="0208"/>
    <x v="27"/>
    <n v="6"/>
    <s v="Company F"/>
    <x v="7"/>
    <x v="3"/>
    <s v="California"/>
    <x v="2"/>
    <n v="199"/>
    <n v="9"/>
    <n v="1791"/>
    <n v="8"/>
  </r>
  <r>
    <s v="0212"/>
    <x v="27"/>
    <n v="2"/>
    <s v="Company B"/>
    <x v="2"/>
    <x v="0"/>
    <s v="Texas"/>
    <x v="2"/>
    <n v="199"/>
    <n v="0"/>
    <n v="0"/>
    <n v="2"/>
  </r>
  <r>
    <s v="0215"/>
    <x v="28"/>
    <n v="3"/>
    <s v="Company C"/>
    <x v="2"/>
    <x v="0"/>
    <s v="Texas"/>
    <x v="2"/>
    <n v="199"/>
    <n v="3"/>
    <n v="597"/>
    <n v="2"/>
  </r>
  <r>
    <s v="0222"/>
    <x v="28"/>
    <n v="4"/>
    <s v="Company D"/>
    <x v="2"/>
    <x v="0"/>
    <s v="Texas"/>
    <x v="2"/>
    <n v="199"/>
    <n v="8"/>
    <n v="1592"/>
    <n v="2"/>
  </r>
  <r>
    <s v="0231"/>
    <x v="31"/>
    <n v="19"/>
    <s v="Company S"/>
    <x v="6"/>
    <x v="0"/>
    <s v="Arizona"/>
    <x v="2"/>
    <n v="199"/>
    <n v="6"/>
    <n v="1194"/>
    <n v="5"/>
  </r>
  <r>
    <s v="0234"/>
    <x v="32"/>
    <n v="15"/>
    <s v="Company O"/>
    <x v="5"/>
    <x v="1"/>
    <s v="New Mexico"/>
    <x v="2"/>
    <n v="199"/>
    <n v="2"/>
    <n v="398"/>
    <n v="6"/>
  </r>
  <r>
    <s v="0238"/>
    <x v="32"/>
    <n v="7"/>
    <s v="Company G"/>
    <x v="7"/>
    <x v="3"/>
    <s v="California"/>
    <x v="2"/>
    <n v="199"/>
    <n v="3"/>
    <n v="597"/>
    <n v="8"/>
  </r>
  <r>
    <s v="0240"/>
    <x v="32"/>
    <n v="18"/>
    <s v="Company R"/>
    <x v="0"/>
    <x v="0"/>
    <s v="Arizona"/>
    <x v="2"/>
    <n v="199"/>
    <n v="5"/>
    <n v="995"/>
    <n v="3"/>
  </r>
  <r>
    <s v="0243"/>
    <x v="300"/>
    <n v="20"/>
    <s v="Company T"/>
    <x v="6"/>
    <x v="0"/>
    <s v="Arizona"/>
    <x v="2"/>
    <n v="199"/>
    <n v="4"/>
    <n v="796"/>
    <n v="5"/>
  </r>
  <r>
    <s v="0252"/>
    <x v="33"/>
    <n v="14"/>
    <s v="Company N"/>
    <x v="3"/>
    <x v="2"/>
    <s v="New Mexico"/>
    <x v="2"/>
    <n v="199"/>
    <n v="2"/>
    <n v="398"/>
    <n v="5"/>
  </r>
  <r>
    <s v="0255"/>
    <x v="450"/>
    <n v="5"/>
    <s v="Company E"/>
    <x v="4"/>
    <x v="2"/>
    <s v="Texas"/>
    <x v="2"/>
    <n v="199"/>
    <n v="9"/>
    <n v="1791"/>
    <n v="2"/>
  </r>
  <r>
    <s v="0261"/>
    <x v="451"/>
    <n v="4"/>
    <s v="Company D"/>
    <x v="2"/>
    <x v="0"/>
    <s v="Texas"/>
    <x v="2"/>
    <n v="199"/>
    <n v="8"/>
    <n v="1592"/>
    <n v="2"/>
  </r>
  <r>
    <s v="0264"/>
    <x v="301"/>
    <n v="17"/>
    <s v="Company Q"/>
    <x v="0"/>
    <x v="0"/>
    <s v="Arizona"/>
    <x v="2"/>
    <n v="199"/>
    <n v="1"/>
    <n v="199"/>
    <n v="3"/>
  </r>
  <r>
    <s v="0267"/>
    <x v="35"/>
    <n v="16"/>
    <s v="Company P"/>
    <x v="6"/>
    <x v="0"/>
    <s v="Arizona"/>
    <x v="2"/>
    <n v="199"/>
    <n v="8"/>
    <n v="1592"/>
    <n v="5"/>
  </r>
  <r>
    <s v="0268"/>
    <x v="35"/>
    <n v="4"/>
    <s v="Company D"/>
    <x v="4"/>
    <x v="2"/>
    <s v="Texas"/>
    <x v="2"/>
    <n v="199"/>
    <n v="1"/>
    <n v="199"/>
    <n v="2"/>
  </r>
  <r>
    <s v="0269"/>
    <x v="35"/>
    <n v="20"/>
    <s v="Company T"/>
    <x v="6"/>
    <x v="0"/>
    <s v="Arizona"/>
    <x v="2"/>
    <n v="199"/>
    <n v="6"/>
    <n v="1194"/>
    <n v="5"/>
  </r>
  <r>
    <s v="0271"/>
    <x v="35"/>
    <n v="14"/>
    <s v="Company N"/>
    <x v="3"/>
    <x v="2"/>
    <s v="New Mexico"/>
    <x v="2"/>
    <n v="199"/>
    <n v="3"/>
    <n v="597"/>
    <n v="5"/>
  </r>
  <r>
    <s v="0273"/>
    <x v="35"/>
    <n v="3"/>
    <s v="Company C"/>
    <x v="4"/>
    <x v="2"/>
    <s v="Texas"/>
    <x v="2"/>
    <n v="199"/>
    <n v="9"/>
    <n v="1791"/>
    <n v="2"/>
  </r>
  <r>
    <s v="0274"/>
    <x v="35"/>
    <n v="7"/>
    <s v="Company G"/>
    <x v="7"/>
    <x v="3"/>
    <s v="California"/>
    <x v="2"/>
    <n v="199"/>
    <n v="3"/>
    <n v="597"/>
    <n v="8"/>
  </r>
  <r>
    <s v="0280"/>
    <x v="36"/>
    <n v="16"/>
    <s v="Company P"/>
    <x v="0"/>
    <x v="0"/>
    <s v="Arizona"/>
    <x v="2"/>
    <n v="199"/>
    <n v="1"/>
    <n v="199"/>
    <n v="3"/>
  </r>
  <r>
    <s v="0293"/>
    <x v="452"/>
    <n v="2"/>
    <s v="Company B"/>
    <x v="2"/>
    <x v="0"/>
    <s v="Texas"/>
    <x v="2"/>
    <n v="199"/>
    <n v="7"/>
    <n v="1393"/>
    <n v="2"/>
  </r>
  <r>
    <s v="0299"/>
    <x v="37"/>
    <n v="12"/>
    <s v="Company L"/>
    <x v="3"/>
    <x v="2"/>
    <s v="New Mexico"/>
    <x v="2"/>
    <n v="199"/>
    <n v="8"/>
    <n v="1592"/>
    <n v="5"/>
  </r>
  <r>
    <s v="0307"/>
    <x v="304"/>
    <n v="4"/>
    <s v="Company D"/>
    <x v="2"/>
    <x v="0"/>
    <s v="Texas"/>
    <x v="2"/>
    <n v="199"/>
    <n v="5"/>
    <n v="995"/>
    <n v="2"/>
  </r>
  <r>
    <s v="0308"/>
    <x v="304"/>
    <n v="12"/>
    <s v="Company L"/>
    <x v="3"/>
    <x v="2"/>
    <s v="New Mexico"/>
    <x v="2"/>
    <n v="199"/>
    <n v="6"/>
    <n v="1194"/>
    <n v="5"/>
  </r>
  <r>
    <s v="0312"/>
    <x v="306"/>
    <n v="18"/>
    <s v="Company R"/>
    <x v="6"/>
    <x v="0"/>
    <s v="Arizona"/>
    <x v="2"/>
    <n v="199"/>
    <n v="0"/>
    <n v="0"/>
    <n v="5"/>
  </r>
  <r>
    <s v="0313"/>
    <x v="306"/>
    <n v="7"/>
    <s v="Company G"/>
    <x v="7"/>
    <x v="3"/>
    <s v="California"/>
    <x v="2"/>
    <n v="199"/>
    <n v="9"/>
    <n v="1791"/>
    <n v="8"/>
  </r>
  <r>
    <s v="0314"/>
    <x v="306"/>
    <n v="2"/>
    <s v="Company B"/>
    <x v="4"/>
    <x v="2"/>
    <s v="Texas"/>
    <x v="2"/>
    <n v="199"/>
    <n v="5"/>
    <n v="995"/>
    <n v="2"/>
  </r>
  <r>
    <s v="0315"/>
    <x v="453"/>
    <n v="19"/>
    <s v="Company S"/>
    <x v="6"/>
    <x v="0"/>
    <s v="Arizona"/>
    <x v="2"/>
    <n v="199"/>
    <n v="9"/>
    <n v="1791"/>
    <n v="5"/>
  </r>
  <r>
    <s v="0316"/>
    <x v="453"/>
    <n v="19"/>
    <s v="Company S"/>
    <x v="6"/>
    <x v="0"/>
    <s v="Arizona"/>
    <x v="2"/>
    <n v="199"/>
    <n v="8"/>
    <n v="1592"/>
    <n v="5"/>
  </r>
  <r>
    <s v="0317"/>
    <x v="454"/>
    <n v="2"/>
    <s v="Company B"/>
    <x v="2"/>
    <x v="0"/>
    <s v="Texas"/>
    <x v="2"/>
    <n v="199"/>
    <n v="3"/>
    <n v="597"/>
    <n v="2"/>
  </r>
  <r>
    <s v="0318"/>
    <x v="454"/>
    <n v="5"/>
    <s v="Company E"/>
    <x v="4"/>
    <x v="2"/>
    <s v="Texas"/>
    <x v="2"/>
    <n v="199"/>
    <n v="4"/>
    <n v="796"/>
    <n v="2"/>
  </r>
  <r>
    <s v="0327"/>
    <x v="40"/>
    <n v="9"/>
    <s v="Company I"/>
    <x v="1"/>
    <x v="1"/>
    <s v="California"/>
    <x v="2"/>
    <n v="199"/>
    <n v="9"/>
    <n v="1791"/>
    <n v="4"/>
  </r>
  <r>
    <s v="0328"/>
    <x v="40"/>
    <n v="8"/>
    <s v="Company H"/>
    <x v="7"/>
    <x v="3"/>
    <s v="California"/>
    <x v="2"/>
    <n v="199"/>
    <n v="2"/>
    <n v="398"/>
    <n v="8"/>
  </r>
  <r>
    <s v="0332"/>
    <x v="40"/>
    <n v="6"/>
    <s v="Company F"/>
    <x v="1"/>
    <x v="1"/>
    <s v="California"/>
    <x v="2"/>
    <n v="199"/>
    <n v="8"/>
    <n v="1592"/>
    <n v="4"/>
  </r>
  <r>
    <s v="0344"/>
    <x v="42"/>
    <n v="9"/>
    <s v="Company I"/>
    <x v="7"/>
    <x v="3"/>
    <s v="California"/>
    <x v="2"/>
    <n v="199"/>
    <n v="6"/>
    <n v="1194"/>
    <n v="8"/>
  </r>
  <r>
    <s v="0345"/>
    <x v="42"/>
    <n v="13"/>
    <s v="Company M"/>
    <x v="3"/>
    <x v="2"/>
    <s v="New Mexico"/>
    <x v="2"/>
    <n v="199"/>
    <n v="2"/>
    <n v="398"/>
    <n v="5"/>
  </r>
  <r>
    <s v="0347"/>
    <x v="42"/>
    <n v="18"/>
    <s v="Company R"/>
    <x v="6"/>
    <x v="0"/>
    <s v="Arizona"/>
    <x v="2"/>
    <n v="199"/>
    <n v="0"/>
    <n v="0"/>
    <n v="5"/>
  </r>
  <r>
    <s v="0356"/>
    <x v="44"/>
    <n v="18"/>
    <s v="Company R"/>
    <x v="0"/>
    <x v="0"/>
    <s v="Arizona"/>
    <x v="2"/>
    <n v="199"/>
    <n v="8"/>
    <n v="1592"/>
    <n v="3"/>
  </r>
  <r>
    <s v="0360"/>
    <x v="45"/>
    <n v="19"/>
    <s v="Company S"/>
    <x v="6"/>
    <x v="0"/>
    <s v="Arizona"/>
    <x v="2"/>
    <n v="199"/>
    <n v="9"/>
    <n v="1791"/>
    <n v="5"/>
  </r>
  <r>
    <s v="0370"/>
    <x v="310"/>
    <n v="15"/>
    <s v="Company O"/>
    <x v="5"/>
    <x v="1"/>
    <s v="New Mexico"/>
    <x v="2"/>
    <n v="199"/>
    <n v="4"/>
    <n v="796"/>
    <n v="6"/>
  </r>
  <r>
    <s v="0373"/>
    <x v="310"/>
    <n v="15"/>
    <s v="Company O"/>
    <x v="3"/>
    <x v="2"/>
    <s v="New Mexico"/>
    <x v="2"/>
    <n v="199"/>
    <n v="6"/>
    <n v="1194"/>
    <n v="5"/>
  </r>
  <r>
    <s v="0377"/>
    <x v="46"/>
    <n v="12"/>
    <s v="Company L"/>
    <x v="5"/>
    <x v="1"/>
    <s v="New Mexico"/>
    <x v="2"/>
    <n v="199"/>
    <n v="6"/>
    <n v="1194"/>
    <n v="6"/>
  </r>
  <r>
    <s v="0391"/>
    <x v="47"/>
    <n v="10"/>
    <s v="Company J"/>
    <x v="1"/>
    <x v="1"/>
    <s v="California"/>
    <x v="2"/>
    <n v="199"/>
    <n v="0"/>
    <n v="0"/>
    <n v="4"/>
  </r>
  <r>
    <s v="0394"/>
    <x v="455"/>
    <n v="18"/>
    <s v="Company R"/>
    <x v="6"/>
    <x v="0"/>
    <s v="Arizona"/>
    <x v="2"/>
    <n v="199"/>
    <n v="3"/>
    <n v="597"/>
    <n v="5"/>
  </r>
  <r>
    <s v="0409"/>
    <x v="313"/>
    <n v="16"/>
    <s v="Company P"/>
    <x v="6"/>
    <x v="0"/>
    <s v="Arizona"/>
    <x v="2"/>
    <n v="199"/>
    <n v="3"/>
    <n v="597"/>
    <n v="5"/>
  </r>
  <r>
    <s v="0413"/>
    <x v="313"/>
    <n v="3"/>
    <s v="Company C"/>
    <x v="4"/>
    <x v="2"/>
    <s v="Texas"/>
    <x v="2"/>
    <n v="199"/>
    <n v="1"/>
    <n v="199"/>
    <n v="2"/>
  </r>
  <r>
    <s v="0416"/>
    <x v="456"/>
    <n v="13"/>
    <s v="Company M"/>
    <x v="3"/>
    <x v="2"/>
    <s v="New Mexico"/>
    <x v="2"/>
    <n v="199"/>
    <n v="1"/>
    <n v="199"/>
    <n v="5"/>
  </r>
  <r>
    <s v="0419"/>
    <x v="457"/>
    <n v="14"/>
    <s v="Company N"/>
    <x v="3"/>
    <x v="2"/>
    <s v="New Mexico"/>
    <x v="2"/>
    <n v="199"/>
    <n v="3"/>
    <n v="597"/>
    <n v="5"/>
  </r>
  <r>
    <s v="0426"/>
    <x v="314"/>
    <n v="17"/>
    <s v="Company Q"/>
    <x v="0"/>
    <x v="0"/>
    <s v="Arizona"/>
    <x v="2"/>
    <n v="199"/>
    <n v="8"/>
    <n v="1592"/>
    <n v="3"/>
  </r>
  <r>
    <s v="0427"/>
    <x v="458"/>
    <n v="5"/>
    <s v="Company E"/>
    <x v="2"/>
    <x v="0"/>
    <s v="Texas"/>
    <x v="2"/>
    <n v="199"/>
    <n v="6"/>
    <n v="1194"/>
    <n v="2"/>
  </r>
  <r>
    <s v="0436"/>
    <x v="51"/>
    <n v="17"/>
    <s v="Company Q"/>
    <x v="0"/>
    <x v="0"/>
    <s v="Arizona"/>
    <x v="2"/>
    <n v="199"/>
    <n v="0"/>
    <n v="0"/>
    <n v="3"/>
  </r>
  <r>
    <s v="0441"/>
    <x v="51"/>
    <n v="18"/>
    <s v="Company R"/>
    <x v="0"/>
    <x v="0"/>
    <s v="Arizona"/>
    <x v="2"/>
    <n v="199"/>
    <n v="6"/>
    <n v="1194"/>
    <n v="3"/>
  </r>
  <r>
    <s v="0445"/>
    <x v="52"/>
    <n v="9"/>
    <s v="Company I"/>
    <x v="1"/>
    <x v="1"/>
    <s v="California"/>
    <x v="2"/>
    <n v="199"/>
    <n v="2"/>
    <n v="398"/>
    <n v="4"/>
  </r>
  <r>
    <s v="0458"/>
    <x v="53"/>
    <n v="12"/>
    <s v="Company L"/>
    <x v="5"/>
    <x v="1"/>
    <s v="New Mexico"/>
    <x v="2"/>
    <n v="199"/>
    <n v="3"/>
    <n v="597"/>
    <n v="6"/>
  </r>
  <r>
    <s v="0467"/>
    <x v="55"/>
    <n v="4"/>
    <s v="Company D"/>
    <x v="2"/>
    <x v="0"/>
    <s v="Texas"/>
    <x v="2"/>
    <n v="199"/>
    <n v="0"/>
    <n v="0"/>
    <n v="2"/>
  </r>
  <r>
    <s v="0475"/>
    <x v="58"/>
    <n v="13"/>
    <s v="Company M"/>
    <x v="3"/>
    <x v="2"/>
    <s v="New Mexico"/>
    <x v="2"/>
    <n v="199"/>
    <n v="2"/>
    <n v="398"/>
    <n v="5"/>
  </r>
  <r>
    <s v="0484"/>
    <x v="316"/>
    <n v="4"/>
    <s v="Company D"/>
    <x v="4"/>
    <x v="2"/>
    <s v="Texas"/>
    <x v="2"/>
    <n v="199"/>
    <n v="4"/>
    <n v="796"/>
    <n v="2"/>
  </r>
  <r>
    <s v="0485"/>
    <x v="317"/>
    <n v="16"/>
    <s v="Company P"/>
    <x v="6"/>
    <x v="0"/>
    <s v="Arizona"/>
    <x v="2"/>
    <n v="199"/>
    <n v="7"/>
    <n v="1393"/>
    <n v="5"/>
  </r>
  <r>
    <s v="0495"/>
    <x v="59"/>
    <n v="13"/>
    <s v="Company M"/>
    <x v="3"/>
    <x v="2"/>
    <s v="New Mexico"/>
    <x v="2"/>
    <n v="199"/>
    <n v="5"/>
    <n v="995"/>
    <n v="5"/>
  </r>
  <r>
    <s v="0499"/>
    <x v="59"/>
    <n v="18"/>
    <s v="Company R"/>
    <x v="6"/>
    <x v="0"/>
    <s v="Arizona"/>
    <x v="2"/>
    <n v="199"/>
    <n v="8"/>
    <n v="1592"/>
    <n v="5"/>
  </r>
  <r>
    <s v="0501"/>
    <x v="318"/>
    <n v="2"/>
    <s v="Company B"/>
    <x v="2"/>
    <x v="0"/>
    <s v="Texas"/>
    <x v="2"/>
    <n v="199"/>
    <n v="5"/>
    <n v="995"/>
    <n v="2"/>
  </r>
  <r>
    <s v="0502"/>
    <x v="318"/>
    <n v="2"/>
    <s v="Company B"/>
    <x v="2"/>
    <x v="0"/>
    <s v="Texas"/>
    <x v="2"/>
    <n v="199"/>
    <n v="0"/>
    <n v="0"/>
    <n v="2"/>
  </r>
  <r>
    <s v="0504"/>
    <x v="459"/>
    <n v="9"/>
    <s v="Company I"/>
    <x v="7"/>
    <x v="3"/>
    <s v="California"/>
    <x v="2"/>
    <n v="199"/>
    <n v="6"/>
    <n v="1194"/>
    <n v="8"/>
  </r>
  <r>
    <s v="0505"/>
    <x v="60"/>
    <n v="12"/>
    <s v="Company L"/>
    <x v="5"/>
    <x v="1"/>
    <s v="New Mexico"/>
    <x v="2"/>
    <n v="199"/>
    <n v="2"/>
    <n v="398"/>
    <n v="6"/>
  </r>
  <r>
    <s v="0518"/>
    <x v="321"/>
    <n v="9"/>
    <s v="Company I"/>
    <x v="7"/>
    <x v="3"/>
    <s v="California"/>
    <x v="2"/>
    <n v="199"/>
    <n v="7"/>
    <n v="1393"/>
    <n v="8"/>
  </r>
  <r>
    <s v="0519"/>
    <x v="61"/>
    <n v="5"/>
    <s v="Company E"/>
    <x v="4"/>
    <x v="2"/>
    <s v="Texas"/>
    <x v="2"/>
    <n v="199"/>
    <n v="9"/>
    <n v="1791"/>
    <n v="2"/>
  </r>
  <r>
    <s v="0522"/>
    <x v="61"/>
    <n v="12"/>
    <s v="Company L"/>
    <x v="5"/>
    <x v="1"/>
    <s v="New Mexico"/>
    <x v="2"/>
    <n v="199"/>
    <n v="9"/>
    <n v="1791"/>
    <n v="6"/>
  </r>
  <r>
    <s v="0529"/>
    <x v="61"/>
    <n v="13"/>
    <s v="Company M"/>
    <x v="5"/>
    <x v="1"/>
    <s v="New Mexico"/>
    <x v="2"/>
    <n v="199"/>
    <n v="8"/>
    <n v="1592"/>
    <n v="6"/>
  </r>
  <r>
    <s v="0531"/>
    <x v="62"/>
    <n v="8"/>
    <s v="Company H"/>
    <x v="7"/>
    <x v="3"/>
    <s v="California"/>
    <x v="2"/>
    <n v="199"/>
    <n v="3"/>
    <n v="597"/>
    <n v="8"/>
  </r>
  <r>
    <s v="0533"/>
    <x v="460"/>
    <n v="8"/>
    <s v="Company H"/>
    <x v="1"/>
    <x v="1"/>
    <s v="California"/>
    <x v="2"/>
    <n v="199"/>
    <n v="5"/>
    <n v="995"/>
    <n v="4"/>
  </r>
  <r>
    <s v="0535"/>
    <x v="460"/>
    <n v="19"/>
    <s v="Company S"/>
    <x v="6"/>
    <x v="0"/>
    <s v="Arizona"/>
    <x v="2"/>
    <n v="199"/>
    <n v="2"/>
    <n v="398"/>
    <n v="5"/>
  </r>
  <r>
    <s v="0537"/>
    <x v="461"/>
    <n v="9"/>
    <s v="Company I"/>
    <x v="1"/>
    <x v="1"/>
    <s v="California"/>
    <x v="2"/>
    <n v="199"/>
    <n v="1"/>
    <n v="199"/>
    <n v="4"/>
  </r>
  <r>
    <s v="0538"/>
    <x v="461"/>
    <n v="8"/>
    <s v="Company H"/>
    <x v="1"/>
    <x v="1"/>
    <s v="California"/>
    <x v="2"/>
    <n v="199"/>
    <n v="2"/>
    <n v="398"/>
    <n v="4"/>
  </r>
  <r>
    <s v="0539"/>
    <x v="462"/>
    <n v="19"/>
    <s v="Company S"/>
    <x v="6"/>
    <x v="0"/>
    <s v="Arizona"/>
    <x v="2"/>
    <n v="199"/>
    <n v="0"/>
    <n v="0"/>
    <n v="5"/>
  </r>
  <r>
    <s v="0546"/>
    <x v="463"/>
    <n v="4"/>
    <s v="Company D"/>
    <x v="4"/>
    <x v="2"/>
    <s v="Texas"/>
    <x v="2"/>
    <n v="199"/>
    <n v="5"/>
    <n v="995"/>
    <n v="2"/>
  </r>
  <r>
    <s v="0548"/>
    <x v="65"/>
    <n v="2"/>
    <s v="Company B"/>
    <x v="4"/>
    <x v="2"/>
    <s v="Texas"/>
    <x v="2"/>
    <n v="199"/>
    <n v="7"/>
    <n v="1393"/>
    <n v="2"/>
  </r>
  <r>
    <s v="0549"/>
    <x v="65"/>
    <n v="17"/>
    <s v="Company Q"/>
    <x v="6"/>
    <x v="0"/>
    <s v="Arizona"/>
    <x v="2"/>
    <n v="199"/>
    <n v="2"/>
    <n v="398"/>
    <n v="5"/>
  </r>
  <r>
    <s v="0554"/>
    <x v="66"/>
    <n v="19"/>
    <s v="Company S"/>
    <x v="6"/>
    <x v="0"/>
    <s v="Arizona"/>
    <x v="2"/>
    <n v="199"/>
    <n v="4"/>
    <n v="796"/>
    <n v="5"/>
  </r>
  <r>
    <s v="0555"/>
    <x v="66"/>
    <n v="6"/>
    <s v="Company F"/>
    <x v="7"/>
    <x v="3"/>
    <s v="California"/>
    <x v="2"/>
    <n v="199"/>
    <n v="9"/>
    <n v="1791"/>
    <n v="8"/>
  </r>
  <r>
    <s v="0565"/>
    <x v="68"/>
    <n v="1"/>
    <s v="Company A"/>
    <x v="2"/>
    <x v="0"/>
    <s v="Texas"/>
    <x v="2"/>
    <n v="199"/>
    <n v="0"/>
    <n v="0"/>
    <n v="2"/>
  </r>
  <r>
    <s v="0585"/>
    <x v="71"/>
    <n v="5"/>
    <s v="Company E"/>
    <x v="2"/>
    <x v="0"/>
    <s v="Texas"/>
    <x v="2"/>
    <n v="199"/>
    <n v="1"/>
    <n v="199"/>
    <n v="2"/>
  </r>
  <r>
    <s v="0595"/>
    <x v="73"/>
    <n v="10"/>
    <s v="Company J"/>
    <x v="1"/>
    <x v="1"/>
    <s v="California"/>
    <x v="2"/>
    <n v="199"/>
    <n v="6"/>
    <n v="1194"/>
    <n v="4"/>
  </r>
  <r>
    <s v="0602"/>
    <x v="74"/>
    <n v="12"/>
    <s v="Company L"/>
    <x v="5"/>
    <x v="1"/>
    <s v="New Mexico"/>
    <x v="2"/>
    <n v="199"/>
    <n v="3"/>
    <n v="597"/>
    <n v="6"/>
  </r>
  <r>
    <s v="0617"/>
    <x v="76"/>
    <n v="19"/>
    <s v="Company S"/>
    <x v="0"/>
    <x v="0"/>
    <s v="Arizona"/>
    <x v="2"/>
    <n v="199"/>
    <n v="8"/>
    <n v="1592"/>
    <n v="3"/>
  </r>
  <r>
    <s v="0623"/>
    <x v="328"/>
    <n v="14"/>
    <s v="Company N"/>
    <x v="5"/>
    <x v="1"/>
    <s v="New Mexico"/>
    <x v="2"/>
    <n v="199"/>
    <n v="0"/>
    <n v="0"/>
    <n v="6"/>
  </r>
  <r>
    <s v="0624"/>
    <x v="77"/>
    <n v="3"/>
    <s v="Company C"/>
    <x v="4"/>
    <x v="2"/>
    <s v="Texas"/>
    <x v="2"/>
    <n v="199"/>
    <n v="4"/>
    <n v="796"/>
    <n v="2"/>
  </r>
  <r>
    <s v="0631"/>
    <x v="464"/>
    <n v="13"/>
    <s v="Company M"/>
    <x v="3"/>
    <x v="2"/>
    <s v="New Mexico"/>
    <x v="2"/>
    <n v="199"/>
    <n v="4"/>
    <n v="796"/>
    <n v="5"/>
  </r>
  <r>
    <s v="0644"/>
    <x v="329"/>
    <n v="6"/>
    <s v="Company F"/>
    <x v="1"/>
    <x v="1"/>
    <s v="California"/>
    <x v="2"/>
    <n v="199"/>
    <n v="6"/>
    <n v="1194"/>
    <n v="4"/>
  </r>
  <r>
    <s v="0646"/>
    <x v="329"/>
    <n v="14"/>
    <s v="Company N"/>
    <x v="3"/>
    <x v="2"/>
    <s v="New Mexico"/>
    <x v="2"/>
    <n v="199"/>
    <n v="0"/>
    <n v="0"/>
    <n v="5"/>
  </r>
  <r>
    <s v="0648"/>
    <x v="329"/>
    <n v="8"/>
    <s v="Company H"/>
    <x v="7"/>
    <x v="3"/>
    <s v="California"/>
    <x v="2"/>
    <n v="199"/>
    <n v="1"/>
    <n v="199"/>
    <n v="8"/>
  </r>
  <r>
    <s v="0659"/>
    <x v="331"/>
    <n v="15"/>
    <s v="Company O"/>
    <x v="5"/>
    <x v="1"/>
    <s v="New Mexico"/>
    <x v="2"/>
    <n v="199"/>
    <n v="1"/>
    <n v="199"/>
    <n v="6"/>
  </r>
  <r>
    <s v="0670"/>
    <x v="85"/>
    <n v="2"/>
    <s v="Company B"/>
    <x v="2"/>
    <x v="0"/>
    <s v="Texas"/>
    <x v="2"/>
    <n v="199"/>
    <n v="1"/>
    <n v="199"/>
    <n v="2"/>
  </r>
  <r>
    <s v="0685"/>
    <x v="86"/>
    <n v="11"/>
    <s v="Company K"/>
    <x v="5"/>
    <x v="1"/>
    <s v="New Mexico"/>
    <x v="2"/>
    <n v="199"/>
    <n v="4"/>
    <n v="796"/>
    <n v="6"/>
  </r>
  <r>
    <s v="0688"/>
    <x v="86"/>
    <n v="19"/>
    <s v="Company S"/>
    <x v="6"/>
    <x v="0"/>
    <s v="Arizona"/>
    <x v="2"/>
    <n v="199"/>
    <n v="5"/>
    <n v="995"/>
    <n v="5"/>
  </r>
  <r>
    <s v="0693"/>
    <x v="86"/>
    <n v="11"/>
    <s v="Company K"/>
    <x v="3"/>
    <x v="2"/>
    <s v="New Mexico"/>
    <x v="2"/>
    <n v="199"/>
    <n v="5"/>
    <n v="995"/>
    <n v="5"/>
  </r>
  <r>
    <s v="0696"/>
    <x v="465"/>
    <n v="3"/>
    <s v="Company C"/>
    <x v="4"/>
    <x v="2"/>
    <s v="Texas"/>
    <x v="2"/>
    <n v="199"/>
    <n v="8"/>
    <n v="1592"/>
    <n v="2"/>
  </r>
  <r>
    <s v="0699"/>
    <x v="466"/>
    <n v="5"/>
    <s v="Company E"/>
    <x v="4"/>
    <x v="2"/>
    <s v="Texas"/>
    <x v="2"/>
    <n v="199"/>
    <n v="3"/>
    <n v="597"/>
    <n v="2"/>
  </r>
  <r>
    <s v="0702"/>
    <x v="337"/>
    <n v="6"/>
    <s v="Company F"/>
    <x v="1"/>
    <x v="1"/>
    <s v="California"/>
    <x v="2"/>
    <n v="199"/>
    <n v="3"/>
    <n v="597"/>
    <n v="4"/>
  </r>
  <r>
    <s v="0707"/>
    <x v="337"/>
    <n v="10"/>
    <s v="Company J"/>
    <x v="1"/>
    <x v="1"/>
    <s v="California"/>
    <x v="2"/>
    <n v="199"/>
    <n v="1"/>
    <n v="199"/>
    <n v="4"/>
  </r>
  <r>
    <s v="0711"/>
    <x v="337"/>
    <n v="19"/>
    <s v="Company S"/>
    <x v="6"/>
    <x v="0"/>
    <s v="Arizona"/>
    <x v="2"/>
    <n v="199"/>
    <n v="1"/>
    <n v="199"/>
    <n v="5"/>
  </r>
  <r>
    <s v="0717"/>
    <x v="338"/>
    <n v="12"/>
    <s v="Company L"/>
    <x v="3"/>
    <x v="2"/>
    <s v="New Mexico"/>
    <x v="2"/>
    <n v="199"/>
    <n v="2"/>
    <n v="398"/>
    <n v="5"/>
  </r>
  <r>
    <s v="0729"/>
    <x v="340"/>
    <n v="6"/>
    <s v="Company F"/>
    <x v="1"/>
    <x v="1"/>
    <s v="California"/>
    <x v="2"/>
    <n v="199"/>
    <n v="7"/>
    <n v="1393"/>
    <n v="4"/>
  </r>
  <r>
    <s v="0740"/>
    <x v="467"/>
    <n v="19"/>
    <s v="Company S"/>
    <x v="0"/>
    <x v="0"/>
    <s v="Arizona"/>
    <x v="2"/>
    <n v="199"/>
    <n v="4"/>
    <n v="796"/>
    <n v="3"/>
  </r>
  <r>
    <s v="0747"/>
    <x v="468"/>
    <n v="6"/>
    <s v="Company F"/>
    <x v="7"/>
    <x v="3"/>
    <s v="California"/>
    <x v="2"/>
    <n v="199"/>
    <n v="3"/>
    <n v="597"/>
    <n v="8"/>
  </r>
  <r>
    <s v="0748"/>
    <x v="342"/>
    <n v="8"/>
    <s v="Company H"/>
    <x v="7"/>
    <x v="3"/>
    <s v="California"/>
    <x v="2"/>
    <n v="199"/>
    <n v="7"/>
    <n v="1393"/>
    <n v="8"/>
  </r>
  <r>
    <s v="0754"/>
    <x v="93"/>
    <n v="14"/>
    <s v="Company N"/>
    <x v="5"/>
    <x v="1"/>
    <s v="New Mexico"/>
    <x v="2"/>
    <n v="199"/>
    <n v="2"/>
    <n v="398"/>
    <n v="6"/>
  </r>
  <r>
    <s v="0755"/>
    <x v="93"/>
    <n v="20"/>
    <s v="Company T"/>
    <x v="6"/>
    <x v="0"/>
    <s v="Arizona"/>
    <x v="2"/>
    <n v="199"/>
    <n v="6"/>
    <n v="1194"/>
    <n v="5"/>
  </r>
  <r>
    <s v="0767"/>
    <x v="469"/>
    <n v="13"/>
    <s v="Company M"/>
    <x v="3"/>
    <x v="2"/>
    <s v="New Mexico"/>
    <x v="2"/>
    <n v="199"/>
    <n v="1"/>
    <n v="199"/>
    <n v="5"/>
  </r>
  <r>
    <s v="0784"/>
    <x v="99"/>
    <n v="2"/>
    <s v="Company B"/>
    <x v="2"/>
    <x v="0"/>
    <s v="Texas"/>
    <x v="2"/>
    <n v="199"/>
    <n v="5"/>
    <n v="995"/>
    <n v="2"/>
  </r>
  <r>
    <s v="0788"/>
    <x v="470"/>
    <n v="14"/>
    <s v="Company N"/>
    <x v="5"/>
    <x v="1"/>
    <s v="New Mexico"/>
    <x v="2"/>
    <n v="199"/>
    <n v="6"/>
    <n v="1194"/>
    <n v="6"/>
  </r>
  <r>
    <s v="0794"/>
    <x v="101"/>
    <n v="11"/>
    <s v="Company K"/>
    <x v="3"/>
    <x v="2"/>
    <s v="New Mexico"/>
    <x v="2"/>
    <n v="199"/>
    <n v="8"/>
    <n v="1592"/>
    <n v="5"/>
  </r>
  <r>
    <s v="0795"/>
    <x v="101"/>
    <n v="13"/>
    <s v="Company M"/>
    <x v="5"/>
    <x v="1"/>
    <s v="New Mexico"/>
    <x v="2"/>
    <n v="199"/>
    <n v="9"/>
    <n v="1791"/>
    <n v="6"/>
  </r>
  <r>
    <s v="0803"/>
    <x v="102"/>
    <n v="17"/>
    <s v="Company Q"/>
    <x v="0"/>
    <x v="0"/>
    <s v="Arizona"/>
    <x v="2"/>
    <n v="199"/>
    <n v="5"/>
    <n v="995"/>
    <n v="3"/>
  </r>
  <r>
    <s v="0809"/>
    <x v="471"/>
    <n v="19"/>
    <s v="Company S"/>
    <x v="6"/>
    <x v="0"/>
    <s v="Arizona"/>
    <x v="2"/>
    <n v="199"/>
    <n v="9"/>
    <n v="1791"/>
    <n v="5"/>
  </r>
  <r>
    <s v="0828"/>
    <x v="472"/>
    <n v="5"/>
    <s v="Company E"/>
    <x v="2"/>
    <x v="0"/>
    <s v="Texas"/>
    <x v="2"/>
    <n v="199"/>
    <n v="3"/>
    <n v="597"/>
    <n v="2"/>
  </r>
  <r>
    <s v="0831"/>
    <x v="343"/>
    <n v="1"/>
    <s v="Company A"/>
    <x v="2"/>
    <x v="0"/>
    <s v="Texas"/>
    <x v="2"/>
    <n v="199"/>
    <n v="1"/>
    <n v="199"/>
    <n v="2"/>
  </r>
  <r>
    <s v="0837"/>
    <x v="473"/>
    <n v="3"/>
    <s v="Company C"/>
    <x v="4"/>
    <x v="2"/>
    <s v="Texas"/>
    <x v="2"/>
    <n v="199"/>
    <n v="6"/>
    <n v="1194"/>
    <n v="2"/>
  </r>
  <r>
    <s v="0842"/>
    <x v="345"/>
    <n v="12"/>
    <s v="Company L"/>
    <x v="5"/>
    <x v="1"/>
    <s v="New Mexico"/>
    <x v="2"/>
    <n v="199"/>
    <n v="4"/>
    <n v="796"/>
    <n v="6"/>
  </r>
  <r>
    <s v="0843"/>
    <x v="345"/>
    <n v="4"/>
    <s v="Company D"/>
    <x v="2"/>
    <x v="0"/>
    <s v="Texas"/>
    <x v="2"/>
    <n v="199"/>
    <n v="7"/>
    <n v="1393"/>
    <n v="2"/>
  </r>
  <r>
    <s v="0846"/>
    <x v="112"/>
    <n v="8"/>
    <s v="Company H"/>
    <x v="1"/>
    <x v="1"/>
    <s v="California"/>
    <x v="2"/>
    <n v="199"/>
    <n v="8"/>
    <n v="1592"/>
    <n v="4"/>
  </r>
  <r>
    <s v="0849"/>
    <x v="112"/>
    <n v="4"/>
    <s v="Company D"/>
    <x v="2"/>
    <x v="0"/>
    <s v="Texas"/>
    <x v="2"/>
    <n v="199"/>
    <n v="8"/>
    <n v="1592"/>
    <n v="2"/>
  </r>
  <r>
    <s v="0854"/>
    <x v="112"/>
    <n v="7"/>
    <s v="Company G"/>
    <x v="7"/>
    <x v="3"/>
    <s v="California"/>
    <x v="2"/>
    <n v="199"/>
    <n v="5"/>
    <n v="995"/>
    <n v="8"/>
  </r>
  <r>
    <s v="0860"/>
    <x v="113"/>
    <n v="6"/>
    <s v="Company F"/>
    <x v="1"/>
    <x v="1"/>
    <s v="California"/>
    <x v="2"/>
    <n v="199"/>
    <n v="8"/>
    <n v="1592"/>
    <n v="4"/>
  </r>
  <r>
    <s v="0863"/>
    <x v="348"/>
    <n v="16"/>
    <s v="Company P"/>
    <x v="6"/>
    <x v="0"/>
    <s v="Arizona"/>
    <x v="2"/>
    <n v="199"/>
    <n v="0"/>
    <n v="0"/>
    <n v="5"/>
  </r>
  <r>
    <s v="0867"/>
    <x v="474"/>
    <n v="7"/>
    <s v="Company G"/>
    <x v="1"/>
    <x v="1"/>
    <s v="California"/>
    <x v="2"/>
    <n v="199"/>
    <n v="6"/>
    <n v="1194"/>
    <n v="4"/>
  </r>
  <r>
    <s v="0873"/>
    <x v="349"/>
    <n v="20"/>
    <s v="Company T"/>
    <x v="6"/>
    <x v="0"/>
    <s v="Arizona"/>
    <x v="2"/>
    <n v="199"/>
    <n v="3"/>
    <n v="597"/>
    <n v="5"/>
  </r>
  <r>
    <s v="0879"/>
    <x v="350"/>
    <n v="20"/>
    <s v="Company T"/>
    <x v="0"/>
    <x v="0"/>
    <s v="Arizona"/>
    <x v="2"/>
    <n v="199"/>
    <n v="1"/>
    <n v="199"/>
    <n v="3"/>
  </r>
  <r>
    <s v="0880"/>
    <x v="350"/>
    <n v="6"/>
    <s v="Company F"/>
    <x v="7"/>
    <x v="3"/>
    <s v="California"/>
    <x v="2"/>
    <n v="199"/>
    <n v="7"/>
    <n v="1393"/>
    <n v="8"/>
  </r>
  <r>
    <s v="0883"/>
    <x v="351"/>
    <n v="3"/>
    <s v="Company C"/>
    <x v="4"/>
    <x v="2"/>
    <s v="Texas"/>
    <x v="2"/>
    <n v="199"/>
    <n v="5"/>
    <n v="995"/>
    <n v="2"/>
  </r>
  <r>
    <s v="0888"/>
    <x v="352"/>
    <n v="15"/>
    <s v="Company O"/>
    <x v="3"/>
    <x v="2"/>
    <s v="New Mexico"/>
    <x v="2"/>
    <n v="199"/>
    <n v="3"/>
    <n v="597"/>
    <n v="5"/>
  </r>
  <r>
    <s v="0889"/>
    <x v="353"/>
    <n v="20"/>
    <s v="Company T"/>
    <x v="6"/>
    <x v="0"/>
    <s v="Arizona"/>
    <x v="2"/>
    <n v="199"/>
    <n v="3"/>
    <n v="597"/>
    <n v="5"/>
  </r>
  <r>
    <s v="0891"/>
    <x v="353"/>
    <n v="4"/>
    <s v="Company D"/>
    <x v="2"/>
    <x v="0"/>
    <s v="Texas"/>
    <x v="2"/>
    <n v="199"/>
    <n v="9"/>
    <n v="1791"/>
    <n v="2"/>
  </r>
  <r>
    <s v="0895"/>
    <x v="116"/>
    <n v="9"/>
    <s v="Company I"/>
    <x v="7"/>
    <x v="3"/>
    <s v="California"/>
    <x v="2"/>
    <n v="199"/>
    <n v="2"/>
    <n v="398"/>
    <n v="8"/>
  </r>
  <r>
    <s v="0896"/>
    <x v="116"/>
    <n v="6"/>
    <s v="Company F"/>
    <x v="1"/>
    <x v="1"/>
    <s v="California"/>
    <x v="2"/>
    <n v="199"/>
    <n v="8"/>
    <n v="1592"/>
    <n v="4"/>
  </r>
  <r>
    <s v="0898"/>
    <x v="116"/>
    <n v="17"/>
    <s v="Company Q"/>
    <x v="0"/>
    <x v="0"/>
    <s v="Arizona"/>
    <x v="2"/>
    <n v="199"/>
    <n v="2"/>
    <n v="398"/>
    <n v="3"/>
  </r>
  <r>
    <s v="0899"/>
    <x v="475"/>
    <n v="1"/>
    <s v="Company A"/>
    <x v="4"/>
    <x v="2"/>
    <s v="Texas"/>
    <x v="2"/>
    <n v="199"/>
    <n v="4"/>
    <n v="796"/>
    <n v="2"/>
  </r>
  <r>
    <s v="0906"/>
    <x v="355"/>
    <n v="19"/>
    <s v="Company S"/>
    <x v="6"/>
    <x v="0"/>
    <s v="Arizona"/>
    <x v="2"/>
    <n v="199"/>
    <n v="5"/>
    <n v="995"/>
    <n v="5"/>
  </r>
  <r>
    <s v="0907"/>
    <x v="356"/>
    <n v="10"/>
    <s v="Company J"/>
    <x v="7"/>
    <x v="3"/>
    <s v="California"/>
    <x v="2"/>
    <n v="199"/>
    <n v="1"/>
    <n v="199"/>
    <n v="8"/>
  </r>
  <r>
    <s v="0910"/>
    <x v="357"/>
    <n v="19"/>
    <s v="Company S"/>
    <x v="6"/>
    <x v="0"/>
    <s v="Arizona"/>
    <x v="2"/>
    <n v="199"/>
    <n v="3"/>
    <n v="597"/>
    <n v="5"/>
  </r>
  <r>
    <s v="0913"/>
    <x v="357"/>
    <n v="9"/>
    <s v="Company I"/>
    <x v="1"/>
    <x v="1"/>
    <s v="California"/>
    <x v="2"/>
    <n v="199"/>
    <n v="5"/>
    <n v="995"/>
    <n v="4"/>
  </r>
  <r>
    <s v="0920"/>
    <x v="119"/>
    <n v="2"/>
    <s v="Company B"/>
    <x v="4"/>
    <x v="2"/>
    <s v="Texas"/>
    <x v="2"/>
    <n v="199"/>
    <n v="3"/>
    <n v="597"/>
    <n v="2"/>
  </r>
  <r>
    <s v="0925"/>
    <x v="120"/>
    <n v="12"/>
    <s v="Company L"/>
    <x v="3"/>
    <x v="2"/>
    <s v="New Mexico"/>
    <x v="2"/>
    <n v="199"/>
    <n v="7"/>
    <n v="1393"/>
    <n v="5"/>
  </r>
  <r>
    <s v="0926"/>
    <x v="476"/>
    <n v="1"/>
    <s v="Company A"/>
    <x v="4"/>
    <x v="2"/>
    <s v="Texas"/>
    <x v="2"/>
    <n v="199"/>
    <n v="0"/>
    <n v="0"/>
    <n v="2"/>
  </r>
  <r>
    <s v="0927"/>
    <x v="476"/>
    <n v="8"/>
    <s v="Company H"/>
    <x v="1"/>
    <x v="1"/>
    <s v="California"/>
    <x v="2"/>
    <n v="199"/>
    <n v="8"/>
    <n v="1592"/>
    <n v="4"/>
  </r>
  <r>
    <s v="0930"/>
    <x v="476"/>
    <n v="10"/>
    <s v="Company J"/>
    <x v="1"/>
    <x v="1"/>
    <s v="California"/>
    <x v="2"/>
    <n v="199"/>
    <n v="3"/>
    <n v="597"/>
    <n v="4"/>
  </r>
  <r>
    <s v="0932"/>
    <x v="477"/>
    <n v="5"/>
    <s v="Company E"/>
    <x v="4"/>
    <x v="2"/>
    <s v="Texas"/>
    <x v="2"/>
    <n v="199"/>
    <n v="6"/>
    <n v="1194"/>
    <n v="2"/>
  </r>
  <r>
    <s v="0940"/>
    <x v="122"/>
    <n v="5"/>
    <s v="Company E"/>
    <x v="2"/>
    <x v="0"/>
    <s v="Texas"/>
    <x v="2"/>
    <n v="199"/>
    <n v="5"/>
    <n v="995"/>
    <n v="2"/>
  </r>
  <r>
    <s v="0945"/>
    <x v="478"/>
    <n v="17"/>
    <s v="Company Q"/>
    <x v="0"/>
    <x v="0"/>
    <s v="Arizona"/>
    <x v="2"/>
    <n v="199"/>
    <n v="5"/>
    <n v="995"/>
    <n v="3"/>
  </r>
  <r>
    <s v="0946"/>
    <x v="479"/>
    <n v="1"/>
    <s v="Company A"/>
    <x v="2"/>
    <x v="0"/>
    <s v="Texas"/>
    <x v="2"/>
    <n v="199"/>
    <n v="1"/>
    <n v="199"/>
    <n v="2"/>
  </r>
  <r>
    <s v="0948"/>
    <x v="479"/>
    <n v="9"/>
    <s v="Company I"/>
    <x v="1"/>
    <x v="1"/>
    <s v="California"/>
    <x v="2"/>
    <n v="199"/>
    <n v="5"/>
    <n v="995"/>
    <n v="4"/>
  </r>
  <r>
    <s v="0951"/>
    <x v="125"/>
    <n v="17"/>
    <s v="Company Q"/>
    <x v="0"/>
    <x v="0"/>
    <s v="Arizona"/>
    <x v="2"/>
    <n v="199"/>
    <n v="1"/>
    <n v="199"/>
    <n v="3"/>
  </r>
  <r>
    <s v="0953"/>
    <x v="125"/>
    <n v="3"/>
    <s v="Company C"/>
    <x v="4"/>
    <x v="2"/>
    <s v="Texas"/>
    <x v="2"/>
    <n v="199"/>
    <n v="1"/>
    <n v="199"/>
    <n v="2"/>
  </r>
  <r>
    <s v="0954"/>
    <x v="125"/>
    <n v="4"/>
    <s v="Company D"/>
    <x v="2"/>
    <x v="0"/>
    <s v="Texas"/>
    <x v="2"/>
    <n v="199"/>
    <n v="8"/>
    <n v="1592"/>
    <n v="2"/>
  </r>
  <r>
    <s v="0955"/>
    <x v="480"/>
    <n v="10"/>
    <s v="Company J"/>
    <x v="7"/>
    <x v="3"/>
    <s v="California"/>
    <x v="2"/>
    <n v="199"/>
    <n v="0"/>
    <n v="0"/>
    <n v="8"/>
  </r>
  <r>
    <s v="0965"/>
    <x v="126"/>
    <n v="2"/>
    <s v="Company B"/>
    <x v="4"/>
    <x v="2"/>
    <s v="Texas"/>
    <x v="2"/>
    <n v="199"/>
    <n v="7"/>
    <n v="1393"/>
    <n v="2"/>
  </r>
  <r>
    <s v="0971"/>
    <x v="481"/>
    <n v="14"/>
    <s v="Company N"/>
    <x v="5"/>
    <x v="1"/>
    <s v="New Mexico"/>
    <x v="2"/>
    <n v="199"/>
    <n v="0"/>
    <n v="0"/>
    <n v="6"/>
  </r>
  <r>
    <s v="0977"/>
    <x v="482"/>
    <n v="5"/>
    <s v="Company E"/>
    <x v="4"/>
    <x v="2"/>
    <s v="Texas"/>
    <x v="2"/>
    <n v="199"/>
    <n v="9"/>
    <n v="1791"/>
    <n v="2"/>
  </r>
  <r>
    <s v="0982"/>
    <x v="131"/>
    <n v="8"/>
    <s v="Company H"/>
    <x v="1"/>
    <x v="1"/>
    <s v="California"/>
    <x v="2"/>
    <n v="199"/>
    <n v="1"/>
    <n v="199"/>
    <n v="4"/>
  </r>
  <r>
    <s v="0987"/>
    <x v="132"/>
    <n v="8"/>
    <s v="Company H"/>
    <x v="7"/>
    <x v="3"/>
    <s v="California"/>
    <x v="2"/>
    <n v="199"/>
    <n v="7"/>
    <n v="1393"/>
    <n v="8"/>
  </r>
  <r>
    <s v="0988"/>
    <x v="132"/>
    <n v="17"/>
    <s v="Company Q"/>
    <x v="6"/>
    <x v="0"/>
    <s v="Arizona"/>
    <x v="2"/>
    <n v="199"/>
    <n v="2"/>
    <n v="398"/>
    <n v="5"/>
  </r>
  <r>
    <s v="0992"/>
    <x v="133"/>
    <n v="19"/>
    <s v="Company S"/>
    <x v="0"/>
    <x v="0"/>
    <s v="Arizona"/>
    <x v="2"/>
    <n v="199"/>
    <n v="8"/>
    <n v="1592"/>
    <n v="3"/>
  </r>
  <r>
    <s v="0996"/>
    <x v="483"/>
    <n v="7"/>
    <s v="Company G"/>
    <x v="7"/>
    <x v="3"/>
    <s v="California"/>
    <x v="2"/>
    <n v="199"/>
    <n v="0"/>
    <n v="0"/>
    <n v="8"/>
  </r>
  <r>
    <s v="0997"/>
    <x v="483"/>
    <n v="13"/>
    <s v="Company M"/>
    <x v="5"/>
    <x v="1"/>
    <s v="New Mexico"/>
    <x v="2"/>
    <n v="199"/>
    <n v="9"/>
    <n v="1791"/>
    <n v="6"/>
  </r>
  <r>
    <s v="0998"/>
    <x v="484"/>
    <n v="14"/>
    <s v="Company N"/>
    <x v="5"/>
    <x v="1"/>
    <s v="New Mexico"/>
    <x v="2"/>
    <n v="199"/>
    <n v="5"/>
    <n v="995"/>
    <n v="6"/>
  </r>
  <r>
    <s v="0999"/>
    <x v="485"/>
    <n v="2"/>
    <s v="Company B"/>
    <x v="2"/>
    <x v="0"/>
    <s v="Texas"/>
    <x v="2"/>
    <n v="199"/>
    <n v="3"/>
    <n v="597"/>
    <n v="2"/>
  </r>
  <r>
    <s v="1000"/>
    <x v="486"/>
    <n v="1"/>
    <s v="Company A"/>
    <x v="4"/>
    <x v="2"/>
    <s v="Texas"/>
    <x v="2"/>
    <n v="199"/>
    <n v="7"/>
    <n v="1393"/>
    <n v="2"/>
  </r>
  <r>
    <s v="1002"/>
    <x v="360"/>
    <n v="2"/>
    <s v="Company B"/>
    <x v="4"/>
    <x v="2"/>
    <s v="Texas"/>
    <x v="2"/>
    <n v="199"/>
    <n v="2"/>
    <n v="398"/>
    <n v="2"/>
  </r>
  <r>
    <s v="1004"/>
    <x v="360"/>
    <n v="17"/>
    <s v="Company Q"/>
    <x v="6"/>
    <x v="0"/>
    <s v="Arizona"/>
    <x v="2"/>
    <n v="199"/>
    <n v="9"/>
    <n v="1791"/>
    <n v="5"/>
  </r>
  <r>
    <s v="1005"/>
    <x v="360"/>
    <n v="10"/>
    <s v="Company J"/>
    <x v="7"/>
    <x v="3"/>
    <s v="California"/>
    <x v="2"/>
    <n v="199"/>
    <n v="1"/>
    <n v="199"/>
    <n v="8"/>
  </r>
  <r>
    <s v="1007"/>
    <x v="360"/>
    <n v="6"/>
    <s v="Company F"/>
    <x v="7"/>
    <x v="3"/>
    <s v="California"/>
    <x v="2"/>
    <n v="199"/>
    <n v="7"/>
    <n v="1393"/>
    <n v="8"/>
  </r>
  <r>
    <s v="1010"/>
    <x v="361"/>
    <n v="1"/>
    <s v="Company A"/>
    <x v="2"/>
    <x v="0"/>
    <s v="Texas"/>
    <x v="2"/>
    <n v="199"/>
    <n v="2"/>
    <n v="398"/>
    <n v="2"/>
  </r>
  <r>
    <s v="1014"/>
    <x v="487"/>
    <n v="2"/>
    <s v="Company B"/>
    <x v="4"/>
    <x v="2"/>
    <s v="Texas"/>
    <x v="2"/>
    <n v="199"/>
    <n v="6"/>
    <n v="1194"/>
    <n v="2"/>
  </r>
  <r>
    <s v="1017"/>
    <x v="135"/>
    <n v="12"/>
    <s v="Company L"/>
    <x v="3"/>
    <x v="2"/>
    <s v="New Mexico"/>
    <x v="2"/>
    <n v="199"/>
    <n v="4"/>
    <n v="796"/>
    <n v="5"/>
  </r>
  <r>
    <s v="1025"/>
    <x v="138"/>
    <n v="2"/>
    <s v="Company B"/>
    <x v="4"/>
    <x v="2"/>
    <s v="Texas"/>
    <x v="2"/>
    <n v="199"/>
    <n v="9"/>
    <n v="1791"/>
    <n v="2"/>
  </r>
  <r>
    <s v="1032"/>
    <x v="138"/>
    <n v="13"/>
    <s v="Company M"/>
    <x v="3"/>
    <x v="2"/>
    <s v="New Mexico"/>
    <x v="2"/>
    <n v="199"/>
    <n v="7"/>
    <n v="1393"/>
    <n v="5"/>
  </r>
  <r>
    <s v="1038"/>
    <x v="139"/>
    <n v="17"/>
    <s v="Company Q"/>
    <x v="0"/>
    <x v="0"/>
    <s v="Arizona"/>
    <x v="2"/>
    <n v="199"/>
    <n v="3"/>
    <n v="597"/>
    <n v="3"/>
  </r>
  <r>
    <s v="1040"/>
    <x v="140"/>
    <n v="7"/>
    <s v="Company G"/>
    <x v="1"/>
    <x v="1"/>
    <s v="California"/>
    <x v="2"/>
    <n v="199"/>
    <n v="5"/>
    <n v="995"/>
    <n v="4"/>
  </r>
  <r>
    <s v="1057"/>
    <x v="143"/>
    <n v="8"/>
    <s v="Company H"/>
    <x v="1"/>
    <x v="1"/>
    <s v="California"/>
    <x v="2"/>
    <n v="199"/>
    <n v="3"/>
    <n v="597"/>
    <n v="4"/>
  </r>
  <r>
    <s v="1069"/>
    <x v="488"/>
    <n v="4"/>
    <s v="Company D"/>
    <x v="2"/>
    <x v="0"/>
    <s v="Texas"/>
    <x v="2"/>
    <n v="199"/>
    <n v="2"/>
    <n v="398"/>
    <n v="2"/>
  </r>
  <r>
    <s v="1070"/>
    <x v="488"/>
    <n v="14"/>
    <s v="Company N"/>
    <x v="3"/>
    <x v="2"/>
    <s v="New Mexico"/>
    <x v="2"/>
    <n v="199"/>
    <n v="3"/>
    <n v="597"/>
    <n v="5"/>
  </r>
  <r>
    <s v="1071"/>
    <x v="488"/>
    <n v="4"/>
    <s v="Company D"/>
    <x v="2"/>
    <x v="0"/>
    <s v="Texas"/>
    <x v="2"/>
    <n v="199"/>
    <n v="5"/>
    <n v="995"/>
    <n v="2"/>
  </r>
  <r>
    <s v="1084"/>
    <x v="148"/>
    <n v="2"/>
    <s v="Company B"/>
    <x v="2"/>
    <x v="0"/>
    <s v="Texas"/>
    <x v="2"/>
    <n v="199"/>
    <n v="4"/>
    <n v="796"/>
    <n v="2"/>
  </r>
  <r>
    <s v="1085"/>
    <x v="148"/>
    <n v="5"/>
    <s v="Company E"/>
    <x v="4"/>
    <x v="2"/>
    <s v="Texas"/>
    <x v="2"/>
    <n v="199"/>
    <n v="9"/>
    <n v="1791"/>
    <n v="2"/>
  </r>
  <r>
    <s v="1098"/>
    <x v="150"/>
    <n v="10"/>
    <s v="Company J"/>
    <x v="7"/>
    <x v="3"/>
    <s v="California"/>
    <x v="2"/>
    <n v="199"/>
    <n v="3"/>
    <n v="597"/>
    <n v="8"/>
  </r>
  <r>
    <s v="1104"/>
    <x v="150"/>
    <n v="12"/>
    <s v="Company L"/>
    <x v="5"/>
    <x v="1"/>
    <s v="New Mexico"/>
    <x v="2"/>
    <n v="199"/>
    <n v="2"/>
    <n v="398"/>
    <n v="6"/>
  </r>
  <r>
    <s v="1107"/>
    <x v="150"/>
    <n v="7"/>
    <s v="Company G"/>
    <x v="1"/>
    <x v="1"/>
    <s v="California"/>
    <x v="2"/>
    <n v="199"/>
    <n v="9"/>
    <n v="1791"/>
    <n v="4"/>
  </r>
  <r>
    <s v="1115"/>
    <x v="151"/>
    <n v="20"/>
    <s v="Company T"/>
    <x v="0"/>
    <x v="0"/>
    <s v="Arizona"/>
    <x v="2"/>
    <n v="199"/>
    <n v="1"/>
    <n v="199"/>
    <n v="3"/>
  </r>
  <r>
    <s v="1119"/>
    <x v="151"/>
    <n v="10"/>
    <s v="Company J"/>
    <x v="7"/>
    <x v="3"/>
    <s v="California"/>
    <x v="2"/>
    <n v="199"/>
    <n v="6"/>
    <n v="1194"/>
    <n v="8"/>
  </r>
  <r>
    <s v="1127"/>
    <x v="373"/>
    <n v="17"/>
    <s v="Company Q"/>
    <x v="0"/>
    <x v="0"/>
    <s v="Arizona"/>
    <x v="2"/>
    <n v="199"/>
    <n v="9"/>
    <n v="1791"/>
    <n v="3"/>
  </r>
  <r>
    <s v="1130"/>
    <x v="374"/>
    <n v="18"/>
    <s v="Company R"/>
    <x v="0"/>
    <x v="0"/>
    <s v="Arizona"/>
    <x v="2"/>
    <n v="199"/>
    <n v="8"/>
    <n v="1592"/>
    <n v="3"/>
  </r>
  <r>
    <s v="1132"/>
    <x v="374"/>
    <n v="17"/>
    <s v="Company Q"/>
    <x v="6"/>
    <x v="0"/>
    <s v="Arizona"/>
    <x v="2"/>
    <n v="199"/>
    <n v="3"/>
    <n v="597"/>
    <n v="5"/>
  </r>
  <r>
    <s v="1146"/>
    <x v="489"/>
    <n v="4"/>
    <s v="Company D"/>
    <x v="2"/>
    <x v="0"/>
    <s v="Texas"/>
    <x v="2"/>
    <n v="199"/>
    <n v="8"/>
    <n v="1592"/>
    <n v="2"/>
  </r>
  <r>
    <s v="1148"/>
    <x v="490"/>
    <n v="19"/>
    <s v="Company S"/>
    <x v="0"/>
    <x v="0"/>
    <s v="Arizona"/>
    <x v="2"/>
    <n v="199"/>
    <n v="0"/>
    <n v="0"/>
    <n v="3"/>
  </r>
  <r>
    <s v="1158"/>
    <x v="377"/>
    <n v="17"/>
    <s v="Company Q"/>
    <x v="6"/>
    <x v="0"/>
    <s v="Arizona"/>
    <x v="2"/>
    <n v="199"/>
    <n v="6"/>
    <n v="1194"/>
    <n v="5"/>
  </r>
  <r>
    <s v="1160"/>
    <x v="378"/>
    <n v="20"/>
    <s v="Company T"/>
    <x v="0"/>
    <x v="0"/>
    <s v="Arizona"/>
    <x v="2"/>
    <n v="199"/>
    <n v="0"/>
    <n v="0"/>
    <n v="3"/>
  </r>
  <r>
    <s v="1162"/>
    <x v="378"/>
    <n v="15"/>
    <s v="Company O"/>
    <x v="5"/>
    <x v="1"/>
    <s v="New Mexico"/>
    <x v="2"/>
    <n v="199"/>
    <n v="7"/>
    <n v="1393"/>
    <n v="6"/>
  </r>
  <r>
    <s v="1163"/>
    <x v="379"/>
    <n v="17"/>
    <s v="Company Q"/>
    <x v="0"/>
    <x v="0"/>
    <s v="Arizona"/>
    <x v="2"/>
    <n v="199"/>
    <n v="0"/>
    <n v="0"/>
    <n v="3"/>
  </r>
  <r>
    <s v="1165"/>
    <x v="379"/>
    <n v="6"/>
    <s v="Company F"/>
    <x v="7"/>
    <x v="3"/>
    <s v="California"/>
    <x v="2"/>
    <n v="199"/>
    <n v="1"/>
    <n v="199"/>
    <n v="8"/>
  </r>
  <r>
    <s v="1171"/>
    <x v="491"/>
    <n v="14"/>
    <s v="Company N"/>
    <x v="3"/>
    <x v="2"/>
    <s v="New Mexico"/>
    <x v="2"/>
    <n v="199"/>
    <n v="7"/>
    <n v="1393"/>
    <n v="5"/>
  </r>
  <r>
    <s v="1173"/>
    <x v="491"/>
    <n v="6"/>
    <s v="Company F"/>
    <x v="1"/>
    <x v="1"/>
    <s v="California"/>
    <x v="2"/>
    <n v="199"/>
    <n v="2"/>
    <n v="398"/>
    <n v="4"/>
  </r>
  <r>
    <s v="1174"/>
    <x v="492"/>
    <n v="11"/>
    <s v="Company K"/>
    <x v="3"/>
    <x v="2"/>
    <s v="New Mexico"/>
    <x v="2"/>
    <n v="199"/>
    <n v="6"/>
    <n v="1194"/>
    <n v="5"/>
  </r>
  <r>
    <s v="1177"/>
    <x v="158"/>
    <n v="5"/>
    <s v="Company E"/>
    <x v="4"/>
    <x v="2"/>
    <s v="Texas"/>
    <x v="2"/>
    <n v="199"/>
    <n v="9"/>
    <n v="1791"/>
    <n v="2"/>
  </r>
  <r>
    <s v="1184"/>
    <x v="159"/>
    <n v="15"/>
    <s v="Company O"/>
    <x v="5"/>
    <x v="1"/>
    <s v="New Mexico"/>
    <x v="2"/>
    <n v="199"/>
    <n v="3"/>
    <n v="597"/>
    <n v="6"/>
  </r>
  <r>
    <s v="1197"/>
    <x v="493"/>
    <n v="6"/>
    <s v="Company F"/>
    <x v="7"/>
    <x v="3"/>
    <s v="California"/>
    <x v="2"/>
    <n v="199"/>
    <n v="2"/>
    <n v="398"/>
    <n v="8"/>
  </r>
  <r>
    <s v="1210"/>
    <x v="162"/>
    <n v="11"/>
    <s v="Company K"/>
    <x v="5"/>
    <x v="1"/>
    <s v="New Mexico"/>
    <x v="2"/>
    <n v="199"/>
    <n v="7"/>
    <n v="1393"/>
    <n v="6"/>
  </r>
  <r>
    <s v="1224"/>
    <x v="164"/>
    <n v="4"/>
    <s v="Company D"/>
    <x v="2"/>
    <x v="0"/>
    <s v="Texas"/>
    <x v="2"/>
    <n v="199"/>
    <n v="5"/>
    <n v="995"/>
    <n v="2"/>
  </r>
  <r>
    <s v="1229"/>
    <x v="165"/>
    <n v="12"/>
    <s v="Company L"/>
    <x v="5"/>
    <x v="1"/>
    <s v="New Mexico"/>
    <x v="2"/>
    <n v="199"/>
    <n v="4"/>
    <n v="796"/>
    <n v="6"/>
  </r>
  <r>
    <s v="1240"/>
    <x v="494"/>
    <n v="12"/>
    <s v="Company L"/>
    <x v="3"/>
    <x v="2"/>
    <s v="New Mexico"/>
    <x v="2"/>
    <n v="199"/>
    <n v="3"/>
    <n v="597"/>
    <n v="5"/>
  </r>
  <r>
    <s v="1245"/>
    <x v="167"/>
    <n v="8"/>
    <s v="Company H"/>
    <x v="7"/>
    <x v="3"/>
    <s v="California"/>
    <x v="2"/>
    <n v="199"/>
    <n v="0"/>
    <n v="0"/>
    <n v="8"/>
  </r>
  <r>
    <s v="1251"/>
    <x v="167"/>
    <n v="3"/>
    <s v="Company C"/>
    <x v="4"/>
    <x v="2"/>
    <s v="Texas"/>
    <x v="2"/>
    <n v="199"/>
    <n v="1"/>
    <n v="199"/>
    <n v="2"/>
  </r>
  <r>
    <s v="1254"/>
    <x v="168"/>
    <n v="15"/>
    <s v="Company O"/>
    <x v="3"/>
    <x v="2"/>
    <s v="New Mexico"/>
    <x v="2"/>
    <n v="199"/>
    <n v="8"/>
    <n v="1592"/>
    <n v="5"/>
  </r>
  <r>
    <s v="1260"/>
    <x v="169"/>
    <n v="8"/>
    <s v="Company H"/>
    <x v="1"/>
    <x v="1"/>
    <s v="California"/>
    <x v="2"/>
    <n v="199"/>
    <n v="3"/>
    <n v="597"/>
    <n v="4"/>
  </r>
  <r>
    <s v="1261"/>
    <x v="495"/>
    <n v="5"/>
    <s v="Company E"/>
    <x v="4"/>
    <x v="2"/>
    <s v="Texas"/>
    <x v="2"/>
    <n v="199"/>
    <n v="5"/>
    <n v="995"/>
    <n v="2"/>
  </r>
  <r>
    <s v="1266"/>
    <x v="496"/>
    <n v="8"/>
    <s v="Company H"/>
    <x v="1"/>
    <x v="1"/>
    <s v="California"/>
    <x v="2"/>
    <n v="199"/>
    <n v="7"/>
    <n v="1393"/>
    <n v="4"/>
  </r>
  <r>
    <s v="1267"/>
    <x v="496"/>
    <n v="17"/>
    <s v="Company Q"/>
    <x v="6"/>
    <x v="0"/>
    <s v="Arizona"/>
    <x v="2"/>
    <n v="199"/>
    <n v="9"/>
    <n v="1791"/>
    <n v="5"/>
  </r>
  <r>
    <s v="1271"/>
    <x v="497"/>
    <n v="16"/>
    <s v="Company P"/>
    <x v="6"/>
    <x v="0"/>
    <s v="Arizona"/>
    <x v="2"/>
    <n v="199"/>
    <n v="1"/>
    <n v="199"/>
    <n v="5"/>
  </r>
  <r>
    <s v="1273"/>
    <x v="173"/>
    <n v="20"/>
    <s v="Company T"/>
    <x v="0"/>
    <x v="0"/>
    <s v="Arizona"/>
    <x v="2"/>
    <n v="199"/>
    <n v="5"/>
    <n v="995"/>
    <n v="3"/>
  </r>
  <r>
    <s v="1281"/>
    <x v="174"/>
    <n v="19"/>
    <s v="Company S"/>
    <x v="6"/>
    <x v="0"/>
    <s v="Arizona"/>
    <x v="2"/>
    <n v="199"/>
    <n v="0"/>
    <n v="0"/>
    <n v="5"/>
  </r>
  <r>
    <s v="1284"/>
    <x v="174"/>
    <n v="8"/>
    <s v="Company H"/>
    <x v="1"/>
    <x v="1"/>
    <s v="California"/>
    <x v="2"/>
    <n v="199"/>
    <n v="5"/>
    <n v="995"/>
    <n v="4"/>
  </r>
  <r>
    <s v="1288"/>
    <x v="174"/>
    <n v="7"/>
    <s v="Company G"/>
    <x v="1"/>
    <x v="1"/>
    <s v="California"/>
    <x v="2"/>
    <n v="199"/>
    <n v="1"/>
    <n v="199"/>
    <n v="4"/>
  </r>
  <r>
    <s v="1289"/>
    <x v="174"/>
    <n v="17"/>
    <s v="Company Q"/>
    <x v="0"/>
    <x v="0"/>
    <s v="Arizona"/>
    <x v="2"/>
    <n v="199"/>
    <n v="4"/>
    <n v="796"/>
    <n v="3"/>
  </r>
  <r>
    <s v="1292"/>
    <x v="391"/>
    <n v="2"/>
    <s v="Company B"/>
    <x v="2"/>
    <x v="0"/>
    <s v="Texas"/>
    <x v="2"/>
    <n v="199"/>
    <n v="3"/>
    <n v="597"/>
    <n v="2"/>
  </r>
  <r>
    <s v="1299"/>
    <x v="176"/>
    <n v="16"/>
    <s v="Company P"/>
    <x v="0"/>
    <x v="0"/>
    <s v="Arizona"/>
    <x v="2"/>
    <n v="199"/>
    <n v="2"/>
    <n v="398"/>
    <n v="3"/>
  </r>
  <r>
    <s v="1301"/>
    <x v="176"/>
    <n v="3"/>
    <s v="Company C"/>
    <x v="4"/>
    <x v="2"/>
    <s v="Texas"/>
    <x v="2"/>
    <n v="199"/>
    <n v="9"/>
    <n v="1791"/>
    <n v="2"/>
  </r>
  <r>
    <s v="1305"/>
    <x v="177"/>
    <n v="6"/>
    <s v="Company F"/>
    <x v="1"/>
    <x v="1"/>
    <s v="California"/>
    <x v="2"/>
    <n v="199"/>
    <n v="8"/>
    <n v="1592"/>
    <n v="4"/>
  </r>
  <r>
    <s v="1314"/>
    <x v="179"/>
    <n v="11"/>
    <s v="Company K"/>
    <x v="3"/>
    <x v="2"/>
    <s v="New Mexico"/>
    <x v="2"/>
    <n v="199"/>
    <n v="9"/>
    <n v="1791"/>
    <n v="5"/>
  </r>
  <r>
    <s v="1319"/>
    <x v="498"/>
    <n v="11"/>
    <s v="Company K"/>
    <x v="5"/>
    <x v="1"/>
    <s v="New Mexico"/>
    <x v="2"/>
    <n v="199"/>
    <n v="9"/>
    <n v="1791"/>
    <n v="6"/>
  </r>
  <r>
    <s v="1327"/>
    <x v="181"/>
    <n v="3"/>
    <s v="Company C"/>
    <x v="2"/>
    <x v="0"/>
    <s v="Texas"/>
    <x v="2"/>
    <n v="199"/>
    <n v="6"/>
    <n v="1194"/>
    <n v="2"/>
  </r>
  <r>
    <s v="1333"/>
    <x v="183"/>
    <n v="16"/>
    <s v="Company P"/>
    <x v="0"/>
    <x v="0"/>
    <s v="Arizona"/>
    <x v="2"/>
    <n v="199"/>
    <n v="5"/>
    <n v="995"/>
    <n v="3"/>
  </r>
  <r>
    <s v="1340"/>
    <x v="184"/>
    <n v="2"/>
    <s v="Company B"/>
    <x v="2"/>
    <x v="0"/>
    <s v="Texas"/>
    <x v="2"/>
    <n v="199"/>
    <n v="7"/>
    <n v="1393"/>
    <n v="2"/>
  </r>
  <r>
    <s v="1343"/>
    <x v="184"/>
    <n v="4"/>
    <s v="Company D"/>
    <x v="4"/>
    <x v="2"/>
    <s v="Texas"/>
    <x v="2"/>
    <n v="199"/>
    <n v="1"/>
    <n v="199"/>
    <n v="2"/>
  </r>
  <r>
    <s v="1344"/>
    <x v="184"/>
    <n v="6"/>
    <s v="Company F"/>
    <x v="7"/>
    <x v="3"/>
    <s v="California"/>
    <x v="2"/>
    <n v="199"/>
    <n v="0"/>
    <n v="0"/>
    <n v="8"/>
  </r>
  <r>
    <s v="1348"/>
    <x v="499"/>
    <n v="4"/>
    <s v="Company D"/>
    <x v="4"/>
    <x v="2"/>
    <s v="Texas"/>
    <x v="2"/>
    <n v="199"/>
    <n v="6"/>
    <n v="1194"/>
    <n v="2"/>
  </r>
  <r>
    <s v="1349"/>
    <x v="499"/>
    <n v="19"/>
    <s v="Company S"/>
    <x v="0"/>
    <x v="0"/>
    <s v="Arizona"/>
    <x v="2"/>
    <n v="199"/>
    <n v="4"/>
    <n v="796"/>
    <n v="3"/>
  </r>
  <r>
    <s v="1350"/>
    <x v="499"/>
    <n v="8"/>
    <s v="Company H"/>
    <x v="7"/>
    <x v="3"/>
    <s v="California"/>
    <x v="2"/>
    <n v="199"/>
    <n v="7"/>
    <n v="1393"/>
    <n v="8"/>
  </r>
  <r>
    <s v="1352"/>
    <x v="185"/>
    <n v="15"/>
    <s v="Company O"/>
    <x v="5"/>
    <x v="1"/>
    <s v="New Mexico"/>
    <x v="2"/>
    <n v="199"/>
    <n v="2"/>
    <n v="398"/>
    <n v="6"/>
  </r>
  <r>
    <s v="1365"/>
    <x v="186"/>
    <n v="14"/>
    <s v="Company N"/>
    <x v="3"/>
    <x v="2"/>
    <s v="New Mexico"/>
    <x v="2"/>
    <n v="199"/>
    <n v="1"/>
    <n v="199"/>
    <n v="5"/>
  </r>
  <r>
    <s v="1367"/>
    <x v="186"/>
    <n v="8"/>
    <s v="Company H"/>
    <x v="7"/>
    <x v="3"/>
    <s v="California"/>
    <x v="2"/>
    <n v="199"/>
    <n v="5"/>
    <n v="995"/>
    <n v="8"/>
  </r>
  <r>
    <s v="1369"/>
    <x v="188"/>
    <n v="11"/>
    <s v="Company K"/>
    <x v="3"/>
    <x v="2"/>
    <s v="New Mexico"/>
    <x v="2"/>
    <n v="199"/>
    <n v="0"/>
    <n v="0"/>
    <n v="5"/>
  </r>
  <r>
    <s v="1373"/>
    <x v="500"/>
    <n v="1"/>
    <s v="Company A"/>
    <x v="4"/>
    <x v="2"/>
    <s v="Texas"/>
    <x v="2"/>
    <n v="199"/>
    <n v="4"/>
    <n v="796"/>
    <n v="2"/>
  </r>
  <r>
    <s v="1384"/>
    <x v="190"/>
    <n v="15"/>
    <s v="Company O"/>
    <x v="3"/>
    <x v="2"/>
    <s v="New Mexico"/>
    <x v="2"/>
    <n v="199"/>
    <n v="9"/>
    <n v="1791"/>
    <n v="5"/>
  </r>
  <r>
    <s v="1386"/>
    <x v="190"/>
    <n v="2"/>
    <s v="Company B"/>
    <x v="4"/>
    <x v="2"/>
    <s v="Texas"/>
    <x v="2"/>
    <n v="199"/>
    <n v="8"/>
    <n v="1592"/>
    <n v="2"/>
  </r>
  <r>
    <s v="1395"/>
    <x v="501"/>
    <n v="4"/>
    <s v="Company D"/>
    <x v="2"/>
    <x v="0"/>
    <s v="Texas"/>
    <x v="2"/>
    <n v="199"/>
    <n v="3"/>
    <n v="597"/>
    <n v="2"/>
  </r>
  <r>
    <s v="1399"/>
    <x v="192"/>
    <n v="2"/>
    <s v="Company B"/>
    <x v="4"/>
    <x v="2"/>
    <s v="Texas"/>
    <x v="2"/>
    <n v="199"/>
    <n v="8"/>
    <n v="1592"/>
    <n v="2"/>
  </r>
  <r>
    <s v="1405"/>
    <x v="192"/>
    <n v="11"/>
    <s v="Company K"/>
    <x v="5"/>
    <x v="1"/>
    <s v="New Mexico"/>
    <x v="2"/>
    <n v="199"/>
    <n v="8"/>
    <n v="1592"/>
    <n v="6"/>
  </r>
  <r>
    <s v="1411"/>
    <x v="395"/>
    <n v="8"/>
    <s v="Company H"/>
    <x v="1"/>
    <x v="1"/>
    <s v="California"/>
    <x v="2"/>
    <n v="199"/>
    <n v="1"/>
    <n v="199"/>
    <n v="4"/>
  </r>
  <r>
    <s v="1417"/>
    <x v="195"/>
    <n v="18"/>
    <s v="Company R"/>
    <x v="6"/>
    <x v="0"/>
    <s v="Arizona"/>
    <x v="2"/>
    <n v="199"/>
    <n v="2"/>
    <n v="398"/>
    <n v="5"/>
  </r>
  <r>
    <s v="1420"/>
    <x v="502"/>
    <n v="18"/>
    <s v="Company R"/>
    <x v="0"/>
    <x v="0"/>
    <s v="Arizona"/>
    <x v="2"/>
    <n v="199"/>
    <n v="0"/>
    <n v="0"/>
    <n v="3"/>
  </r>
  <r>
    <s v="1421"/>
    <x v="502"/>
    <n v="2"/>
    <s v="Company B"/>
    <x v="2"/>
    <x v="0"/>
    <s v="Texas"/>
    <x v="2"/>
    <n v="199"/>
    <n v="0"/>
    <n v="0"/>
    <n v="2"/>
  </r>
  <r>
    <s v="1422"/>
    <x v="196"/>
    <n v="2"/>
    <s v="Company B"/>
    <x v="4"/>
    <x v="2"/>
    <s v="Texas"/>
    <x v="2"/>
    <n v="199"/>
    <n v="9"/>
    <n v="1791"/>
    <n v="2"/>
  </r>
  <r>
    <s v="1428"/>
    <x v="197"/>
    <n v="5"/>
    <s v="Company E"/>
    <x v="4"/>
    <x v="2"/>
    <s v="Texas"/>
    <x v="2"/>
    <n v="199"/>
    <n v="9"/>
    <n v="1791"/>
    <n v="2"/>
  </r>
  <r>
    <s v="1430"/>
    <x v="198"/>
    <n v="10"/>
    <s v="Company J"/>
    <x v="7"/>
    <x v="3"/>
    <s v="California"/>
    <x v="2"/>
    <n v="199"/>
    <n v="6"/>
    <n v="1194"/>
    <n v="8"/>
  </r>
  <r>
    <s v="1437"/>
    <x v="398"/>
    <n v="7"/>
    <s v="Company G"/>
    <x v="1"/>
    <x v="1"/>
    <s v="California"/>
    <x v="2"/>
    <n v="199"/>
    <n v="8"/>
    <n v="1592"/>
    <n v="4"/>
  </r>
  <r>
    <s v="1439"/>
    <x v="398"/>
    <n v="16"/>
    <s v="Company P"/>
    <x v="0"/>
    <x v="0"/>
    <s v="Arizona"/>
    <x v="2"/>
    <n v="199"/>
    <n v="9"/>
    <n v="1791"/>
    <n v="3"/>
  </r>
  <r>
    <s v="1440"/>
    <x v="398"/>
    <n v="18"/>
    <s v="Company R"/>
    <x v="0"/>
    <x v="0"/>
    <s v="Arizona"/>
    <x v="2"/>
    <n v="199"/>
    <n v="2"/>
    <n v="398"/>
    <n v="3"/>
  </r>
  <r>
    <s v="1441"/>
    <x v="398"/>
    <n v="13"/>
    <s v="Company M"/>
    <x v="5"/>
    <x v="1"/>
    <s v="New Mexico"/>
    <x v="2"/>
    <n v="199"/>
    <n v="5"/>
    <n v="995"/>
    <n v="6"/>
  </r>
  <r>
    <s v="1445"/>
    <x v="399"/>
    <n v="1"/>
    <s v="Company A"/>
    <x v="4"/>
    <x v="2"/>
    <s v="Texas"/>
    <x v="2"/>
    <n v="199"/>
    <n v="3"/>
    <n v="597"/>
    <n v="2"/>
  </r>
  <r>
    <s v="1450"/>
    <x v="200"/>
    <n v="4"/>
    <s v="Company D"/>
    <x v="4"/>
    <x v="2"/>
    <s v="Texas"/>
    <x v="2"/>
    <n v="199"/>
    <n v="5"/>
    <n v="995"/>
    <n v="2"/>
  </r>
  <r>
    <s v="1456"/>
    <x v="201"/>
    <n v="17"/>
    <s v="Company Q"/>
    <x v="6"/>
    <x v="0"/>
    <s v="Arizona"/>
    <x v="2"/>
    <n v="199"/>
    <n v="7"/>
    <n v="1393"/>
    <n v="5"/>
  </r>
  <r>
    <s v="1459"/>
    <x v="503"/>
    <n v="17"/>
    <s v="Company Q"/>
    <x v="0"/>
    <x v="0"/>
    <s v="Arizona"/>
    <x v="2"/>
    <n v="199"/>
    <n v="5"/>
    <n v="995"/>
    <n v="3"/>
  </r>
  <r>
    <s v="1460"/>
    <x v="504"/>
    <n v="13"/>
    <s v="Company M"/>
    <x v="3"/>
    <x v="2"/>
    <s v="New Mexico"/>
    <x v="2"/>
    <n v="199"/>
    <n v="9"/>
    <n v="1791"/>
    <n v="5"/>
  </r>
  <r>
    <s v="1463"/>
    <x v="400"/>
    <n v="13"/>
    <s v="Company M"/>
    <x v="3"/>
    <x v="2"/>
    <s v="New Mexico"/>
    <x v="2"/>
    <n v="199"/>
    <n v="3"/>
    <n v="597"/>
    <n v="5"/>
  </r>
  <r>
    <s v="1467"/>
    <x v="204"/>
    <n v="3"/>
    <s v="Company C"/>
    <x v="4"/>
    <x v="2"/>
    <s v="Texas"/>
    <x v="2"/>
    <n v="199"/>
    <n v="5"/>
    <n v="995"/>
    <n v="2"/>
  </r>
  <r>
    <s v="1488"/>
    <x v="208"/>
    <n v="12"/>
    <s v="Company L"/>
    <x v="5"/>
    <x v="1"/>
    <s v="New Mexico"/>
    <x v="2"/>
    <n v="199"/>
    <n v="8"/>
    <n v="1592"/>
    <n v="6"/>
  </r>
  <r>
    <s v="1497"/>
    <x v="403"/>
    <n v="13"/>
    <s v="Company M"/>
    <x v="5"/>
    <x v="1"/>
    <s v="New Mexico"/>
    <x v="2"/>
    <n v="199"/>
    <n v="5"/>
    <n v="995"/>
    <n v="6"/>
  </r>
  <r>
    <s v="1508"/>
    <x v="405"/>
    <n v="2"/>
    <s v="Company B"/>
    <x v="2"/>
    <x v="0"/>
    <s v="Texas"/>
    <x v="2"/>
    <n v="199"/>
    <n v="4"/>
    <n v="796"/>
    <n v="2"/>
  </r>
  <r>
    <s v="1514"/>
    <x v="211"/>
    <n v="11"/>
    <s v="Company K"/>
    <x v="3"/>
    <x v="2"/>
    <s v="New Mexico"/>
    <x v="2"/>
    <n v="199"/>
    <n v="2"/>
    <n v="398"/>
    <n v="5"/>
  </r>
  <r>
    <s v="1529"/>
    <x v="213"/>
    <n v="18"/>
    <s v="Company R"/>
    <x v="0"/>
    <x v="0"/>
    <s v="Arizona"/>
    <x v="2"/>
    <n v="199"/>
    <n v="1"/>
    <n v="199"/>
    <n v="3"/>
  </r>
  <r>
    <s v="1531"/>
    <x v="505"/>
    <n v="4"/>
    <s v="Company D"/>
    <x v="2"/>
    <x v="0"/>
    <s v="Texas"/>
    <x v="2"/>
    <n v="199"/>
    <n v="7"/>
    <n v="1393"/>
    <n v="2"/>
  </r>
  <r>
    <s v="1539"/>
    <x v="506"/>
    <n v="15"/>
    <s v="Company O"/>
    <x v="5"/>
    <x v="1"/>
    <s v="New Mexico"/>
    <x v="2"/>
    <n v="199"/>
    <n v="7"/>
    <n v="1393"/>
    <n v="6"/>
  </r>
  <r>
    <s v="1542"/>
    <x v="215"/>
    <n v="5"/>
    <s v="Company E"/>
    <x v="4"/>
    <x v="2"/>
    <s v="Texas"/>
    <x v="2"/>
    <n v="199"/>
    <n v="6"/>
    <n v="1194"/>
    <n v="2"/>
  </r>
  <r>
    <s v="1544"/>
    <x v="215"/>
    <n v="19"/>
    <s v="Company S"/>
    <x v="0"/>
    <x v="0"/>
    <s v="Arizona"/>
    <x v="2"/>
    <n v="199"/>
    <n v="5"/>
    <n v="995"/>
    <n v="3"/>
  </r>
  <r>
    <s v="1546"/>
    <x v="507"/>
    <n v="15"/>
    <s v="Company O"/>
    <x v="5"/>
    <x v="1"/>
    <s v="New Mexico"/>
    <x v="2"/>
    <n v="199"/>
    <n v="7"/>
    <n v="1393"/>
    <n v="6"/>
  </r>
  <r>
    <s v="1550"/>
    <x v="217"/>
    <n v="15"/>
    <s v="Company O"/>
    <x v="3"/>
    <x v="2"/>
    <s v="New Mexico"/>
    <x v="2"/>
    <n v="199"/>
    <n v="3"/>
    <n v="597"/>
    <n v="5"/>
  </r>
  <r>
    <s v="1556"/>
    <x v="217"/>
    <n v="17"/>
    <s v="Company Q"/>
    <x v="6"/>
    <x v="0"/>
    <s v="Arizona"/>
    <x v="2"/>
    <n v="199"/>
    <n v="2"/>
    <n v="398"/>
    <n v="5"/>
  </r>
  <r>
    <s v="1560"/>
    <x v="219"/>
    <n v="20"/>
    <s v="Company T"/>
    <x v="6"/>
    <x v="0"/>
    <s v="Arizona"/>
    <x v="2"/>
    <n v="199"/>
    <n v="2"/>
    <n v="398"/>
    <n v="5"/>
  </r>
  <r>
    <s v="1564"/>
    <x v="220"/>
    <n v="2"/>
    <s v="Company B"/>
    <x v="2"/>
    <x v="0"/>
    <s v="Texas"/>
    <x v="2"/>
    <n v="199"/>
    <n v="9"/>
    <n v="1791"/>
    <n v="2"/>
  </r>
  <r>
    <s v="1577"/>
    <x v="222"/>
    <n v="13"/>
    <s v="Company M"/>
    <x v="5"/>
    <x v="1"/>
    <s v="New Mexico"/>
    <x v="2"/>
    <n v="199"/>
    <n v="0"/>
    <n v="0"/>
    <n v="6"/>
  </r>
  <r>
    <s v="1579"/>
    <x v="222"/>
    <n v="1"/>
    <s v="Company A"/>
    <x v="4"/>
    <x v="2"/>
    <s v="Texas"/>
    <x v="2"/>
    <n v="199"/>
    <n v="1"/>
    <n v="199"/>
    <n v="2"/>
  </r>
  <r>
    <s v="1580"/>
    <x v="222"/>
    <n v="11"/>
    <s v="Company K"/>
    <x v="5"/>
    <x v="1"/>
    <s v="New Mexico"/>
    <x v="2"/>
    <n v="199"/>
    <n v="6"/>
    <n v="1194"/>
    <n v="6"/>
  </r>
  <r>
    <s v="1584"/>
    <x v="222"/>
    <n v="5"/>
    <s v="Company E"/>
    <x v="4"/>
    <x v="2"/>
    <s v="Texas"/>
    <x v="2"/>
    <n v="199"/>
    <n v="8"/>
    <n v="1592"/>
    <n v="2"/>
  </r>
  <r>
    <s v="1587"/>
    <x v="412"/>
    <n v="11"/>
    <s v="Company K"/>
    <x v="5"/>
    <x v="1"/>
    <s v="New Mexico"/>
    <x v="2"/>
    <n v="199"/>
    <n v="1"/>
    <n v="199"/>
    <n v="6"/>
  </r>
  <r>
    <s v="1595"/>
    <x v="223"/>
    <n v="19"/>
    <s v="Company S"/>
    <x v="6"/>
    <x v="0"/>
    <s v="Arizona"/>
    <x v="2"/>
    <n v="199"/>
    <n v="0"/>
    <n v="0"/>
    <n v="5"/>
  </r>
  <r>
    <s v="1597"/>
    <x v="508"/>
    <n v="16"/>
    <s v="Company P"/>
    <x v="6"/>
    <x v="0"/>
    <s v="Arizona"/>
    <x v="2"/>
    <n v="199"/>
    <n v="8"/>
    <n v="1592"/>
    <n v="5"/>
  </r>
  <r>
    <s v="1600"/>
    <x v="508"/>
    <n v="9"/>
    <s v="Company I"/>
    <x v="1"/>
    <x v="1"/>
    <s v="California"/>
    <x v="2"/>
    <n v="199"/>
    <n v="1"/>
    <n v="199"/>
    <n v="4"/>
  </r>
  <r>
    <s v="1602"/>
    <x v="224"/>
    <n v="4"/>
    <s v="Company D"/>
    <x v="4"/>
    <x v="2"/>
    <s v="Texas"/>
    <x v="2"/>
    <n v="199"/>
    <n v="1"/>
    <n v="199"/>
    <n v="2"/>
  </r>
  <r>
    <s v="1603"/>
    <x v="224"/>
    <n v="18"/>
    <s v="Company R"/>
    <x v="6"/>
    <x v="0"/>
    <s v="Arizona"/>
    <x v="2"/>
    <n v="199"/>
    <n v="8"/>
    <n v="1592"/>
    <n v="5"/>
  </r>
  <r>
    <s v="1604"/>
    <x v="224"/>
    <n v="13"/>
    <s v="Company M"/>
    <x v="5"/>
    <x v="1"/>
    <s v="New Mexico"/>
    <x v="2"/>
    <n v="199"/>
    <n v="7"/>
    <n v="1393"/>
    <n v="6"/>
  </r>
  <r>
    <s v="1625"/>
    <x v="226"/>
    <n v="14"/>
    <s v="Company N"/>
    <x v="5"/>
    <x v="1"/>
    <s v="New Mexico"/>
    <x v="2"/>
    <n v="199"/>
    <n v="7"/>
    <n v="1393"/>
    <n v="6"/>
  </r>
  <r>
    <s v="1626"/>
    <x v="226"/>
    <n v="15"/>
    <s v="Company O"/>
    <x v="3"/>
    <x v="2"/>
    <s v="New Mexico"/>
    <x v="2"/>
    <n v="199"/>
    <n v="6"/>
    <n v="1194"/>
    <n v="5"/>
  </r>
  <r>
    <s v="1638"/>
    <x v="227"/>
    <n v="4"/>
    <s v="Company D"/>
    <x v="4"/>
    <x v="2"/>
    <s v="Texas"/>
    <x v="2"/>
    <n v="199"/>
    <n v="1"/>
    <n v="199"/>
    <n v="2"/>
  </r>
  <r>
    <s v="1643"/>
    <x v="227"/>
    <n v="7"/>
    <s v="Company G"/>
    <x v="1"/>
    <x v="1"/>
    <s v="California"/>
    <x v="2"/>
    <n v="199"/>
    <n v="9"/>
    <n v="1791"/>
    <n v="4"/>
  </r>
  <r>
    <s v="1646"/>
    <x v="229"/>
    <n v="11"/>
    <s v="Company K"/>
    <x v="3"/>
    <x v="2"/>
    <s v="New Mexico"/>
    <x v="2"/>
    <n v="199"/>
    <n v="4"/>
    <n v="796"/>
    <n v="5"/>
  </r>
  <r>
    <s v="1652"/>
    <x v="230"/>
    <n v="9"/>
    <s v="Company I"/>
    <x v="1"/>
    <x v="1"/>
    <s v="California"/>
    <x v="2"/>
    <n v="199"/>
    <n v="5"/>
    <n v="995"/>
    <n v="4"/>
  </r>
  <r>
    <s v="1655"/>
    <x v="232"/>
    <n v="17"/>
    <s v="Company Q"/>
    <x v="0"/>
    <x v="0"/>
    <s v="Arizona"/>
    <x v="2"/>
    <n v="199"/>
    <n v="8"/>
    <n v="1592"/>
    <n v="3"/>
  </r>
  <r>
    <s v="1665"/>
    <x v="233"/>
    <n v="17"/>
    <s v="Company Q"/>
    <x v="0"/>
    <x v="0"/>
    <s v="Arizona"/>
    <x v="2"/>
    <n v="199"/>
    <n v="3"/>
    <n v="597"/>
    <n v="3"/>
  </r>
  <r>
    <s v="1666"/>
    <x v="234"/>
    <n v="20"/>
    <s v="Company T"/>
    <x v="0"/>
    <x v="0"/>
    <s v="Arizona"/>
    <x v="2"/>
    <n v="199"/>
    <n v="7"/>
    <n v="1393"/>
    <n v="3"/>
  </r>
  <r>
    <s v="1675"/>
    <x v="509"/>
    <n v="13"/>
    <s v="Company M"/>
    <x v="3"/>
    <x v="2"/>
    <s v="New Mexico"/>
    <x v="2"/>
    <n v="199"/>
    <n v="0"/>
    <n v="0"/>
    <n v="5"/>
  </r>
  <r>
    <s v="1676"/>
    <x v="509"/>
    <n v="11"/>
    <s v="Company K"/>
    <x v="3"/>
    <x v="2"/>
    <s v="New Mexico"/>
    <x v="2"/>
    <n v="199"/>
    <n v="7"/>
    <n v="1393"/>
    <n v="5"/>
  </r>
  <r>
    <s v="1679"/>
    <x v="510"/>
    <n v="20"/>
    <s v="Company T"/>
    <x v="6"/>
    <x v="0"/>
    <s v="Arizona"/>
    <x v="2"/>
    <n v="199"/>
    <n v="7"/>
    <n v="1393"/>
    <n v="5"/>
  </r>
  <r>
    <s v="1682"/>
    <x v="511"/>
    <n v="3"/>
    <s v="Company C"/>
    <x v="4"/>
    <x v="2"/>
    <s v="Texas"/>
    <x v="2"/>
    <n v="199"/>
    <n v="5"/>
    <n v="995"/>
    <n v="2"/>
  </r>
  <r>
    <s v="1695"/>
    <x v="239"/>
    <n v="8"/>
    <s v="Company H"/>
    <x v="1"/>
    <x v="1"/>
    <s v="California"/>
    <x v="2"/>
    <n v="199"/>
    <n v="3"/>
    <n v="597"/>
    <n v="4"/>
  </r>
  <r>
    <s v="1698"/>
    <x v="512"/>
    <n v="8"/>
    <s v="Company H"/>
    <x v="1"/>
    <x v="1"/>
    <s v="California"/>
    <x v="2"/>
    <n v="199"/>
    <n v="3"/>
    <n v="597"/>
    <n v="4"/>
  </r>
  <r>
    <s v="1702"/>
    <x v="241"/>
    <n v="8"/>
    <s v="Company H"/>
    <x v="7"/>
    <x v="3"/>
    <s v="California"/>
    <x v="2"/>
    <n v="199"/>
    <n v="5"/>
    <n v="995"/>
    <n v="8"/>
  </r>
  <r>
    <s v="1705"/>
    <x v="513"/>
    <n v="9"/>
    <s v="Company I"/>
    <x v="7"/>
    <x v="3"/>
    <s v="California"/>
    <x v="2"/>
    <n v="199"/>
    <n v="2"/>
    <n v="398"/>
    <n v="8"/>
  </r>
  <r>
    <s v="1708"/>
    <x v="242"/>
    <n v="5"/>
    <s v="Company E"/>
    <x v="2"/>
    <x v="0"/>
    <s v="Texas"/>
    <x v="2"/>
    <n v="199"/>
    <n v="3"/>
    <n v="597"/>
    <n v="2"/>
  </r>
  <r>
    <s v="1709"/>
    <x v="242"/>
    <n v="8"/>
    <s v="Company H"/>
    <x v="1"/>
    <x v="1"/>
    <s v="California"/>
    <x v="2"/>
    <n v="199"/>
    <n v="6"/>
    <n v="1194"/>
    <n v="4"/>
  </r>
  <r>
    <s v="1714"/>
    <x v="244"/>
    <n v="13"/>
    <s v="Company M"/>
    <x v="3"/>
    <x v="2"/>
    <s v="New Mexico"/>
    <x v="2"/>
    <n v="199"/>
    <n v="3"/>
    <n v="597"/>
    <n v="5"/>
  </r>
  <r>
    <s v="1721"/>
    <x v="514"/>
    <n v="6"/>
    <s v="Company F"/>
    <x v="1"/>
    <x v="1"/>
    <s v="California"/>
    <x v="2"/>
    <n v="199"/>
    <n v="1"/>
    <n v="199"/>
    <n v="4"/>
  </r>
  <r>
    <s v="1722"/>
    <x v="245"/>
    <n v="16"/>
    <s v="Company P"/>
    <x v="0"/>
    <x v="0"/>
    <s v="Arizona"/>
    <x v="2"/>
    <n v="199"/>
    <n v="8"/>
    <n v="1592"/>
    <n v="3"/>
  </r>
  <r>
    <s v="1723"/>
    <x v="245"/>
    <n v="10"/>
    <s v="Company J"/>
    <x v="1"/>
    <x v="1"/>
    <s v="California"/>
    <x v="2"/>
    <n v="199"/>
    <n v="2"/>
    <n v="398"/>
    <n v="4"/>
  </r>
  <r>
    <s v="1727"/>
    <x v="245"/>
    <n v="4"/>
    <s v="Company D"/>
    <x v="2"/>
    <x v="0"/>
    <s v="Texas"/>
    <x v="2"/>
    <n v="199"/>
    <n v="3"/>
    <n v="597"/>
    <n v="2"/>
  </r>
  <r>
    <s v="1740"/>
    <x v="419"/>
    <n v="2"/>
    <s v="Company B"/>
    <x v="2"/>
    <x v="0"/>
    <s v="Texas"/>
    <x v="2"/>
    <n v="199"/>
    <n v="4"/>
    <n v="796"/>
    <n v="2"/>
  </r>
  <r>
    <s v="1745"/>
    <x v="420"/>
    <n v="9"/>
    <s v="Company I"/>
    <x v="1"/>
    <x v="1"/>
    <s v="California"/>
    <x v="2"/>
    <n v="199"/>
    <n v="5"/>
    <n v="995"/>
    <n v="4"/>
  </r>
  <r>
    <s v="1747"/>
    <x v="515"/>
    <n v="6"/>
    <s v="Company F"/>
    <x v="1"/>
    <x v="1"/>
    <s v="California"/>
    <x v="2"/>
    <n v="199"/>
    <n v="0"/>
    <n v="0"/>
    <n v="4"/>
  </r>
  <r>
    <s v="1760"/>
    <x v="516"/>
    <n v="18"/>
    <s v="Company R"/>
    <x v="6"/>
    <x v="0"/>
    <s v="Arizona"/>
    <x v="2"/>
    <n v="199"/>
    <n v="0"/>
    <n v="0"/>
    <n v="5"/>
  </r>
  <r>
    <s v="1761"/>
    <x v="517"/>
    <n v="11"/>
    <s v="Company K"/>
    <x v="3"/>
    <x v="2"/>
    <s v="New Mexico"/>
    <x v="2"/>
    <n v="199"/>
    <n v="4"/>
    <n v="796"/>
    <n v="5"/>
  </r>
  <r>
    <s v="1763"/>
    <x v="518"/>
    <n v="2"/>
    <s v="Company B"/>
    <x v="2"/>
    <x v="0"/>
    <s v="Texas"/>
    <x v="2"/>
    <n v="199"/>
    <n v="7"/>
    <n v="1393"/>
    <n v="2"/>
  </r>
  <r>
    <s v="1765"/>
    <x v="519"/>
    <n v="9"/>
    <s v="Company I"/>
    <x v="1"/>
    <x v="1"/>
    <s v="California"/>
    <x v="2"/>
    <n v="199"/>
    <n v="3"/>
    <n v="597"/>
    <n v="4"/>
  </r>
  <r>
    <s v="1771"/>
    <x v="520"/>
    <n v="4"/>
    <s v="Company D"/>
    <x v="2"/>
    <x v="0"/>
    <s v="Texas"/>
    <x v="2"/>
    <n v="199"/>
    <n v="7"/>
    <n v="1393"/>
    <n v="2"/>
  </r>
  <r>
    <s v="1772"/>
    <x v="521"/>
    <n v="18"/>
    <s v="Company R"/>
    <x v="0"/>
    <x v="0"/>
    <s v="Arizona"/>
    <x v="2"/>
    <n v="199"/>
    <n v="8"/>
    <n v="1592"/>
    <n v="3"/>
  </r>
  <r>
    <s v="1773"/>
    <x v="521"/>
    <n v="5"/>
    <s v="Company E"/>
    <x v="2"/>
    <x v="0"/>
    <s v="Texas"/>
    <x v="2"/>
    <n v="199"/>
    <n v="2"/>
    <n v="398"/>
    <n v="2"/>
  </r>
  <r>
    <s v="1774"/>
    <x v="521"/>
    <n v="8"/>
    <s v="Company H"/>
    <x v="1"/>
    <x v="1"/>
    <s v="California"/>
    <x v="2"/>
    <n v="199"/>
    <n v="1"/>
    <n v="199"/>
    <n v="4"/>
  </r>
  <r>
    <s v="1782"/>
    <x v="255"/>
    <n v="13"/>
    <s v="Company M"/>
    <x v="3"/>
    <x v="2"/>
    <s v="New Mexico"/>
    <x v="2"/>
    <n v="199"/>
    <n v="3"/>
    <n v="597"/>
    <n v="5"/>
  </r>
  <r>
    <s v="1789"/>
    <x v="522"/>
    <n v="4"/>
    <s v="Company D"/>
    <x v="4"/>
    <x v="2"/>
    <s v="Texas"/>
    <x v="2"/>
    <n v="199"/>
    <n v="9"/>
    <n v="1791"/>
    <n v="2"/>
  </r>
  <r>
    <s v="1797"/>
    <x v="258"/>
    <n v="10"/>
    <s v="Company J"/>
    <x v="7"/>
    <x v="3"/>
    <s v="California"/>
    <x v="2"/>
    <n v="199"/>
    <n v="2"/>
    <n v="398"/>
    <n v="8"/>
  </r>
  <r>
    <s v="1800"/>
    <x v="258"/>
    <n v="9"/>
    <s v="Company I"/>
    <x v="7"/>
    <x v="3"/>
    <s v="California"/>
    <x v="2"/>
    <n v="199"/>
    <n v="8"/>
    <n v="1592"/>
    <n v="8"/>
  </r>
  <r>
    <s v="1802"/>
    <x v="258"/>
    <n v="6"/>
    <s v="Company F"/>
    <x v="1"/>
    <x v="1"/>
    <s v="California"/>
    <x v="2"/>
    <n v="199"/>
    <n v="6"/>
    <n v="1194"/>
    <n v="4"/>
  </r>
  <r>
    <s v="1804"/>
    <x v="258"/>
    <n v="8"/>
    <s v="Company H"/>
    <x v="1"/>
    <x v="1"/>
    <s v="California"/>
    <x v="2"/>
    <n v="199"/>
    <n v="6"/>
    <n v="1194"/>
    <n v="4"/>
  </r>
  <r>
    <s v="1808"/>
    <x v="523"/>
    <n v="9"/>
    <s v="Company I"/>
    <x v="1"/>
    <x v="1"/>
    <s v="California"/>
    <x v="2"/>
    <n v="199"/>
    <n v="3"/>
    <n v="597"/>
    <n v="4"/>
  </r>
  <r>
    <s v="1815"/>
    <x v="524"/>
    <n v="5"/>
    <s v="Company E"/>
    <x v="4"/>
    <x v="2"/>
    <s v="Texas"/>
    <x v="2"/>
    <n v="199"/>
    <n v="2"/>
    <n v="398"/>
    <n v="2"/>
  </r>
  <r>
    <s v="1818"/>
    <x v="525"/>
    <n v="5"/>
    <s v="Company E"/>
    <x v="2"/>
    <x v="0"/>
    <s v="Texas"/>
    <x v="2"/>
    <n v="199"/>
    <n v="4"/>
    <n v="796"/>
    <n v="2"/>
  </r>
  <r>
    <s v="1819"/>
    <x v="525"/>
    <n v="9"/>
    <s v="Company I"/>
    <x v="7"/>
    <x v="3"/>
    <s v="California"/>
    <x v="2"/>
    <n v="199"/>
    <n v="9"/>
    <n v="1791"/>
    <n v="8"/>
  </r>
  <r>
    <s v="1821"/>
    <x v="525"/>
    <n v="7"/>
    <s v="Company G"/>
    <x v="1"/>
    <x v="1"/>
    <s v="California"/>
    <x v="2"/>
    <n v="199"/>
    <n v="6"/>
    <n v="1194"/>
    <n v="4"/>
  </r>
  <r>
    <s v="1823"/>
    <x v="424"/>
    <n v="9"/>
    <s v="Company I"/>
    <x v="7"/>
    <x v="3"/>
    <s v="California"/>
    <x v="2"/>
    <n v="199"/>
    <n v="3"/>
    <n v="597"/>
    <n v="8"/>
  </r>
  <r>
    <s v="1825"/>
    <x v="425"/>
    <n v="11"/>
    <s v="Company K"/>
    <x v="3"/>
    <x v="2"/>
    <s v="New Mexico"/>
    <x v="2"/>
    <n v="199"/>
    <n v="5"/>
    <n v="995"/>
    <n v="5"/>
  </r>
  <r>
    <s v="1831"/>
    <x v="427"/>
    <n v="8"/>
    <s v="Company H"/>
    <x v="7"/>
    <x v="3"/>
    <s v="California"/>
    <x v="2"/>
    <n v="199"/>
    <n v="3"/>
    <n v="597"/>
    <n v="8"/>
  </r>
  <r>
    <s v="1834"/>
    <x v="427"/>
    <n v="5"/>
    <s v="Company E"/>
    <x v="4"/>
    <x v="2"/>
    <s v="Texas"/>
    <x v="2"/>
    <n v="199"/>
    <n v="7"/>
    <n v="1393"/>
    <n v="2"/>
  </r>
  <r>
    <s v="1836"/>
    <x v="427"/>
    <n v="9"/>
    <s v="Company I"/>
    <x v="1"/>
    <x v="1"/>
    <s v="California"/>
    <x v="2"/>
    <n v="199"/>
    <n v="5"/>
    <n v="995"/>
    <n v="4"/>
  </r>
  <r>
    <s v="1840"/>
    <x v="259"/>
    <n v="17"/>
    <s v="Company Q"/>
    <x v="0"/>
    <x v="0"/>
    <s v="Arizona"/>
    <x v="2"/>
    <n v="199"/>
    <n v="5"/>
    <n v="995"/>
    <n v="3"/>
  </r>
  <r>
    <s v="1841"/>
    <x v="259"/>
    <n v="3"/>
    <s v="Company C"/>
    <x v="4"/>
    <x v="2"/>
    <s v="Texas"/>
    <x v="2"/>
    <n v="199"/>
    <n v="4"/>
    <n v="796"/>
    <n v="2"/>
  </r>
  <r>
    <s v="1843"/>
    <x v="259"/>
    <n v="20"/>
    <s v="Company T"/>
    <x v="6"/>
    <x v="0"/>
    <s v="Arizona"/>
    <x v="2"/>
    <n v="199"/>
    <n v="1"/>
    <n v="199"/>
    <n v="5"/>
  </r>
  <r>
    <s v="1844"/>
    <x v="259"/>
    <n v="5"/>
    <s v="Company E"/>
    <x v="2"/>
    <x v="0"/>
    <s v="Texas"/>
    <x v="2"/>
    <n v="199"/>
    <n v="4"/>
    <n v="796"/>
    <n v="2"/>
  </r>
  <r>
    <s v="1857"/>
    <x v="261"/>
    <n v="7"/>
    <s v="Company G"/>
    <x v="1"/>
    <x v="1"/>
    <s v="California"/>
    <x v="2"/>
    <n v="199"/>
    <n v="1"/>
    <n v="199"/>
    <n v="4"/>
  </r>
  <r>
    <s v="1868"/>
    <x v="428"/>
    <n v="15"/>
    <s v="Company O"/>
    <x v="3"/>
    <x v="2"/>
    <s v="New Mexico"/>
    <x v="2"/>
    <n v="199"/>
    <n v="5"/>
    <n v="995"/>
    <n v="5"/>
  </r>
  <r>
    <s v="1873"/>
    <x v="526"/>
    <n v="8"/>
    <s v="Company H"/>
    <x v="1"/>
    <x v="1"/>
    <s v="California"/>
    <x v="2"/>
    <n v="199"/>
    <n v="6"/>
    <n v="1194"/>
    <n v="4"/>
  </r>
  <r>
    <s v="1876"/>
    <x v="266"/>
    <n v="16"/>
    <s v="Company P"/>
    <x v="6"/>
    <x v="0"/>
    <s v="Arizona"/>
    <x v="2"/>
    <n v="199"/>
    <n v="8"/>
    <n v="1592"/>
    <n v="5"/>
  </r>
  <r>
    <s v="1882"/>
    <x v="527"/>
    <n v="2"/>
    <s v="Company B"/>
    <x v="2"/>
    <x v="0"/>
    <s v="Texas"/>
    <x v="2"/>
    <n v="199"/>
    <n v="1"/>
    <n v="199"/>
    <n v="2"/>
  </r>
  <r>
    <s v="1885"/>
    <x v="267"/>
    <n v="14"/>
    <s v="Company N"/>
    <x v="5"/>
    <x v="1"/>
    <s v="New Mexico"/>
    <x v="2"/>
    <n v="199"/>
    <n v="3"/>
    <n v="597"/>
    <n v="6"/>
  </r>
  <r>
    <s v="1890"/>
    <x v="528"/>
    <n v="10"/>
    <s v="Company J"/>
    <x v="1"/>
    <x v="1"/>
    <s v="California"/>
    <x v="2"/>
    <n v="199"/>
    <n v="5"/>
    <n v="995"/>
    <n v="4"/>
  </r>
  <r>
    <s v="1893"/>
    <x v="268"/>
    <n v="15"/>
    <s v="Company O"/>
    <x v="5"/>
    <x v="1"/>
    <s v="New Mexico"/>
    <x v="2"/>
    <n v="199"/>
    <n v="1"/>
    <n v="199"/>
    <n v="6"/>
  </r>
  <r>
    <s v="1898"/>
    <x v="529"/>
    <n v="3"/>
    <s v="Company C"/>
    <x v="4"/>
    <x v="2"/>
    <s v="Texas"/>
    <x v="2"/>
    <n v="199"/>
    <n v="1"/>
    <n v="199"/>
    <n v="2"/>
  </r>
  <r>
    <s v="1899"/>
    <x v="530"/>
    <n v="9"/>
    <s v="Company I"/>
    <x v="1"/>
    <x v="1"/>
    <s v="California"/>
    <x v="2"/>
    <n v="199"/>
    <n v="0"/>
    <n v="0"/>
    <n v="4"/>
  </r>
  <r>
    <s v="1900"/>
    <x v="531"/>
    <n v="2"/>
    <s v="Company B"/>
    <x v="2"/>
    <x v="0"/>
    <s v="Texas"/>
    <x v="2"/>
    <n v="199"/>
    <n v="6"/>
    <n v="1194"/>
    <n v="2"/>
  </r>
  <r>
    <s v="1908"/>
    <x v="272"/>
    <n v="20"/>
    <s v="Company T"/>
    <x v="0"/>
    <x v="0"/>
    <s v="Arizona"/>
    <x v="2"/>
    <n v="199"/>
    <n v="7"/>
    <n v="1393"/>
    <n v="3"/>
  </r>
  <r>
    <s v="1915"/>
    <x v="429"/>
    <n v="11"/>
    <s v="Company K"/>
    <x v="3"/>
    <x v="2"/>
    <s v="New Mexico"/>
    <x v="2"/>
    <n v="199"/>
    <n v="9"/>
    <n v="1791"/>
    <n v="5"/>
  </r>
  <r>
    <s v="1919"/>
    <x v="273"/>
    <n v="11"/>
    <s v="Company K"/>
    <x v="5"/>
    <x v="1"/>
    <s v="New Mexico"/>
    <x v="2"/>
    <n v="199"/>
    <n v="4"/>
    <n v="796"/>
    <n v="6"/>
  </r>
  <r>
    <s v="1924"/>
    <x v="273"/>
    <n v="6"/>
    <s v="Company F"/>
    <x v="7"/>
    <x v="3"/>
    <s v="California"/>
    <x v="2"/>
    <n v="199"/>
    <n v="0"/>
    <n v="0"/>
    <n v="8"/>
  </r>
  <r>
    <s v="1926"/>
    <x v="274"/>
    <n v="1"/>
    <s v="Company A"/>
    <x v="2"/>
    <x v="0"/>
    <s v="Texas"/>
    <x v="2"/>
    <n v="199"/>
    <n v="3"/>
    <n v="597"/>
    <n v="2"/>
  </r>
  <r>
    <s v="1929"/>
    <x v="274"/>
    <n v="9"/>
    <s v="Company I"/>
    <x v="1"/>
    <x v="1"/>
    <s v="California"/>
    <x v="2"/>
    <n v="199"/>
    <n v="3"/>
    <n v="597"/>
    <n v="4"/>
  </r>
  <r>
    <s v="1942"/>
    <x v="532"/>
    <n v="4"/>
    <s v="Company D"/>
    <x v="2"/>
    <x v="0"/>
    <s v="Texas"/>
    <x v="2"/>
    <n v="199"/>
    <n v="0"/>
    <n v="0"/>
    <n v="2"/>
  </r>
  <r>
    <s v="1944"/>
    <x v="277"/>
    <n v="12"/>
    <s v="Company L"/>
    <x v="5"/>
    <x v="1"/>
    <s v="New Mexico"/>
    <x v="2"/>
    <n v="199"/>
    <n v="2"/>
    <n v="398"/>
    <n v="6"/>
  </r>
  <r>
    <s v="1946"/>
    <x v="277"/>
    <n v="16"/>
    <s v="Company P"/>
    <x v="0"/>
    <x v="0"/>
    <s v="Arizona"/>
    <x v="2"/>
    <n v="199"/>
    <n v="4"/>
    <n v="796"/>
    <n v="3"/>
  </r>
  <r>
    <s v="1947"/>
    <x v="277"/>
    <n v="19"/>
    <s v="Company S"/>
    <x v="0"/>
    <x v="0"/>
    <s v="Arizona"/>
    <x v="2"/>
    <n v="199"/>
    <n v="2"/>
    <n v="398"/>
    <n v="3"/>
  </r>
  <r>
    <s v="1955"/>
    <x v="433"/>
    <n v="10"/>
    <s v="Company J"/>
    <x v="7"/>
    <x v="3"/>
    <s v="California"/>
    <x v="2"/>
    <n v="199"/>
    <n v="7"/>
    <n v="1393"/>
    <n v="8"/>
  </r>
  <r>
    <s v="1965"/>
    <x v="281"/>
    <n v="4"/>
    <s v="Company D"/>
    <x v="4"/>
    <x v="2"/>
    <s v="Texas"/>
    <x v="2"/>
    <n v="199"/>
    <n v="2"/>
    <n v="398"/>
    <n v="2"/>
  </r>
  <r>
    <s v="1969"/>
    <x v="281"/>
    <n v="3"/>
    <s v="Company C"/>
    <x v="4"/>
    <x v="2"/>
    <s v="Texas"/>
    <x v="2"/>
    <n v="199"/>
    <n v="1"/>
    <n v="199"/>
    <n v="2"/>
  </r>
  <r>
    <s v="1978"/>
    <x v="533"/>
    <n v="14"/>
    <s v="Company N"/>
    <x v="5"/>
    <x v="1"/>
    <s v="New Mexico"/>
    <x v="2"/>
    <n v="199"/>
    <n v="0"/>
    <n v="0"/>
    <n v="6"/>
  </r>
  <r>
    <s v="1984"/>
    <x v="534"/>
    <n v="20"/>
    <s v="Company T"/>
    <x v="6"/>
    <x v="0"/>
    <s v="Arizona"/>
    <x v="2"/>
    <n v="199"/>
    <n v="1"/>
    <n v="199"/>
    <n v="5"/>
  </r>
  <r>
    <s v="1988"/>
    <x v="436"/>
    <n v="2"/>
    <s v="Company B"/>
    <x v="4"/>
    <x v="2"/>
    <s v="Texas"/>
    <x v="2"/>
    <n v="199"/>
    <n v="5"/>
    <n v="995"/>
    <n v="2"/>
  </r>
  <r>
    <s v="1990"/>
    <x v="436"/>
    <n v="11"/>
    <s v="Company K"/>
    <x v="3"/>
    <x v="2"/>
    <s v="New Mexico"/>
    <x v="2"/>
    <n v="199"/>
    <n v="4"/>
    <n v="796"/>
    <n v="5"/>
  </r>
  <r>
    <s v="1991"/>
    <x v="535"/>
    <n v="3"/>
    <s v="Company C"/>
    <x v="2"/>
    <x v="0"/>
    <s v="Texas"/>
    <x v="2"/>
    <n v="199"/>
    <n v="7"/>
    <n v="1393"/>
    <n v="2"/>
  </r>
  <r>
    <s v="1993"/>
    <x v="284"/>
    <n v="15"/>
    <s v="Company O"/>
    <x v="5"/>
    <x v="1"/>
    <s v="New Mexico"/>
    <x v="2"/>
    <n v="199"/>
    <n v="1"/>
    <n v="199"/>
    <n v="6"/>
  </r>
  <r>
    <s v="1995"/>
    <x v="284"/>
    <n v="1"/>
    <s v="Company A"/>
    <x v="2"/>
    <x v="0"/>
    <s v="Texas"/>
    <x v="2"/>
    <n v="199"/>
    <n v="8"/>
    <n v="1592"/>
    <n v="2"/>
  </r>
  <r>
    <s v="2000"/>
    <x v="284"/>
    <n v="14"/>
    <s v="Company N"/>
    <x v="3"/>
    <x v="2"/>
    <s v="New Mexico"/>
    <x v="2"/>
    <n v="199"/>
    <n v="4"/>
    <n v="796"/>
    <n v="5"/>
  </r>
  <r>
    <s v="0003"/>
    <x v="286"/>
    <n v="9"/>
    <s v="Company I"/>
    <x v="7"/>
    <x v="3"/>
    <s v="California"/>
    <x v="3"/>
    <n v="159"/>
    <n v="3"/>
    <n v="477"/>
    <n v="8"/>
  </r>
  <r>
    <s v="0018"/>
    <x v="1"/>
    <n v="19"/>
    <s v="Company S"/>
    <x v="6"/>
    <x v="0"/>
    <s v="Arizona"/>
    <x v="3"/>
    <n v="159"/>
    <n v="5"/>
    <n v="795"/>
    <n v="5"/>
  </r>
  <r>
    <s v="0023"/>
    <x v="1"/>
    <n v="8"/>
    <s v="Company H"/>
    <x v="1"/>
    <x v="1"/>
    <s v="California"/>
    <x v="3"/>
    <n v="159"/>
    <n v="4"/>
    <n v="636"/>
    <n v="4"/>
  </r>
  <r>
    <s v="0031"/>
    <x v="3"/>
    <n v="6"/>
    <s v="Company F"/>
    <x v="7"/>
    <x v="3"/>
    <s v="California"/>
    <x v="3"/>
    <n v="159"/>
    <n v="2"/>
    <n v="318"/>
    <n v="8"/>
  </r>
  <r>
    <s v="0043"/>
    <x v="6"/>
    <n v="13"/>
    <s v="Company M"/>
    <x v="5"/>
    <x v="1"/>
    <s v="New Mexico"/>
    <x v="3"/>
    <n v="159"/>
    <n v="8"/>
    <n v="1272"/>
    <n v="6"/>
  </r>
  <r>
    <s v="0046"/>
    <x v="6"/>
    <n v="14"/>
    <s v="Company N"/>
    <x v="3"/>
    <x v="2"/>
    <s v="New Mexico"/>
    <x v="3"/>
    <n v="159"/>
    <n v="7"/>
    <n v="1113"/>
    <n v="5"/>
  </r>
  <r>
    <s v="0049"/>
    <x v="6"/>
    <n v="4"/>
    <s v="Company D"/>
    <x v="4"/>
    <x v="2"/>
    <s v="Texas"/>
    <x v="3"/>
    <n v="159"/>
    <n v="5"/>
    <n v="795"/>
    <n v="2"/>
  </r>
  <r>
    <s v="0050"/>
    <x v="6"/>
    <n v="5"/>
    <s v="Company E"/>
    <x v="4"/>
    <x v="2"/>
    <s v="Texas"/>
    <x v="3"/>
    <n v="159"/>
    <n v="7"/>
    <n v="1113"/>
    <n v="2"/>
  </r>
  <r>
    <s v="0061"/>
    <x v="536"/>
    <n v="2"/>
    <s v="Company B"/>
    <x v="2"/>
    <x v="0"/>
    <s v="Texas"/>
    <x v="3"/>
    <n v="159"/>
    <n v="8"/>
    <n v="1272"/>
    <n v="2"/>
  </r>
  <r>
    <s v="0062"/>
    <x v="288"/>
    <n v="20"/>
    <s v="Company T"/>
    <x v="0"/>
    <x v="0"/>
    <s v="Arizona"/>
    <x v="3"/>
    <n v="159"/>
    <n v="9"/>
    <n v="1431"/>
    <n v="3"/>
  </r>
  <r>
    <s v="0071"/>
    <x v="439"/>
    <n v="17"/>
    <s v="Company Q"/>
    <x v="6"/>
    <x v="0"/>
    <s v="Arizona"/>
    <x v="3"/>
    <n v="159"/>
    <n v="4"/>
    <n v="636"/>
    <n v="5"/>
  </r>
  <r>
    <s v="0073"/>
    <x v="290"/>
    <n v="15"/>
    <s v="Company O"/>
    <x v="5"/>
    <x v="1"/>
    <s v="New Mexico"/>
    <x v="3"/>
    <n v="159"/>
    <n v="1"/>
    <n v="159"/>
    <n v="6"/>
  </r>
  <r>
    <s v="0087"/>
    <x v="291"/>
    <n v="17"/>
    <s v="Company Q"/>
    <x v="0"/>
    <x v="0"/>
    <s v="Arizona"/>
    <x v="3"/>
    <n v="159"/>
    <n v="3"/>
    <n v="477"/>
    <n v="3"/>
  </r>
  <r>
    <s v="0098"/>
    <x v="440"/>
    <n v="19"/>
    <s v="Company S"/>
    <x v="6"/>
    <x v="0"/>
    <s v="Arizona"/>
    <x v="3"/>
    <n v="159"/>
    <n v="8"/>
    <n v="1272"/>
    <n v="5"/>
  </r>
  <r>
    <s v="0105"/>
    <x v="15"/>
    <n v="11"/>
    <s v="Company K"/>
    <x v="3"/>
    <x v="2"/>
    <s v="New Mexico"/>
    <x v="3"/>
    <n v="159"/>
    <n v="0"/>
    <n v="0"/>
    <n v="5"/>
  </r>
  <r>
    <s v="0106"/>
    <x v="15"/>
    <n v="2"/>
    <s v="Company B"/>
    <x v="4"/>
    <x v="2"/>
    <s v="Texas"/>
    <x v="3"/>
    <n v="159"/>
    <n v="5"/>
    <n v="795"/>
    <n v="2"/>
  </r>
  <r>
    <s v="0107"/>
    <x v="15"/>
    <n v="7"/>
    <s v="Company G"/>
    <x v="7"/>
    <x v="3"/>
    <s v="California"/>
    <x v="3"/>
    <n v="159"/>
    <n v="5"/>
    <n v="795"/>
    <n v="8"/>
  </r>
  <r>
    <s v="0109"/>
    <x v="15"/>
    <n v="20"/>
    <s v="Company T"/>
    <x v="6"/>
    <x v="0"/>
    <s v="Arizona"/>
    <x v="3"/>
    <n v="159"/>
    <n v="7"/>
    <n v="1113"/>
    <n v="5"/>
  </r>
  <r>
    <s v="0114"/>
    <x v="18"/>
    <n v="9"/>
    <s v="Company I"/>
    <x v="7"/>
    <x v="3"/>
    <s v="California"/>
    <x v="3"/>
    <n v="159"/>
    <n v="4"/>
    <n v="636"/>
    <n v="8"/>
  </r>
  <r>
    <s v="0120"/>
    <x v="292"/>
    <n v="14"/>
    <s v="Company N"/>
    <x v="3"/>
    <x v="2"/>
    <s v="New Mexico"/>
    <x v="3"/>
    <n v="159"/>
    <n v="3"/>
    <n v="477"/>
    <n v="5"/>
  </r>
  <r>
    <s v="0125"/>
    <x v="19"/>
    <n v="10"/>
    <s v="Company J"/>
    <x v="7"/>
    <x v="3"/>
    <s v="California"/>
    <x v="3"/>
    <n v="159"/>
    <n v="0"/>
    <n v="0"/>
    <n v="8"/>
  </r>
  <r>
    <s v="0127"/>
    <x v="19"/>
    <n v="8"/>
    <s v="Company H"/>
    <x v="1"/>
    <x v="1"/>
    <s v="California"/>
    <x v="3"/>
    <n v="159"/>
    <n v="4"/>
    <n v="636"/>
    <n v="4"/>
  </r>
  <r>
    <s v="0132"/>
    <x v="20"/>
    <n v="7"/>
    <s v="Company G"/>
    <x v="7"/>
    <x v="3"/>
    <s v="California"/>
    <x v="3"/>
    <n v="159"/>
    <n v="9"/>
    <n v="1431"/>
    <n v="8"/>
  </r>
  <r>
    <s v="0134"/>
    <x v="537"/>
    <n v="13"/>
    <s v="Company M"/>
    <x v="3"/>
    <x v="2"/>
    <s v="New Mexico"/>
    <x v="3"/>
    <n v="159"/>
    <n v="7"/>
    <n v="1113"/>
    <n v="5"/>
  </r>
  <r>
    <s v="0141"/>
    <x v="21"/>
    <n v="10"/>
    <s v="Company J"/>
    <x v="7"/>
    <x v="3"/>
    <s v="California"/>
    <x v="3"/>
    <n v="159"/>
    <n v="8"/>
    <n v="1272"/>
    <n v="8"/>
  </r>
  <r>
    <s v="0144"/>
    <x v="21"/>
    <n v="13"/>
    <s v="Company M"/>
    <x v="5"/>
    <x v="1"/>
    <s v="New Mexico"/>
    <x v="3"/>
    <n v="159"/>
    <n v="2"/>
    <n v="318"/>
    <n v="6"/>
  </r>
  <r>
    <s v="0147"/>
    <x v="21"/>
    <n v="13"/>
    <s v="Company M"/>
    <x v="5"/>
    <x v="1"/>
    <s v="New Mexico"/>
    <x v="3"/>
    <n v="159"/>
    <n v="5"/>
    <n v="795"/>
    <n v="6"/>
  </r>
  <r>
    <s v="0152"/>
    <x v="21"/>
    <n v="12"/>
    <s v="Company L"/>
    <x v="3"/>
    <x v="2"/>
    <s v="New Mexico"/>
    <x v="3"/>
    <n v="159"/>
    <n v="6"/>
    <n v="954"/>
    <n v="5"/>
  </r>
  <r>
    <s v="0156"/>
    <x v="444"/>
    <n v="18"/>
    <s v="Company R"/>
    <x v="0"/>
    <x v="0"/>
    <s v="Arizona"/>
    <x v="3"/>
    <n v="159"/>
    <n v="4"/>
    <n v="636"/>
    <n v="3"/>
  </r>
  <r>
    <s v="0159"/>
    <x v="293"/>
    <n v="20"/>
    <s v="Company T"/>
    <x v="6"/>
    <x v="0"/>
    <s v="Arizona"/>
    <x v="3"/>
    <n v="159"/>
    <n v="6"/>
    <n v="954"/>
    <n v="5"/>
  </r>
  <r>
    <s v="0165"/>
    <x v="538"/>
    <n v="4"/>
    <s v="Company D"/>
    <x v="2"/>
    <x v="0"/>
    <s v="Texas"/>
    <x v="3"/>
    <n v="159"/>
    <n v="1"/>
    <n v="159"/>
    <n v="2"/>
  </r>
  <r>
    <s v="0168"/>
    <x v="539"/>
    <n v="7"/>
    <s v="Company G"/>
    <x v="7"/>
    <x v="3"/>
    <s v="California"/>
    <x v="3"/>
    <n v="159"/>
    <n v="2"/>
    <n v="318"/>
    <n v="8"/>
  </r>
  <r>
    <s v="0178"/>
    <x v="295"/>
    <n v="13"/>
    <s v="Company M"/>
    <x v="3"/>
    <x v="2"/>
    <s v="New Mexico"/>
    <x v="3"/>
    <n v="159"/>
    <n v="1"/>
    <n v="159"/>
    <n v="5"/>
  </r>
  <r>
    <s v="0182"/>
    <x v="295"/>
    <n v="1"/>
    <s v="Company A"/>
    <x v="2"/>
    <x v="0"/>
    <s v="Texas"/>
    <x v="3"/>
    <n v="159"/>
    <n v="2"/>
    <n v="318"/>
    <n v="2"/>
  </r>
  <r>
    <s v="0184"/>
    <x v="23"/>
    <n v="12"/>
    <s v="Company L"/>
    <x v="5"/>
    <x v="1"/>
    <s v="New Mexico"/>
    <x v="3"/>
    <n v="159"/>
    <n v="7"/>
    <n v="1113"/>
    <n v="6"/>
  </r>
  <r>
    <s v="0191"/>
    <x v="25"/>
    <n v="11"/>
    <s v="Company K"/>
    <x v="3"/>
    <x v="2"/>
    <s v="New Mexico"/>
    <x v="3"/>
    <n v="159"/>
    <n v="4"/>
    <n v="636"/>
    <n v="5"/>
  </r>
  <r>
    <s v="0193"/>
    <x v="446"/>
    <n v="9"/>
    <s v="Company I"/>
    <x v="1"/>
    <x v="1"/>
    <s v="California"/>
    <x v="3"/>
    <n v="159"/>
    <n v="1"/>
    <n v="159"/>
    <n v="4"/>
  </r>
  <r>
    <s v="0195"/>
    <x v="446"/>
    <n v="15"/>
    <s v="Company O"/>
    <x v="5"/>
    <x v="1"/>
    <s v="New Mexico"/>
    <x v="3"/>
    <n v="159"/>
    <n v="8"/>
    <n v="1272"/>
    <n v="6"/>
  </r>
  <r>
    <s v="0198"/>
    <x v="540"/>
    <n v="18"/>
    <s v="Company R"/>
    <x v="6"/>
    <x v="0"/>
    <s v="Arizona"/>
    <x v="3"/>
    <n v="159"/>
    <n v="6"/>
    <n v="954"/>
    <n v="5"/>
  </r>
  <r>
    <s v="0199"/>
    <x v="541"/>
    <n v="17"/>
    <s v="Company Q"/>
    <x v="0"/>
    <x v="0"/>
    <s v="Arizona"/>
    <x v="3"/>
    <n v="159"/>
    <n v="4"/>
    <n v="636"/>
    <n v="3"/>
  </r>
  <r>
    <s v="0209"/>
    <x v="27"/>
    <n v="16"/>
    <s v="Company P"/>
    <x v="0"/>
    <x v="0"/>
    <s v="Arizona"/>
    <x v="3"/>
    <n v="159"/>
    <n v="3"/>
    <n v="477"/>
    <n v="3"/>
  </r>
  <r>
    <s v="0213"/>
    <x v="542"/>
    <n v="1"/>
    <s v="Company A"/>
    <x v="4"/>
    <x v="2"/>
    <s v="Texas"/>
    <x v="3"/>
    <n v="159"/>
    <n v="2"/>
    <n v="318"/>
    <n v="2"/>
  </r>
  <r>
    <s v="0218"/>
    <x v="28"/>
    <n v="8"/>
    <s v="Company H"/>
    <x v="1"/>
    <x v="1"/>
    <s v="California"/>
    <x v="3"/>
    <n v="159"/>
    <n v="2"/>
    <n v="318"/>
    <n v="4"/>
  </r>
  <r>
    <s v="0219"/>
    <x v="28"/>
    <n v="7"/>
    <s v="Company G"/>
    <x v="1"/>
    <x v="1"/>
    <s v="California"/>
    <x v="3"/>
    <n v="159"/>
    <n v="1"/>
    <n v="159"/>
    <n v="4"/>
  </r>
  <r>
    <s v="0220"/>
    <x v="28"/>
    <n v="17"/>
    <s v="Company Q"/>
    <x v="0"/>
    <x v="0"/>
    <s v="Arizona"/>
    <x v="3"/>
    <n v="159"/>
    <n v="2"/>
    <n v="318"/>
    <n v="3"/>
  </r>
  <r>
    <s v="0221"/>
    <x v="28"/>
    <n v="13"/>
    <s v="Company M"/>
    <x v="3"/>
    <x v="2"/>
    <s v="New Mexico"/>
    <x v="3"/>
    <n v="159"/>
    <n v="3"/>
    <n v="477"/>
    <n v="5"/>
  </r>
  <r>
    <s v="0223"/>
    <x v="28"/>
    <n v="10"/>
    <s v="Company J"/>
    <x v="1"/>
    <x v="1"/>
    <s v="California"/>
    <x v="3"/>
    <n v="159"/>
    <n v="8"/>
    <n v="1272"/>
    <n v="4"/>
  </r>
  <r>
    <s v="0244"/>
    <x v="300"/>
    <n v="4"/>
    <s v="Company D"/>
    <x v="2"/>
    <x v="0"/>
    <s v="Texas"/>
    <x v="3"/>
    <n v="159"/>
    <n v="2"/>
    <n v="318"/>
    <n v="2"/>
  </r>
  <r>
    <s v="0245"/>
    <x v="33"/>
    <n v="19"/>
    <s v="Company S"/>
    <x v="6"/>
    <x v="0"/>
    <s v="Arizona"/>
    <x v="3"/>
    <n v="159"/>
    <n v="0"/>
    <n v="0"/>
    <n v="5"/>
  </r>
  <r>
    <s v="0250"/>
    <x v="33"/>
    <n v="8"/>
    <s v="Company H"/>
    <x v="7"/>
    <x v="3"/>
    <s v="California"/>
    <x v="3"/>
    <n v="159"/>
    <n v="7"/>
    <n v="1113"/>
    <n v="8"/>
  </r>
  <r>
    <s v="0254"/>
    <x v="450"/>
    <n v="6"/>
    <s v="Company F"/>
    <x v="7"/>
    <x v="3"/>
    <s v="California"/>
    <x v="3"/>
    <n v="159"/>
    <n v="4"/>
    <n v="636"/>
    <n v="8"/>
  </r>
  <r>
    <s v="0256"/>
    <x v="450"/>
    <n v="18"/>
    <s v="Company R"/>
    <x v="6"/>
    <x v="0"/>
    <s v="Arizona"/>
    <x v="3"/>
    <n v="159"/>
    <n v="2"/>
    <n v="318"/>
    <n v="5"/>
  </r>
  <r>
    <s v="0262"/>
    <x v="543"/>
    <n v="8"/>
    <s v="Company H"/>
    <x v="1"/>
    <x v="1"/>
    <s v="California"/>
    <x v="3"/>
    <n v="159"/>
    <n v="1"/>
    <n v="159"/>
    <n v="4"/>
  </r>
  <r>
    <s v="0263"/>
    <x v="544"/>
    <n v="7"/>
    <s v="Company G"/>
    <x v="1"/>
    <x v="1"/>
    <s v="California"/>
    <x v="3"/>
    <n v="159"/>
    <n v="5"/>
    <n v="795"/>
    <n v="4"/>
  </r>
  <r>
    <s v="0276"/>
    <x v="35"/>
    <n v="2"/>
    <s v="Company B"/>
    <x v="2"/>
    <x v="0"/>
    <s v="Texas"/>
    <x v="3"/>
    <n v="159"/>
    <n v="7"/>
    <n v="1113"/>
    <n v="2"/>
  </r>
  <r>
    <s v="0282"/>
    <x v="302"/>
    <n v="16"/>
    <s v="Company P"/>
    <x v="6"/>
    <x v="0"/>
    <s v="Arizona"/>
    <x v="3"/>
    <n v="159"/>
    <n v="6"/>
    <n v="954"/>
    <n v="5"/>
  </r>
  <r>
    <s v="0283"/>
    <x v="302"/>
    <n v="20"/>
    <s v="Company T"/>
    <x v="0"/>
    <x v="0"/>
    <s v="Arizona"/>
    <x v="3"/>
    <n v="159"/>
    <n v="0"/>
    <n v="0"/>
    <n v="3"/>
  </r>
  <r>
    <s v="0284"/>
    <x v="302"/>
    <n v="2"/>
    <s v="Company B"/>
    <x v="2"/>
    <x v="0"/>
    <s v="Texas"/>
    <x v="3"/>
    <n v="159"/>
    <n v="4"/>
    <n v="636"/>
    <n v="2"/>
  </r>
  <r>
    <s v="0288"/>
    <x v="302"/>
    <n v="3"/>
    <s v="Company C"/>
    <x v="4"/>
    <x v="2"/>
    <s v="Texas"/>
    <x v="3"/>
    <n v="159"/>
    <n v="2"/>
    <n v="318"/>
    <n v="2"/>
  </r>
  <r>
    <s v="0290"/>
    <x v="545"/>
    <n v="3"/>
    <s v="Company C"/>
    <x v="2"/>
    <x v="0"/>
    <s v="Texas"/>
    <x v="3"/>
    <n v="159"/>
    <n v="9"/>
    <n v="1431"/>
    <n v="2"/>
  </r>
  <r>
    <s v="0292"/>
    <x v="452"/>
    <n v="1"/>
    <s v="Company A"/>
    <x v="4"/>
    <x v="2"/>
    <s v="Texas"/>
    <x v="3"/>
    <n v="159"/>
    <n v="0"/>
    <n v="0"/>
    <n v="2"/>
  </r>
  <r>
    <s v="0294"/>
    <x v="452"/>
    <n v="16"/>
    <s v="Company P"/>
    <x v="6"/>
    <x v="0"/>
    <s v="Arizona"/>
    <x v="3"/>
    <n v="159"/>
    <n v="2"/>
    <n v="318"/>
    <n v="5"/>
  </r>
  <r>
    <s v="0303"/>
    <x v="546"/>
    <n v="20"/>
    <s v="Company T"/>
    <x v="6"/>
    <x v="0"/>
    <s v="Arizona"/>
    <x v="3"/>
    <n v="159"/>
    <n v="0"/>
    <n v="0"/>
    <n v="5"/>
  </r>
  <r>
    <s v="0306"/>
    <x v="304"/>
    <n v="1"/>
    <s v="Company A"/>
    <x v="2"/>
    <x v="0"/>
    <s v="Texas"/>
    <x v="3"/>
    <n v="159"/>
    <n v="3"/>
    <n v="477"/>
    <n v="2"/>
  </r>
  <r>
    <s v="0324"/>
    <x v="40"/>
    <n v="17"/>
    <s v="Company Q"/>
    <x v="0"/>
    <x v="0"/>
    <s v="Arizona"/>
    <x v="3"/>
    <n v="159"/>
    <n v="4"/>
    <n v="636"/>
    <n v="3"/>
  </r>
  <r>
    <s v="0336"/>
    <x v="547"/>
    <n v="4"/>
    <s v="Company D"/>
    <x v="2"/>
    <x v="0"/>
    <s v="Texas"/>
    <x v="3"/>
    <n v="159"/>
    <n v="9"/>
    <n v="1431"/>
    <n v="2"/>
  </r>
  <r>
    <s v="0340"/>
    <x v="42"/>
    <n v="8"/>
    <s v="Company H"/>
    <x v="1"/>
    <x v="1"/>
    <s v="California"/>
    <x v="3"/>
    <n v="159"/>
    <n v="6"/>
    <n v="954"/>
    <n v="4"/>
  </r>
  <r>
    <s v="0343"/>
    <x v="42"/>
    <n v="5"/>
    <s v="Company E"/>
    <x v="2"/>
    <x v="0"/>
    <s v="Texas"/>
    <x v="3"/>
    <n v="159"/>
    <n v="0"/>
    <n v="0"/>
    <n v="2"/>
  </r>
  <r>
    <s v="0349"/>
    <x v="42"/>
    <n v="13"/>
    <s v="Company M"/>
    <x v="5"/>
    <x v="1"/>
    <s v="New Mexico"/>
    <x v="3"/>
    <n v="159"/>
    <n v="5"/>
    <n v="795"/>
    <n v="6"/>
  </r>
  <r>
    <s v="0352"/>
    <x v="42"/>
    <n v="10"/>
    <s v="Company J"/>
    <x v="1"/>
    <x v="1"/>
    <s v="California"/>
    <x v="3"/>
    <n v="159"/>
    <n v="9"/>
    <n v="1431"/>
    <n v="4"/>
  </r>
  <r>
    <s v="0363"/>
    <x v="45"/>
    <n v="5"/>
    <s v="Company E"/>
    <x v="4"/>
    <x v="2"/>
    <s v="Texas"/>
    <x v="3"/>
    <n v="159"/>
    <n v="5"/>
    <n v="795"/>
    <n v="2"/>
  </r>
  <r>
    <s v="0364"/>
    <x v="45"/>
    <n v="16"/>
    <s v="Company P"/>
    <x v="0"/>
    <x v="0"/>
    <s v="Arizona"/>
    <x v="3"/>
    <n v="159"/>
    <n v="9"/>
    <n v="1431"/>
    <n v="3"/>
  </r>
  <r>
    <s v="0369"/>
    <x v="310"/>
    <n v="6"/>
    <s v="Company F"/>
    <x v="1"/>
    <x v="1"/>
    <s v="California"/>
    <x v="3"/>
    <n v="159"/>
    <n v="7"/>
    <n v="1113"/>
    <n v="4"/>
  </r>
  <r>
    <s v="0371"/>
    <x v="310"/>
    <n v="18"/>
    <s v="Company R"/>
    <x v="0"/>
    <x v="0"/>
    <s v="Arizona"/>
    <x v="3"/>
    <n v="159"/>
    <n v="8"/>
    <n v="1272"/>
    <n v="3"/>
  </r>
  <r>
    <s v="0375"/>
    <x v="46"/>
    <n v="15"/>
    <s v="Company O"/>
    <x v="5"/>
    <x v="1"/>
    <s v="New Mexico"/>
    <x v="3"/>
    <n v="159"/>
    <n v="4"/>
    <n v="636"/>
    <n v="6"/>
  </r>
  <r>
    <s v="0379"/>
    <x v="46"/>
    <n v="15"/>
    <s v="Company O"/>
    <x v="3"/>
    <x v="2"/>
    <s v="New Mexico"/>
    <x v="3"/>
    <n v="159"/>
    <n v="0"/>
    <n v="0"/>
    <n v="5"/>
  </r>
  <r>
    <s v="0380"/>
    <x v="548"/>
    <n v="19"/>
    <s v="Company S"/>
    <x v="0"/>
    <x v="0"/>
    <s v="Arizona"/>
    <x v="3"/>
    <n v="159"/>
    <n v="5"/>
    <n v="795"/>
    <n v="3"/>
  </r>
  <r>
    <s v="0383"/>
    <x v="47"/>
    <n v="2"/>
    <s v="Company B"/>
    <x v="2"/>
    <x v="0"/>
    <s v="Texas"/>
    <x v="3"/>
    <n v="159"/>
    <n v="7"/>
    <n v="1113"/>
    <n v="2"/>
  </r>
  <r>
    <s v="0384"/>
    <x v="47"/>
    <n v="1"/>
    <s v="Company A"/>
    <x v="4"/>
    <x v="2"/>
    <s v="Texas"/>
    <x v="3"/>
    <n v="159"/>
    <n v="5"/>
    <n v="795"/>
    <n v="2"/>
  </r>
  <r>
    <s v="0387"/>
    <x v="47"/>
    <n v="9"/>
    <s v="Company I"/>
    <x v="1"/>
    <x v="1"/>
    <s v="California"/>
    <x v="3"/>
    <n v="159"/>
    <n v="8"/>
    <n v="1272"/>
    <n v="4"/>
  </r>
  <r>
    <s v="0396"/>
    <x v="312"/>
    <n v="14"/>
    <s v="Company N"/>
    <x v="5"/>
    <x v="1"/>
    <s v="New Mexico"/>
    <x v="3"/>
    <n v="159"/>
    <n v="5"/>
    <n v="795"/>
    <n v="6"/>
  </r>
  <r>
    <s v="0398"/>
    <x v="48"/>
    <n v="18"/>
    <s v="Company R"/>
    <x v="0"/>
    <x v="0"/>
    <s v="Arizona"/>
    <x v="3"/>
    <n v="159"/>
    <n v="0"/>
    <n v="0"/>
    <n v="3"/>
  </r>
  <r>
    <s v="0404"/>
    <x v="313"/>
    <n v="5"/>
    <s v="Company E"/>
    <x v="2"/>
    <x v="0"/>
    <s v="Texas"/>
    <x v="3"/>
    <n v="159"/>
    <n v="9"/>
    <n v="1431"/>
    <n v="2"/>
  </r>
  <r>
    <s v="0405"/>
    <x v="313"/>
    <n v="1"/>
    <s v="Company A"/>
    <x v="2"/>
    <x v="0"/>
    <s v="Texas"/>
    <x v="3"/>
    <n v="159"/>
    <n v="5"/>
    <n v="795"/>
    <n v="2"/>
  </r>
  <r>
    <s v="0406"/>
    <x v="313"/>
    <n v="6"/>
    <s v="Company F"/>
    <x v="1"/>
    <x v="1"/>
    <s v="California"/>
    <x v="3"/>
    <n v="159"/>
    <n v="8"/>
    <n v="1272"/>
    <n v="4"/>
  </r>
  <r>
    <s v="0410"/>
    <x v="313"/>
    <n v="16"/>
    <s v="Company P"/>
    <x v="0"/>
    <x v="0"/>
    <s v="Arizona"/>
    <x v="3"/>
    <n v="159"/>
    <n v="4"/>
    <n v="636"/>
    <n v="3"/>
  </r>
  <r>
    <s v="0411"/>
    <x v="313"/>
    <n v="8"/>
    <s v="Company H"/>
    <x v="1"/>
    <x v="1"/>
    <s v="California"/>
    <x v="3"/>
    <n v="159"/>
    <n v="4"/>
    <n v="636"/>
    <n v="4"/>
  </r>
  <r>
    <s v="0415"/>
    <x v="456"/>
    <n v="17"/>
    <s v="Company Q"/>
    <x v="0"/>
    <x v="0"/>
    <s v="Arizona"/>
    <x v="3"/>
    <n v="159"/>
    <n v="7"/>
    <n v="1113"/>
    <n v="3"/>
  </r>
  <r>
    <s v="0418"/>
    <x v="457"/>
    <n v="6"/>
    <s v="Company F"/>
    <x v="1"/>
    <x v="1"/>
    <s v="California"/>
    <x v="3"/>
    <n v="159"/>
    <n v="9"/>
    <n v="1431"/>
    <n v="4"/>
  </r>
  <r>
    <s v="0420"/>
    <x v="549"/>
    <n v="18"/>
    <s v="Company R"/>
    <x v="0"/>
    <x v="0"/>
    <s v="Arizona"/>
    <x v="3"/>
    <n v="159"/>
    <n v="9"/>
    <n v="1431"/>
    <n v="3"/>
  </r>
  <r>
    <s v="0421"/>
    <x v="549"/>
    <n v="6"/>
    <s v="Company F"/>
    <x v="1"/>
    <x v="1"/>
    <s v="California"/>
    <x v="3"/>
    <n v="159"/>
    <n v="4"/>
    <n v="636"/>
    <n v="4"/>
  </r>
  <r>
    <s v="0422"/>
    <x v="314"/>
    <n v="4"/>
    <s v="Company D"/>
    <x v="4"/>
    <x v="2"/>
    <s v="Texas"/>
    <x v="3"/>
    <n v="159"/>
    <n v="9"/>
    <n v="1431"/>
    <n v="2"/>
  </r>
  <r>
    <s v="0439"/>
    <x v="51"/>
    <n v="16"/>
    <s v="Company P"/>
    <x v="0"/>
    <x v="0"/>
    <s v="Arizona"/>
    <x v="3"/>
    <n v="159"/>
    <n v="1"/>
    <n v="159"/>
    <n v="3"/>
  </r>
  <r>
    <s v="0448"/>
    <x v="52"/>
    <n v="10"/>
    <s v="Company J"/>
    <x v="7"/>
    <x v="3"/>
    <s v="California"/>
    <x v="3"/>
    <n v="159"/>
    <n v="1"/>
    <n v="159"/>
    <n v="8"/>
  </r>
  <r>
    <s v="0454"/>
    <x v="52"/>
    <n v="13"/>
    <s v="Company M"/>
    <x v="3"/>
    <x v="2"/>
    <s v="New Mexico"/>
    <x v="3"/>
    <n v="159"/>
    <n v="8"/>
    <n v="1272"/>
    <n v="5"/>
  </r>
  <r>
    <s v="0457"/>
    <x v="53"/>
    <n v="3"/>
    <s v="Company C"/>
    <x v="2"/>
    <x v="0"/>
    <s v="Texas"/>
    <x v="3"/>
    <n v="159"/>
    <n v="9"/>
    <n v="1431"/>
    <n v="2"/>
  </r>
  <r>
    <s v="0459"/>
    <x v="53"/>
    <n v="5"/>
    <s v="Company E"/>
    <x v="4"/>
    <x v="2"/>
    <s v="Texas"/>
    <x v="3"/>
    <n v="159"/>
    <n v="1"/>
    <n v="159"/>
    <n v="2"/>
  </r>
  <r>
    <s v="0460"/>
    <x v="54"/>
    <n v="11"/>
    <s v="Company K"/>
    <x v="5"/>
    <x v="1"/>
    <s v="New Mexico"/>
    <x v="3"/>
    <n v="159"/>
    <n v="4"/>
    <n v="636"/>
    <n v="6"/>
  </r>
  <r>
    <s v="0465"/>
    <x v="55"/>
    <n v="11"/>
    <s v="Company K"/>
    <x v="5"/>
    <x v="1"/>
    <s v="New Mexico"/>
    <x v="3"/>
    <n v="159"/>
    <n v="9"/>
    <n v="1431"/>
    <n v="6"/>
  </r>
  <r>
    <s v="0466"/>
    <x v="55"/>
    <n v="2"/>
    <s v="Company B"/>
    <x v="2"/>
    <x v="0"/>
    <s v="Texas"/>
    <x v="3"/>
    <n v="159"/>
    <n v="3"/>
    <n v="477"/>
    <n v="2"/>
  </r>
  <r>
    <s v="0468"/>
    <x v="55"/>
    <n v="18"/>
    <s v="Company R"/>
    <x v="0"/>
    <x v="0"/>
    <s v="Arizona"/>
    <x v="3"/>
    <n v="159"/>
    <n v="9"/>
    <n v="1431"/>
    <n v="3"/>
  </r>
  <r>
    <s v="0476"/>
    <x v="58"/>
    <n v="8"/>
    <s v="Company H"/>
    <x v="7"/>
    <x v="3"/>
    <s v="California"/>
    <x v="3"/>
    <n v="159"/>
    <n v="3"/>
    <n v="477"/>
    <n v="8"/>
  </r>
  <r>
    <s v="0478"/>
    <x v="58"/>
    <n v="6"/>
    <s v="Company F"/>
    <x v="7"/>
    <x v="3"/>
    <s v="California"/>
    <x v="3"/>
    <n v="159"/>
    <n v="3"/>
    <n v="477"/>
    <n v="8"/>
  </r>
  <r>
    <s v="0479"/>
    <x v="58"/>
    <n v="7"/>
    <s v="Company G"/>
    <x v="7"/>
    <x v="3"/>
    <s v="California"/>
    <x v="3"/>
    <n v="159"/>
    <n v="2"/>
    <n v="318"/>
    <n v="8"/>
  </r>
  <r>
    <s v="0486"/>
    <x v="317"/>
    <n v="8"/>
    <s v="Company H"/>
    <x v="7"/>
    <x v="3"/>
    <s v="California"/>
    <x v="3"/>
    <n v="159"/>
    <n v="4"/>
    <n v="636"/>
    <n v="8"/>
  </r>
  <r>
    <s v="0488"/>
    <x v="317"/>
    <n v="20"/>
    <s v="Company T"/>
    <x v="6"/>
    <x v="0"/>
    <s v="Arizona"/>
    <x v="3"/>
    <n v="159"/>
    <n v="2"/>
    <n v="318"/>
    <n v="5"/>
  </r>
  <r>
    <s v="0489"/>
    <x v="317"/>
    <n v="13"/>
    <s v="Company M"/>
    <x v="3"/>
    <x v="2"/>
    <s v="New Mexico"/>
    <x v="3"/>
    <n v="159"/>
    <n v="7"/>
    <n v="1113"/>
    <n v="5"/>
  </r>
  <r>
    <s v="0490"/>
    <x v="317"/>
    <n v="13"/>
    <s v="Company M"/>
    <x v="3"/>
    <x v="2"/>
    <s v="New Mexico"/>
    <x v="3"/>
    <n v="159"/>
    <n v="4"/>
    <n v="636"/>
    <n v="5"/>
  </r>
  <r>
    <s v="0494"/>
    <x v="59"/>
    <n v="16"/>
    <s v="Company P"/>
    <x v="0"/>
    <x v="0"/>
    <s v="Arizona"/>
    <x v="3"/>
    <n v="159"/>
    <n v="9"/>
    <n v="1431"/>
    <n v="3"/>
  </r>
  <r>
    <s v="0509"/>
    <x v="319"/>
    <n v="19"/>
    <s v="Company S"/>
    <x v="6"/>
    <x v="0"/>
    <s v="Arizona"/>
    <x v="3"/>
    <n v="159"/>
    <n v="8"/>
    <n v="1272"/>
    <n v="5"/>
  </r>
  <r>
    <s v="0525"/>
    <x v="61"/>
    <n v="7"/>
    <s v="Company G"/>
    <x v="7"/>
    <x v="3"/>
    <s v="California"/>
    <x v="3"/>
    <n v="159"/>
    <n v="3"/>
    <n v="477"/>
    <n v="8"/>
  </r>
  <r>
    <s v="0534"/>
    <x v="460"/>
    <n v="7"/>
    <s v="Company G"/>
    <x v="1"/>
    <x v="1"/>
    <s v="California"/>
    <x v="3"/>
    <n v="159"/>
    <n v="9"/>
    <n v="1431"/>
    <n v="4"/>
  </r>
  <r>
    <s v="0540"/>
    <x v="63"/>
    <n v="9"/>
    <s v="Company I"/>
    <x v="1"/>
    <x v="1"/>
    <s v="California"/>
    <x v="3"/>
    <n v="159"/>
    <n v="3"/>
    <n v="477"/>
    <n v="4"/>
  </r>
  <r>
    <s v="0543"/>
    <x v="63"/>
    <n v="20"/>
    <s v="Company T"/>
    <x v="0"/>
    <x v="0"/>
    <s v="Arizona"/>
    <x v="3"/>
    <n v="159"/>
    <n v="5"/>
    <n v="795"/>
    <n v="3"/>
  </r>
  <r>
    <s v="0550"/>
    <x v="65"/>
    <n v="18"/>
    <s v="Company R"/>
    <x v="6"/>
    <x v="0"/>
    <s v="Arizona"/>
    <x v="3"/>
    <n v="159"/>
    <n v="0"/>
    <n v="0"/>
    <n v="5"/>
  </r>
  <r>
    <s v="0557"/>
    <x v="66"/>
    <n v="5"/>
    <s v="Company E"/>
    <x v="4"/>
    <x v="2"/>
    <s v="Texas"/>
    <x v="3"/>
    <n v="159"/>
    <n v="1"/>
    <n v="159"/>
    <n v="2"/>
  </r>
  <r>
    <s v="0566"/>
    <x v="68"/>
    <n v="10"/>
    <s v="Company J"/>
    <x v="7"/>
    <x v="3"/>
    <s v="California"/>
    <x v="3"/>
    <n v="159"/>
    <n v="8"/>
    <n v="1272"/>
    <n v="8"/>
  </r>
  <r>
    <s v="0567"/>
    <x v="68"/>
    <n v="1"/>
    <s v="Company A"/>
    <x v="4"/>
    <x v="2"/>
    <s v="Texas"/>
    <x v="3"/>
    <n v="159"/>
    <n v="8"/>
    <n v="1272"/>
    <n v="2"/>
  </r>
  <r>
    <s v="0569"/>
    <x v="550"/>
    <n v="18"/>
    <s v="Company R"/>
    <x v="6"/>
    <x v="0"/>
    <s v="Arizona"/>
    <x v="3"/>
    <n v="159"/>
    <n v="7"/>
    <n v="1113"/>
    <n v="5"/>
  </r>
  <r>
    <s v="0572"/>
    <x v="324"/>
    <n v="11"/>
    <s v="Company K"/>
    <x v="5"/>
    <x v="1"/>
    <s v="New Mexico"/>
    <x v="3"/>
    <n v="159"/>
    <n v="4"/>
    <n v="636"/>
    <n v="6"/>
  </r>
  <r>
    <s v="0574"/>
    <x v="551"/>
    <n v="5"/>
    <s v="Company E"/>
    <x v="2"/>
    <x v="0"/>
    <s v="Texas"/>
    <x v="3"/>
    <n v="159"/>
    <n v="3"/>
    <n v="477"/>
    <n v="2"/>
  </r>
  <r>
    <s v="0577"/>
    <x v="551"/>
    <n v="12"/>
    <s v="Company L"/>
    <x v="3"/>
    <x v="2"/>
    <s v="New Mexico"/>
    <x v="3"/>
    <n v="159"/>
    <n v="6"/>
    <n v="954"/>
    <n v="5"/>
  </r>
  <r>
    <s v="0580"/>
    <x v="71"/>
    <n v="15"/>
    <s v="Company O"/>
    <x v="5"/>
    <x v="1"/>
    <s v="New Mexico"/>
    <x v="3"/>
    <n v="159"/>
    <n v="6"/>
    <n v="954"/>
    <n v="6"/>
  </r>
  <r>
    <s v="0581"/>
    <x v="71"/>
    <n v="15"/>
    <s v="Company O"/>
    <x v="3"/>
    <x v="2"/>
    <s v="New Mexico"/>
    <x v="3"/>
    <n v="159"/>
    <n v="8"/>
    <n v="1272"/>
    <n v="5"/>
  </r>
  <r>
    <s v="0590"/>
    <x v="72"/>
    <n v="18"/>
    <s v="Company R"/>
    <x v="0"/>
    <x v="0"/>
    <s v="Arizona"/>
    <x v="3"/>
    <n v="159"/>
    <n v="5"/>
    <n v="795"/>
    <n v="3"/>
  </r>
  <r>
    <s v="0599"/>
    <x v="74"/>
    <n v="2"/>
    <s v="Company B"/>
    <x v="2"/>
    <x v="0"/>
    <s v="Texas"/>
    <x v="3"/>
    <n v="159"/>
    <n v="5"/>
    <n v="795"/>
    <n v="2"/>
  </r>
  <r>
    <s v="0605"/>
    <x v="552"/>
    <n v="15"/>
    <s v="Company O"/>
    <x v="5"/>
    <x v="1"/>
    <s v="New Mexico"/>
    <x v="3"/>
    <n v="159"/>
    <n v="5"/>
    <n v="795"/>
    <n v="6"/>
  </r>
  <r>
    <s v="0615"/>
    <x v="553"/>
    <n v="10"/>
    <s v="Company J"/>
    <x v="7"/>
    <x v="3"/>
    <s v="California"/>
    <x v="3"/>
    <n v="159"/>
    <n v="2"/>
    <n v="318"/>
    <n v="8"/>
  </r>
  <r>
    <s v="0620"/>
    <x v="328"/>
    <n v="20"/>
    <s v="Company T"/>
    <x v="0"/>
    <x v="0"/>
    <s v="Arizona"/>
    <x v="3"/>
    <n v="159"/>
    <n v="9"/>
    <n v="1431"/>
    <n v="3"/>
  </r>
  <r>
    <s v="0621"/>
    <x v="328"/>
    <n v="10"/>
    <s v="Company J"/>
    <x v="1"/>
    <x v="1"/>
    <s v="California"/>
    <x v="3"/>
    <n v="159"/>
    <n v="7"/>
    <n v="1113"/>
    <n v="4"/>
  </r>
  <r>
    <s v="0622"/>
    <x v="328"/>
    <n v="13"/>
    <s v="Company M"/>
    <x v="5"/>
    <x v="1"/>
    <s v="New Mexico"/>
    <x v="3"/>
    <n v="159"/>
    <n v="9"/>
    <n v="1431"/>
    <n v="6"/>
  </r>
  <r>
    <s v="0630"/>
    <x v="554"/>
    <n v="10"/>
    <s v="Company J"/>
    <x v="7"/>
    <x v="3"/>
    <s v="California"/>
    <x v="3"/>
    <n v="159"/>
    <n v="3"/>
    <n v="477"/>
    <n v="8"/>
  </r>
  <r>
    <s v="0633"/>
    <x v="78"/>
    <n v="20"/>
    <s v="Company T"/>
    <x v="6"/>
    <x v="0"/>
    <s v="Arizona"/>
    <x v="3"/>
    <n v="159"/>
    <n v="3"/>
    <n v="477"/>
    <n v="5"/>
  </r>
  <r>
    <s v="0635"/>
    <x v="78"/>
    <n v="3"/>
    <s v="Company C"/>
    <x v="2"/>
    <x v="0"/>
    <s v="Texas"/>
    <x v="3"/>
    <n v="159"/>
    <n v="5"/>
    <n v="795"/>
    <n v="2"/>
  </r>
  <r>
    <s v="0637"/>
    <x v="79"/>
    <n v="17"/>
    <s v="Company Q"/>
    <x v="6"/>
    <x v="0"/>
    <s v="Arizona"/>
    <x v="3"/>
    <n v="159"/>
    <n v="6"/>
    <n v="954"/>
    <n v="5"/>
  </r>
  <r>
    <s v="0638"/>
    <x v="79"/>
    <n v="11"/>
    <s v="Company K"/>
    <x v="3"/>
    <x v="2"/>
    <s v="New Mexico"/>
    <x v="3"/>
    <n v="159"/>
    <n v="5"/>
    <n v="795"/>
    <n v="5"/>
  </r>
  <r>
    <s v="0651"/>
    <x v="82"/>
    <n v="17"/>
    <s v="Company Q"/>
    <x v="0"/>
    <x v="0"/>
    <s v="Arizona"/>
    <x v="3"/>
    <n v="159"/>
    <n v="2"/>
    <n v="318"/>
    <n v="3"/>
  </r>
  <r>
    <s v="0652"/>
    <x v="82"/>
    <n v="15"/>
    <s v="Company O"/>
    <x v="5"/>
    <x v="1"/>
    <s v="New Mexico"/>
    <x v="3"/>
    <n v="159"/>
    <n v="3"/>
    <n v="477"/>
    <n v="6"/>
  </r>
  <r>
    <s v="0653"/>
    <x v="330"/>
    <n v="5"/>
    <s v="Company E"/>
    <x v="4"/>
    <x v="2"/>
    <s v="Texas"/>
    <x v="3"/>
    <n v="159"/>
    <n v="1"/>
    <n v="159"/>
    <n v="2"/>
  </r>
  <r>
    <s v="0656"/>
    <x v="330"/>
    <n v="12"/>
    <s v="Company L"/>
    <x v="5"/>
    <x v="1"/>
    <s v="New Mexico"/>
    <x v="3"/>
    <n v="159"/>
    <n v="5"/>
    <n v="795"/>
    <n v="6"/>
  </r>
  <r>
    <s v="0658"/>
    <x v="330"/>
    <n v="5"/>
    <s v="Company E"/>
    <x v="2"/>
    <x v="0"/>
    <s v="Texas"/>
    <x v="3"/>
    <n v="159"/>
    <n v="9"/>
    <n v="1431"/>
    <n v="2"/>
  </r>
  <r>
    <s v="0661"/>
    <x v="555"/>
    <n v="16"/>
    <s v="Company P"/>
    <x v="6"/>
    <x v="0"/>
    <s v="Arizona"/>
    <x v="3"/>
    <n v="159"/>
    <n v="3"/>
    <n v="477"/>
    <n v="5"/>
  </r>
  <r>
    <s v="0663"/>
    <x v="555"/>
    <n v="20"/>
    <s v="Company T"/>
    <x v="6"/>
    <x v="0"/>
    <s v="Arizona"/>
    <x v="3"/>
    <n v="159"/>
    <n v="4"/>
    <n v="636"/>
    <n v="5"/>
  </r>
  <r>
    <s v="0672"/>
    <x v="556"/>
    <n v="12"/>
    <s v="Company L"/>
    <x v="3"/>
    <x v="2"/>
    <s v="New Mexico"/>
    <x v="3"/>
    <n v="159"/>
    <n v="7"/>
    <n v="1113"/>
    <n v="5"/>
  </r>
  <r>
    <s v="0673"/>
    <x v="556"/>
    <n v="17"/>
    <s v="Company Q"/>
    <x v="6"/>
    <x v="0"/>
    <s v="Arizona"/>
    <x v="3"/>
    <n v="159"/>
    <n v="8"/>
    <n v="1272"/>
    <n v="5"/>
  </r>
  <r>
    <s v="0675"/>
    <x v="332"/>
    <n v="13"/>
    <s v="Company M"/>
    <x v="3"/>
    <x v="2"/>
    <s v="New Mexico"/>
    <x v="3"/>
    <n v="159"/>
    <n v="4"/>
    <n v="636"/>
    <n v="5"/>
  </r>
  <r>
    <s v="0677"/>
    <x v="332"/>
    <n v="15"/>
    <s v="Company O"/>
    <x v="3"/>
    <x v="2"/>
    <s v="New Mexico"/>
    <x v="3"/>
    <n v="159"/>
    <n v="9"/>
    <n v="1431"/>
    <n v="5"/>
  </r>
  <r>
    <s v="0679"/>
    <x v="332"/>
    <n v="7"/>
    <s v="Company G"/>
    <x v="7"/>
    <x v="3"/>
    <s v="California"/>
    <x v="3"/>
    <n v="159"/>
    <n v="6"/>
    <n v="954"/>
    <n v="8"/>
  </r>
  <r>
    <s v="0684"/>
    <x v="86"/>
    <n v="18"/>
    <s v="Company R"/>
    <x v="6"/>
    <x v="0"/>
    <s v="Arizona"/>
    <x v="3"/>
    <n v="159"/>
    <n v="3"/>
    <n v="477"/>
    <n v="5"/>
  </r>
  <r>
    <s v="0689"/>
    <x v="86"/>
    <n v="19"/>
    <s v="Company S"/>
    <x v="0"/>
    <x v="0"/>
    <s v="Arizona"/>
    <x v="3"/>
    <n v="159"/>
    <n v="8"/>
    <n v="1272"/>
    <n v="3"/>
  </r>
  <r>
    <s v="0694"/>
    <x v="86"/>
    <n v="8"/>
    <s v="Company H"/>
    <x v="1"/>
    <x v="1"/>
    <s v="California"/>
    <x v="3"/>
    <n v="159"/>
    <n v="8"/>
    <n v="1272"/>
    <n v="4"/>
  </r>
  <r>
    <s v="0697"/>
    <x v="465"/>
    <n v="5"/>
    <s v="Company E"/>
    <x v="4"/>
    <x v="2"/>
    <s v="Texas"/>
    <x v="3"/>
    <n v="159"/>
    <n v="1"/>
    <n v="159"/>
    <n v="2"/>
  </r>
  <r>
    <s v="0706"/>
    <x v="337"/>
    <n v="7"/>
    <s v="Company G"/>
    <x v="1"/>
    <x v="1"/>
    <s v="California"/>
    <x v="3"/>
    <n v="159"/>
    <n v="2"/>
    <n v="318"/>
    <n v="4"/>
  </r>
  <r>
    <s v="0709"/>
    <x v="337"/>
    <n v="1"/>
    <s v="Company A"/>
    <x v="2"/>
    <x v="0"/>
    <s v="Texas"/>
    <x v="3"/>
    <n v="159"/>
    <n v="9"/>
    <n v="1431"/>
    <n v="2"/>
  </r>
  <r>
    <s v="0712"/>
    <x v="557"/>
    <n v="12"/>
    <s v="Company L"/>
    <x v="3"/>
    <x v="2"/>
    <s v="New Mexico"/>
    <x v="3"/>
    <n v="159"/>
    <n v="0"/>
    <n v="0"/>
    <n v="5"/>
  </r>
  <r>
    <s v="0713"/>
    <x v="557"/>
    <n v="19"/>
    <s v="Company S"/>
    <x v="6"/>
    <x v="0"/>
    <s v="Arizona"/>
    <x v="3"/>
    <n v="159"/>
    <n v="8"/>
    <n v="1272"/>
    <n v="5"/>
  </r>
  <r>
    <s v="0715"/>
    <x v="338"/>
    <n v="13"/>
    <s v="Company M"/>
    <x v="5"/>
    <x v="1"/>
    <s v="New Mexico"/>
    <x v="3"/>
    <n v="159"/>
    <n v="5"/>
    <n v="795"/>
    <n v="6"/>
  </r>
  <r>
    <s v="0718"/>
    <x v="558"/>
    <n v="13"/>
    <s v="Company M"/>
    <x v="5"/>
    <x v="1"/>
    <s v="New Mexico"/>
    <x v="3"/>
    <n v="159"/>
    <n v="3"/>
    <n v="477"/>
    <n v="6"/>
  </r>
  <r>
    <s v="0719"/>
    <x v="558"/>
    <n v="2"/>
    <s v="Company B"/>
    <x v="4"/>
    <x v="2"/>
    <s v="Texas"/>
    <x v="3"/>
    <n v="159"/>
    <n v="4"/>
    <n v="636"/>
    <n v="2"/>
  </r>
  <r>
    <s v="0721"/>
    <x v="339"/>
    <n v="7"/>
    <s v="Company G"/>
    <x v="1"/>
    <x v="1"/>
    <s v="California"/>
    <x v="3"/>
    <n v="159"/>
    <n v="5"/>
    <n v="795"/>
    <n v="4"/>
  </r>
  <r>
    <s v="0722"/>
    <x v="339"/>
    <n v="11"/>
    <s v="Company K"/>
    <x v="5"/>
    <x v="1"/>
    <s v="New Mexico"/>
    <x v="3"/>
    <n v="159"/>
    <n v="4"/>
    <n v="636"/>
    <n v="6"/>
  </r>
  <r>
    <s v="0733"/>
    <x v="88"/>
    <n v="17"/>
    <s v="Company Q"/>
    <x v="0"/>
    <x v="0"/>
    <s v="Arizona"/>
    <x v="3"/>
    <n v="159"/>
    <n v="4"/>
    <n v="636"/>
    <n v="3"/>
  </r>
  <r>
    <s v="0736"/>
    <x v="89"/>
    <n v="14"/>
    <s v="Company N"/>
    <x v="3"/>
    <x v="2"/>
    <s v="New Mexico"/>
    <x v="3"/>
    <n v="159"/>
    <n v="6"/>
    <n v="954"/>
    <n v="5"/>
  </r>
  <r>
    <s v="0737"/>
    <x v="89"/>
    <n v="12"/>
    <s v="Company L"/>
    <x v="5"/>
    <x v="1"/>
    <s v="New Mexico"/>
    <x v="3"/>
    <n v="159"/>
    <n v="5"/>
    <n v="795"/>
    <n v="6"/>
  </r>
  <r>
    <s v="0746"/>
    <x v="468"/>
    <n v="2"/>
    <s v="Company B"/>
    <x v="4"/>
    <x v="2"/>
    <s v="Texas"/>
    <x v="3"/>
    <n v="159"/>
    <n v="8"/>
    <n v="1272"/>
    <n v="2"/>
  </r>
  <r>
    <s v="0750"/>
    <x v="342"/>
    <n v="20"/>
    <s v="Company T"/>
    <x v="0"/>
    <x v="0"/>
    <s v="Arizona"/>
    <x v="3"/>
    <n v="159"/>
    <n v="9"/>
    <n v="1431"/>
    <n v="3"/>
  </r>
  <r>
    <s v="0761"/>
    <x v="94"/>
    <n v="16"/>
    <s v="Company P"/>
    <x v="0"/>
    <x v="0"/>
    <s v="Arizona"/>
    <x v="3"/>
    <n v="159"/>
    <n v="6"/>
    <n v="954"/>
    <n v="3"/>
  </r>
  <r>
    <s v="0765"/>
    <x v="95"/>
    <n v="19"/>
    <s v="Company S"/>
    <x v="0"/>
    <x v="0"/>
    <s v="Arizona"/>
    <x v="3"/>
    <n v="159"/>
    <n v="8"/>
    <n v="1272"/>
    <n v="3"/>
  </r>
  <r>
    <s v="0768"/>
    <x v="559"/>
    <n v="15"/>
    <s v="Company O"/>
    <x v="5"/>
    <x v="1"/>
    <s v="New Mexico"/>
    <x v="3"/>
    <n v="159"/>
    <n v="1"/>
    <n v="159"/>
    <n v="6"/>
  </r>
  <r>
    <s v="0782"/>
    <x v="99"/>
    <n v="1"/>
    <s v="Company A"/>
    <x v="2"/>
    <x v="0"/>
    <s v="Texas"/>
    <x v="3"/>
    <n v="159"/>
    <n v="9"/>
    <n v="1431"/>
    <n v="2"/>
  </r>
  <r>
    <s v="0789"/>
    <x v="470"/>
    <n v="6"/>
    <s v="Company F"/>
    <x v="1"/>
    <x v="1"/>
    <s v="California"/>
    <x v="3"/>
    <n v="159"/>
    <n v="8"/>
    <n v="1272"/>
    <n v="4"/>
  </r>
  <r>
    <s v="0790"/>
    <x v="470"/>
    <n v="13"/>
    <s v="Company M"/>
    <x v="5"/>
    <x v="1"/>
    <s v="New Mexico"/>
    <x v="3"/>
    <n v="159"/>
    <n v="8"/>
    <n v="1272"/>
    <n v="6"/>
  </r>
  <r>
    <s v="0792"/>
    <x v="100"/>
    <n v="16"/>
    <s v="Company P"/>
    <x v="6"/>
    <x v="0"/>
    <s v="Arizona"/>
    <x v="3"/>
    <n v="159"/>
    <n v="9"/>
    <n v="1431"/>
    <n v="5"/>
  </r>
  <r>
    <s v="0800"/>
    <x v="102"/>
    <n v="3"/>
    <s v="Company C"/>
    <x v="4"/>
    <x v="2"/>
    <s v="Texas"/>
    <x v="3"/>
    <n v="159"/>
    <n v="4"/>
    <n v="636"/>
    <n v="2"/>
  </r>
  <r>
    <s v="0807"/>
    <x v="103"/>
    <n v="11"/>
    <s v="Company K"/>
    <x v="3"/>
    <x v="2"/>
    <s v="New Mexico"/>
    <x v="3"/>
    <n v="159"/>
    <n v="5"/>
    <n v="795"/>
    <n v="5"/>
  </r>
  <r>
    <s v="0813"/>
    <x v="105"/>
    <n v="16"/>
    <s v="Company P"/>
    <x v="0"/>
    <x v="0"/>
    <s v="Arizona"/>
    <x v="3"/>
    <n v="159"/>
    <n v="8"/>
    <n v="1272"/>
    <n v="3"/>
  </r>
  <r>
    <s v="0814"/>
    <x v="105"/>
    <n v="16"/>
    <s v="Company P"/>
    <x v="6"/>
    <x v="0"/>
    <s v="Arizona"/>
    <x v="3"/>
    <n v="159"/>
    <n v="4"/>
    <n v="636"/>
    <n v="5"/>
  </r>
  <r>
    <s v="0815"/>
    <x v="105"/>
    <n v="3"/>
    <s v="Company C"/>
    <x v="2"/>
    <x v="0"/>
    <s v="Texas"/>
    <x v="3"/>
    <n v="159"/>
    <n v="8"/>
    <n v="1272"/>
    <n v="2"/>
  </r>
  <r>
    <s v="0820"/>
    <x v="107"/>
    <n v="11"/>
    <s v="Company K"/>
    <x v="5"/>
    <x v="1"/>
    <s v="New Mexico"/>
    <x v="3"/>
    <n v="159"/>
    <n v="4"/>
    <n v="636"/>
    <n v="6"/>
  </r>
  <r>
    <s v="0821"/>
    <x v="107"/>
    <n v="12"/>
    <s v="Company L"/>
    <x v="3"/>
    <x v="2"/>
    <s v="New Mexico"/>
    <x v="3"/>
    <n v="159"/>
    <n v="4"/>
    <n v="636"/>
    <n v="5"/>
  </r>
  <r>
    <s v="0827"/>
    <x v="108"/>
    <n v="1"/>
    <s v="Company A"/>
    <x v="2"/>
    <x v="0"/>
    <s v="Texas"/>
    <x v="3"/>
    <n v="159"/>
    <n v="3"/>
    <n v="477"/>
    <n v="2"/>
  </r>
  <r>
    <s v="0840"/>
    <x v="345"/>
    <n v="6"/>
    <s v="Company F"/>
    <x v="1"/>
    <x v="1"/>
    <s v="California"/>
    <x v="3"/>
    <n v="159"/>
    <n v="8"/>
    <n v="1272"/>
    <n v="4"/>
  </r>
  <r>
    <s v="0845"/>
    <x v="346"/>
    <n v="8"/>
    <s v="Company H"/>
    <x v="1"/>
    <x v="1"/>
    <s v="California"/>
    <x v="3"/>
    <n v="159"/>
    <n v="7"/>
    <n v="1113"/>
    <n v="4"/>
  </r>
  <r>
    <s v="0847"/>
    <x v="112"/>
    <n v="5"/>
    <s v="Company E"/>
    <x v="2"/>
    <x v="0"/>
    <s v="Texas"/>
    <x v="3"/>
    <n v="159"/>
    <n v="0"/>
    <n v="0"/>
    <n v="2"/>
  </r>
  <r>
    <s v="0856"/>
    <x v="112"/>
    <n v="19"/>
    <s v="Company S"/>
    <x v="0"/>
    <x v="0"/>
    <s v="Arizona"/>
    <x v="3"/>
    <n v="159"/>
    <n v="3"/>
    <n v="477"/>
    <n v="3"/>
  </r>
  <r>
    <s v="0870"/>
    <x v="114"/>
    <n v="3"/>
    <s v="Company C"/>
    <x v="4"/>
    <x v="2"/>
    <s v="Texas"/>
    <x v="3"/>
    <n v="159"/>
    <n v="5"/>
    <n v="795"/>
    <n v="2"/>
  </r>
  <r>
    <s v="0872"/>
    <x v="114"/>
    <n v="1"/>
    <s v="Company A"/>
    <x v="2"/>
    <x v="0"/>
    <s v="Texas"/>
    <x v="3"/>
    <n v="159"/>
    <n v="5"/>
    <n v="795"/>
    <n v="2"/>
  </r>
  <r>
    <s v="0878"/>
    <x v="350"/>
    <n v="15"/>
    <s v="Company O"/>
    <x v="5"/>
    <x v="1"/>
    <s v="New Mexico"/>
    <x v="3"/>
    <n v="159"/>
    <n v="0"/>
    <n v="0"/>
    <n v="6"/>
  </r>
  <r>
    <s v="0882"/>
    <x v="115"/>
    <n v="7"/>
    <s v="Company G"/>
    <x v="1"/>
    <x v="1"/>
    <s v="California"/>
    <x v="3"/>
    <n v="159"/>
    <n v="2"/>
    <n v="318"/>
    <n v="4"/>
  </r>
  <r>
    <s v="0885"/>
    <x v="351"/>
    <n v="15"/>
    <s v="Company O"/>
    <x v="5"/>
    <x v="1"/>
    <s v="New Mexico"/>
    <x v="3"/>
    <n v="159"/>
    <n v="8"/>
    <n v="1272"/>
    <n v="6"/>
  </r>
  <r>
    <s v="0886"/>
    <x v="560"/>
    <n v="20"/>
    <s v="Company T"/>
    <x v="6"/>
    <x v="0"/>
    <s v="Arizona"/>
    <x v="3"/>
    <n v="159"/>
    <n v="1"/>
    <n v="159"/>
    <n v="5"/>
  </r>
  <r>
    <s v="0892"/>
    <x v="353"/>
    <n v="16"/>
    <s v="Company P"/>
    <x v="0"/>
    <x v="0"/>
    <s v="Arizona"/>
    <x v="3"/>
    <n v="159"/>
    <n v="7"/>
    <n v="1113"/>
    <n v="3"/>
  </r>
  <r>
    <s v="0894"/>
    <x v="116"/>
    <n v="11"/>
    <s v="Company K"/>
    <x v="5"/>
    <x v="1"/>
    <s v="New Mexico"/>
    <x v="3"/>
    <n v="159"/>
    <n v="6"/>
    <n v="954"/>
    <n v="6"/>
  </r>
  <r>
    <s v="0900"/>
    <x v="475"/>
    <n v="4"/>
    <s v="Company D"/>
    <x v="2"/>
    <x v="0"/>
    <s v="Texas"/>
    <x v="3"/>
    <n v="159"/>
    <n v="5"/>
    <n v="795"/>
    <n v="2"/>
  </r>
  <r>
    <s v="0909"/>
    <x v="357"/>
    <n v="7"/>
    <s v="Company G"/>
    <x v="1"/>
    <x v="1"/>
    <s v="California"/>
    <x v="3"/>
    <n v="159"/>
    <n v="8"/>
    <n v="1272"/>
    <n v="4"/>
  </r>
  <r>
    <s v="0914"/>
    <x v="357"/>
    <n v="14"/>
    <s v="Company N"/>
    <x v="3"/>
    <x v="2"/>
    <s v="New Mexico"/>
    <x v="3"/>
    <n v="159"/>
    <n v="7"/>
    <n v="1113"/>
    <n v="5"/>
  </r>
  <r>
    <s v="0918"/>
    <x v="119"/>
    <n v="18"/>
    <s v="Company R"/>
    <x v="0"/>
    <x v="0"/>
    <s v="Arizona"/>
    <x v="3"/>
    <n v="159"/>
    <n v="5"/>
    <n v="795"/>
    <n v="3"/>
  </r>
  <r>
    <s v="0923"/>
    <x v="120"/>
    <n v="15"/>
    <s v="Company O"/>
    <x v="5"/>
    <x v="1"/>
    <s v="New Mexico"/>
    <x v="3"/>
    <n v="159"/>
    <n v="3"/>
    <n v="477"/>
    <n v="6"/>
  </r>
  <r>
    <s v="0928"/>
    <x v="476"/>
    <n v="20"/>
    <s v="Company T"/>
    <x v="0"/>
    <x v="0"/>
    <s v="Arizona"/>
    <x v="3"/>
    <n v="159"/>
    <n v="8"/>
    <n v="1272"/>
    <n v="3"/>
  </r>
  <r>
    <s v="0929"/>
    <x v="476"/>
    <n v="14"/>
    <s v="Company N"/>
    <x v="5"/>
    <x v="1"/>
    <s v="New Mexico"/>
    <x v="3"/>
    <n v="159"/>
    <n v="5"/>
    <n v="795"/>
    <n v="6"/>
  </r>
  <r>
    <s v="0933"/>
    <x v="477"/>
    <n v="10"/>
    <s v="Company J"/>
    <x v="1"/>
    <x v="1"/>
    <s v="California"/>
    <x v="3"/>
    <n v="159"/>
    <n v="6"/>
    <n v="954"/>
    <n v="4"/>
  </r>
  <r>
    <s v="0934"/>
    <x v="359"/>
    <n v="17"/>
    <s v="Company Q"/>
    <x v="0"/>
    <x v="0"/>
    <s v="Arizona"/>
    <x v="3"/>
    <n v="159"/>
    <n v="1"/>
    <n v="159"/>
    <n v="3"/>
  </r>
  <r>
    <s v="0941"/>
    <x v="122"/>
    <n v="20"/>
    <s v="Company T"/>
    <x v="6"/>
    <x v="0"/>
    <s v="Arizona"/>
    <x v="3"/>
    <n v="159"/>
    <n v="5"/>
    <n v="795"/>
    <n v="5"/>
  </r>
  <r>
    <s v="0943"/>
    <x v="122"/>
    <n v="6"/>
    <s v="Company F"/>
    <x v="7"/>
    <x v="3"/>
    <s v="California"/>
    <x v="3"/>
    <n v="159"/>
    <n v="6"/>
    <n v="954"/>
    <n v="8"/>
  </r>
  <r>
    <s v="0956"/>
    <x v="126"/>
    <n v="6"/>
    <s v="Company F"/>
    <x v="7"/>
    <x v="3"/>
    <s v="California"/>
    <x v="3"/>
    <n v="159"/>
    <n v="4"/>
    <n v="636"/>
    <n v="8"/>
  </r>
  <r>
    <s v="0963"/>
    <x v="126"/>
    <n v="14"/>
    <s v="Company N"/>
    <x v="3"/>
    <x v="2"/>
    <s v="New Mexico"/>
    <x v="3"/>
    <n v="159"/>
    <n v="1"/>
    <n v="159"/>
    <n v="5"/>
  </r>
  <r>
    <s v="0966"/>
    <x v="126"/>
    <n v="18"/>
    <s v="Company R"/>
    <x v="0"/>
    <x v="0"/>
    <s v="Arizona"/>
    <x v="3"/>
    <n v="159"/>
    <n v="7"/>
    <n v="1113"/>
    <n v="3"/>
  </r>
  <r>
    <s v="0969"/>
    <x v="127"/>
    <n v="7"/>
    <s v="Company G"/>
    <x v="1"/>
    <x v="1"/>
    <s v="California"/>
    <x v="3"/>
    <n v="159"/>
    <n v="1"/>
    <n v="159"/>
    <n v="4"/>
  </r>
  <r>
    <s v="0972"/>
    <x v="561"/>
    <n v="19"/>
    <s v="Company S"/>
    <x v="6"/>
    <x v="0"/>
    <s v="Arizona"/>
    <x v="3"/>
    <n v="159"/>
    <n v="4"/>
    <n v="636"/>
    <n v="5"/>
  </r>
  <r>
    <s v="0975"/>
    <x v="562"/>
    <n v="13"/>
    <s v="Company M"/>
    <x v="5"/>
    <x v="1"/>
    <s v="New Mexico"/>
    <x v="3"/>
    <n v="159"/>
    <n v="2"/>
    <n v="318"/>
    <n v="6"/>
  </r>
  <r>
    <s v="0978"/>
    <x v="563"/>
    <n v="20"/>
    <s v="Company T"/>
    <x v="6"/>
    <x v="0"/>
    <s v="Arizona"/>
    <x v="3"/>
    <n v="159"/>
    <n v="0"/>
    <n v="0"/>
    <n v="5"/>
  </r>
  <r>
    <s v="0985"/>
    <x v="131"/>
    <n v="10"/>
    <s v="Company J"/>
    <x v="7"/>
    <x v="3"/>
    <s v="California"/>
    <x v="3"/>
    <n v="159"/>
    <n v="9"/>
    <n v="1431"/>
    <n v="8"/>
  </r>
  <r>
    <s v="0986"/>
    <x v="131"/>
    <n v="9"/>
    <s v="Company I"/>
    <x v="1"/>
    <x v="1"/>
    <s v="California"/>
    <x v="3"/>
    <n v="159"/>
    <n v="7"/>
    <n v="1113"/>
    <n v="4"/>
  </r>
  <r>
    <s v="0989"/>
    <x v="132"/>
    <n v="4"/>
    <s v="Company D"/>
    <x v="2"/>
    <x v="0"/>
    <s v="Texas"/>
    <x v="3"/>
    <n v="159"/>
    <n v="9"/>
    <n v="1431"/>
    <n v="2"/>
  </r>
  <r>
    <s v="0994"/>
    <x v="133"/>
    <n v="5"/>
    <s v="Company E"/>
    <x v="2"/>
    <x v="0"/>
    <s v="Texas"/>
    <x v="3"/>
    <n v="159"/>
    <n v="4"/>
    <n v="636"/>
    <n v="2"/>
  </r>
  <r>
    <s v="1003"/>
    <x v="360"/>
    <n v="10"/>
    <s v="Company J"/>
    <x v="1"/>
    <x v="1"/>
    <s v="California"/>
    <x v="3"/>
    <n v="159"/>
    <n v="4"/>
    <n v="636"/>
    <n v="4"/>
  </r>
  <r>
    <s v="1006"/>
    <x v="360"/>
    <n v="19"/>
    <s v="Company S"/>
    <x v="6"/>
    <x v="0"/>
    <s v="Arizona"/>
    <x v="3"/>
    <n v="159"/>
    <n v="2"/>
    <n v="318"/>
    <n v="5"/>
  </r>
  <r>
    <s v="1022"/>
    <x v="138"/>
    <n v="1"/>
    <s v="Company A"/>
    <x v="4"/>
    <x v="2"/>
    <s v="Texas"/>
    <x v="3"/>
    <n v="159"/>
    <n v="6"/>
    <n v="954"/>
    <n v="2"/>
  </r>
  <r>
    <s v="1026"/>
    <x v="138"/>
    <n v="8"/>
    <s v="Company H"/>
    <x v="7"/>
    <x v="3"/>
    <s v="California"/>
    <x v="3"/>
    <n v="159"/>
    <n v="6"/>
    <n v="954"/>
    <n v="8"/>
  </r>
  <r>
    <s v="1028"/>
    <x v="138"/>
    <n v="20"/>
    <s v="Company T"/>
    <x v="6"/>
    <x v="0"/>
    <s v="Arizona"/>
    <x v="3"/>
    <n v="159"/>
    <n v="0"/>
    <n v="0"/>
    <n v="5"/>
  </r>
  <r>
    <s v="1041"/>
    <x v="140"/>
    <n v="18"/>
    <s v="Company R"/>
    <x v="0"/>
    <x v="0"/>
    <s v="Arizona"/>
    <x v="3"/>
    <n v="159"/>
    <n v="2"/>
    <n v="318"/>
    <n v="3"/>
  </r>
  <r>
    <s v="1054"/>
    <x v="363"/>
    <n v="6"/>
    <s v="Company F"/>
    <x v="1"/>
    <x v="1"/>
    <s v="California"/>
    <x v="3"/>
    <n v="159"/>
    <n v="2"/>
    <n v="318"/>
    <n v="4"/>
  </r>
  <r>
    <s v="1060"/>
    <x v="564"/>
    <n v="2"/>
    <s v="Company B"/>
    <x v="2"/>
    <x v="0"/>
    <s v="Texas"/>
    <x v="3"/>
    <n v="159"/>
    <n v="1"/>
    <n v="159"/>
    <n v="2"/>
  </r>
  <r>
    <s v="1082"/>
    <x v="148"/>
    <n v="16"/>
    <s v="Company P"/>
    <x v="6"/>
    <x v="0"/>
    <s v="Arizona"/>
    <x v="3"/>
    <n v="159"/>
    <n v="0"/>
    <n v="0"/>
    <n v="5"/>
  </r>
  <r>
    <s v="1088"/>
    <x v="148"/>
    <n v="11"/>
    <s v="Company K"/>
    <x v="5"/>
    <x v="1"/>
    <s v="New Mexico"/>
    <x v="3"/>
    <n v="159"/>
    <n v="3"/>
    <n v="477"/>
    <n v="6"/>
  </r>
  <r>
    <s v="1093"/>
    <x v="372"/>
    <n v="18"/>
    <s v="Company R"/>
    <x v="6"/>
    <x v="0"/>
    <s v="Arizona"/>
    <x v="3"/>
    <n v="159"/>
    <n v="4"/>
    <n v="636"/>
    <n v="5"/>
  </r>
  <r>
    <s v="1100"/>
    <x v="150"/>
    <n v="8"/>
    <s v="Company H"/>
    <x v="1"/>
    <x v="1"/>
    <s v="California"/>
    <x v="3"/>
    <n v="159"/>
    <n v="3"/>
    <n v="477"/>
    <n v="4"/>
  </r>
  <r>
    <s v="1105"/>
    <x v="150"/>
    <n v="12"/>
    <s v="Company L"/>
    <x v="3"/>
    <x v="2"/>
    <s v="New Mexico"/>
    <x v="3"/>
    <n v="159"/>
    <n v="7"/>
    <n v="1113"/>
    <n v="5"/>
  </r>
  <r>
    <s v="1109"/>
    <x v="565"/>
    <n v="11"/>
    <s v="Company K"/>
    <x v="3"/>
    <x v="2"/>
    <s v="New Mexico"/>
    <x v="3"/>
    <n v="159"/>
    <n v="2"/>
    <n v="318"/>
    <n v="5"/>
  </r>
  <r>
    <s v="1110"/>
    <x v="565"/>
    <n v="10"/>
    <s v="Company J"/>
    <x v="1"/>
    <x v="1"/>
    <s v="California"/>
    <x v="3"/>
    <n v="159"/>
    <n v="9"/>
    <n v="1431"/>
    <n v="4"/>
  </r>
  <r>
    <s v="1116"/>
    <x v="151"/>
    <n v="14"/>
    <s v="Company N"/>
    <x v="3"/>
    <x v="2"/>
    <s v="New Mexico"/>
    <x v="3"/>
    <n v="159"/>
    <n v="9"/>
    <n v="1431"/>
    <n v="5"/>
  </r>
  <r>
    <s v="1120"/>
    <x v="566"/>
    <n v="1"/>
    <s v="Company A"/>
    <x v="4"/>
    <x v="2"/>
    <s v="Texas"/>
    <x v="3"/>
    <n v="159"/>
    <n v="8"/>
    <n v="1272"/>
    <n v="2"/>
  </r>
  <r>
    <s v="1122"/>
    <x v="373"/>
    <n v="6"/>
    <s v="Company F"/>
    <x v="1"/>
    <x v="1"/>
    <s v="California"/>
    <x v="3"/>
    <n v="159"/>
    <n v="2"/>
    <n v="318"/>
    <n v="4"/>
  </r>
  <r>
    <s v="1123"/>
    <x v="373"/>
    <n v="9"/>
    <s v="Company I"/>
    <x v="7"/>
    <x v="3"/>
    <s v="California"/>
    <x v="3"/>
    <n v="159"/>
    <n v="9"/>
    <n v="1431"/>
    <n v="8"/>
  </r>
  <r>
    <s v="1124"/>
    <x v="373"/>
    <n v="14"/>
    <s v="Company N"/>
    <x v="3"/>
    <x v="2"/>
    <s v="New Mexico"/>
    <x v="3"/>
    <n v="159"/>
    <n v="2"/>
    <n v="318"/>
    <n v="5"/>
  </r>
  <r>
    <s v="1129"/>
    <x v="153"/>
    <n v="13"/>
    <s v="Company M"/>
    <x v="3"/>
    <x v="2"/>
    <s v="New Mexico"/>
    <x v="3"/>
    <n v="159"/>
    <n v="2"/>
    <n v="318"/>
    <n v="5"/>
  </r>
  <r>
    <s v="1134"/>
    <x v="374"/>
    <n v="12"/>
    <s v="Company L"/>
    <x v="5"/>
    <x v="1"/>
    <s v="New Mexico"/>
    <x v="3"/>
    <n v="159"/>
    <n v="5"/>
    <n v="795"/>
    <n v="6"/>
  </r>
  <r>
    <s v="1136"/>
    <x v="374"/>
    <n v="16"/>
    <s v="Company P"/>
    <x v="6"/>
    <x v="0"/>
    <s v="Arizona"/>
    <x v="3"/>
    <n v="159"/>
    <n v="4"/>
    <n v="636"/>
    <n v="5"/>
  </r>
  <r>
    <s v="1138"/>
    <x v="374"/>
    <n v="14"/>
    <s v="Company N"/>
    <x v="3"/>
    <x v="2"/>
    <s v="New Mexico"/>
    <x v="3"/>
    <n v="159"/>
    <n v="0"/>
    <n v="0"/>
    <n v="5"/>
  </r>
  <r>
    <s v="1140"/>
    <x v="154"/>
    <n v="6"/>
    <s v="Company F"/>
    <x v="1"/>
    <x v="1"/>
    <s v="California"/>
    <x v="3"/>
    <n v="159"/>
    <n v="1"/>
    <n v="159"/>
    <n v="4"/>
  </r>
  <r>
    <s v="1141"/>
    <x v="154"/>
    <n v="15"/>
    <s v="Company O"/>
    <x v="3"/>
    <x v="2"/>
    <s v="New Mexico"/>
    <x v="3"/>
    <n v="159"/>
    <n v="0"/>
    <n v="0"/>
    <n v="5"/>
  </r>
  <r>
    <s v="1149"/>
    <x v="490"/>
    <n v="10"/>
    <s v="Company J"/>
    <x v="7"/>
    <x v="3"/>
    <s v="California"/>
    <x v="3"/>
    <n v="159"/>
    <n v="7"/>
    <n v="1113"/>
    <n v="8"/>
  </r>
  <r>
    <s v="1150"/>
    <x v="490"/>
    <n v="5"/>
    <s v="Company E"/>
    <x v="4"/>
    <x v="2"/>
    <s v="Texas"/>
    <x v="3"/>
    <n v="159"/>
    <n v="0"/>
    <n v="0"/>
    <n v="2"/>
  </r>
  <r>
    <s v="1153"/>
    <x v="567"/>
    <n v="20"/>
    <s v="Company T"/>
    <x v="0"/>
    <x v="0"/>
    <s v="Arizona"/>
    <x v="3"/>
    <n v="159"/>
    <n v="2"/>
    <n v="318"/>
    <n v="3"/>
  </r>
  <r>
    <s v="1159"/>
    <x v="378"/>
    <n v="7"/>
    <s v="Company G"/>
    <x v="1"/>
    <x v="1"/>
    <s v="California"/>
    <x v="3"/>
    <n v="159"/>
    <n v="1"/>
    <n v="159"/>
    <n v="4"/>
  </r>
  <r>
    <s v="1168"/>
    <x v="568"/>
    <n v="3"/>
    <s v="Company C"/>
    <x v="4"/>
    <x v="2"/>
    <s v="Texas"/>
    <x v="3"/>
    <n v="159"/>
    <n v="6"/>
    <n v="954"/>
    <n v="2"/>
  </r>
  <r>
    <s v="1170"/>
    <x v="569"/>
    <n v="3"/>
    <s v="Company C"/>
    <x v="4"/>
    <x v="2"/>
    <s v="Texas"/>
    <x v="3"/>
    <n v="159"/>
    <n v="0"/>
    <n v="0"/>
    <n v="2"/>
  </r>
  <r>
    <s v="1172"/>
    <x v="491"/>
    <n v="11"/>
    <s v="Company K"/>
    <x v="5"/>
    <x v="1"/>
    <s v="New Mexico"/>
    <x v="3"/>
    <n v="159"/>
    <n v="4"/>
    <n v="636"/>
    <n v="6"/>
  </r>
  <r>
    <s v="1185"/>
    <x v="159"/>
    <n v="13"/>
    <s v="Company M"/>
    <x v="3"/>
    <x v="2"/>
    <s v="New Mexico"/>
    <x v="3"/>
    <n v="159"/>
    <n v="0"/>
    <n v="0"/>
    <n v="5"/>
  </r>
  <r>
    <s v="1186"/>
    <x v="159"/>
    <n v="3"/>
    <s v="Company C"/>
    <x v="4"/>
    <x v="2"/>
    <s v="Texas"/>
    <x v="3"/>
    <n v="159"/>
    <n v="4"/>
    <n v="636"/>
    <n v="2"/>
  </r>
  <r>
    <s v="1188"/>
    <x v="159"/>
    <n v="8"/>
    <s v="Company H"/>
    <x v="7"/>
    <x v="3"/>
    <s v="California"/>
    <x v="3"/>
    <n v="159"/>
    <n v="6"/>
    <n v="954"/>
    <n v="8"/>
  </r>
  <r>
    <s v="1192"/>
    <x v="160"/>
    <n v="10"/>
    <s v="Company J"/>
    <x v="1"/>
    <x v="1"/>
    <s v="California"/>
    <x v="3"/>
    <n v="159"/>
    <n v="3"/>
    <n v="477"/>
    <n v="4"/>
  </r>
  <r>
    <s v="1207"/>
    <x v="161"/>
    <n v="10"/>
    <s v="Company J"/>
    <x v="1"/>
    <x v="1"/>
    <s v="California"/>
    <x v="3"/>
    <n v="159"/>
    <n v="3"/>
    <n v="477"/>
    <n v="4"/>
  </r>
  <r>
    <s v="1211"/>
    <x v="570"/>
    <n v="9"/>
    <s v="Company I"/>
    <x v="1"/>
    <x v="1"/>
    <s v="California"/>
    <x v="3"/>
    <n v="159"/>
    <n v="7"/>
    <n v="1113"/>
    <n v="4"/>
  </r>
  <r>
    <s v="1212"/>
    <x v="571"/>
    <n v="14"/>
    <s v="Company N"/>
    <x v="3"/>
    <x v="2"/>
    <s v="New Mexico"/>
    <x v="3"/>
    <n v="159"/>
    <n v="1"/>
    <n v="159"/>
    <n v="5"/>
  </r>
  <r>
    <s v="1216"/>
    <x v="381"/>
    <n v="10"/>
    <s v="Company J"/>
    <x v="1"/>
    <x v="1"/>
    <s v="California"/>
    <x v="3"/>
    <n v="159"/>
    <n v="1"/>
    <n v="159"/>
    <n v="4"/>
  </r>
  <r>
    <s v="1217"/>
    <x v="381"/>
    <n v="4"/>
    <s v="Company D"/>
    <x v="4"/>
    <x v="2"/>
    <s v="Texas"/>
    <x v="3"/>
    <n v="159"/>
    <n v="4"/>
    <n v="636"/>
    <n v="2"/>
  </r>
  <r>
    <s v="1221"/>
    <x v="572"/>
    <n v="10"/>
    <s v="Company J"/>
    <x v="1"/>
    <x v="1"/>
    <s v="California"/>
    <x v="3"/>
    <n v="159"/>
    <n v="6"/>
    <n v="954"/>
    <n v="4"/>
  </r>
  <r>
    <s v="1222"/>
    <x v="573"/>
    <n v="8"/>
    <s v="Company H"/>
    <x v="7"/>
    <x v="3"/>
    <s v="California"/>
    <x v="3"/>
    <n v="159"/>
    <n v="4"/>
    <n v="636"/>
    <n v="8"/>
  </r>
  <r>
    <s v="1232"/>
    <x v="165"/>
    <n v="4"/>
    <s v="Company D"/>
    <x v="2"/>
    <x v="0"/>
    <s v="Texas"/>
    <x v="3"/>
    <n v="159"/>
    <n v="7"/>
    <n v="1113"/>
    <n v="2"/>
  </r>
  <r>
    <s v="1234"/>
    <x v="384"/>
    <n v="9"/>
    <s v="Company I"/>
    <x v="1"/>
    <x v="1"/>
    <s v="California"/>
    <x v="3"/>
    <n v="159"/>
    <n v="3"/>
    <n v="477"/>
    <n v="4"/>
  </r>
  <r>
    <s v="1236"/>
    <x v="574"/>
    <n v="3"/>
    <s v="Company C"/>
    <x v="4"/>
    <x v="2"/>
    <s v="Texas"/>
    <x v="3"/>
    <n v="159"/>
    <n v="9"/>
    <n v="1431"/>
    <n v="2"/>
  </r>
  <r>
    <s v="1247"/>
    <x v="167"/>
    <n v="12"/>
    <s v="Company L"/>
    <x v="3"/>
    <x v="2"/>
    <s v="New Mexico"/>
    <x v="3"/>
    <n v="159"/>
    <n v="2"/>
    <n v="318"/>
    <n v="5"/>
  </r>
  <r>
    <s v="1253"/>
    <x v="388"/>
    <n v="12"/>
    <s v="Company L"/>
    <x v="5"/>
    <x v="1"/>
    <s v="New Mexico"/>
    <x v="3"/>
    <n v="159"/>
    <n v="2"/>
    <n v="318"/>
    <n v="6"/>
  </r>
  <r>
    <s v="1257"/>
    <x v="575"/>
    <n v="14"/>
    <s v="Company N"/>
    <x v="5"/>
    <x v="1"/>
    <s v="New Mexico"/>
    <x v="3"/>
    <n v="159"/>
    <n v="8"/>
    <n v="1272"/>
    <n v="6"/>
  </r>
  <r>
    <s v="1262"/>
    <x v="495"/>
    <n v="13"/>
    <s v="Company M"/>
    <x v="5"/>
    <x v="1"/>
    <s v="New Mexico"/>
    <x v="3"/>
    <n v="159"/>
    <n v="8"/>
    <n v="1272"/>
    <n v="6"/>
  </r>
  <r>
    <s v="1265"/>
    <x v="496"/>
    <n v="13"/>
    <s v="Company M"/>
    <x v="3"/>
    <x v="2"/>
    <s v="New Mexico"/>
    <x v="3"/>
    <n v="159"/>
    <n v="3"/>
    <n v="477"/>
    <n v="5"/>
  </r>
  <r>
    <s v="1293"/>
    <x v="391"/>
    <n v="9"/>
    <s v="Company I"/>
    <x v="1"/>
    <x v="1"/>
    <s v="California"/>
    <x v="3"/>
    <n v="159"/>
    <n v="2"/>
    <n v="318"/>
    <n v="4"/>
  </r>
  <r>
    <s v="1312"/>
    <x v="179"/>
    <n v="13"/>
    <s v="Company M"/>
    <x v="5"/>
    <x v="1"/>
    <s v="New Mexico"/>
    <x v="3"/>
    <n v="159"/>
    <n v="5"/>
    <n v="795"/>
    <n v="6"/>
  </r>
  <r>
    <s v="1313"/>
    <x v="179"/>
    <n v="8"/>
    <s v="Company H"/>
    <x v="7"/>
    <x v="3"/>
    <s v="California"/>
    <x v="3"/>
    <n v="159"/>
    <n v="8"/>
    <n v="1272"/>
    <n v="8"/>
  </r>
  <r>
    <s v="1324"/>
    <x v="181"/>
    <n v="17"/>
    <s v="Company Q"/>
    <x v="0"/>
    <x v="0"/>
    <s v="Arizona"/>
    <x v="3"/>
    <n v="159"/>
    <n v="9"/>
    <n v="1431"/>
    <n v="3"/>
  </r>
  <r>
    <s v="1326"/>
    <x v="181"/>
    <n v="8"/>
    <s v="Company H"/>
    <x v="1"/>
    <x v="1"/>
    <s v="California"/>
    <x v="3"/>
    <n v="159"/>
    <n v="5"/>
    <n v="795"/>
    <n v="4"/>
  </r>
  <r>
    <s v="1328"/>
    <x v="182"/>
    <n v="1"/>
    <s v="Company A"/>
    <x v="4"/>
    <x v="2"/>
    <s v="Texas"/>
    <x v="3"/>
    <n v="159"/>
    <n v="6"/>
    <n v="954"/>
    <n v="2"/>
  </r>
  <r>
    <s v="1336"/>
    <x v="576"/>
    <n v="8"/>
    <s v="Company H"/>
    <x v="1"/>
    <x v="1"/>
    <s v="California"/>
    <x v="3"/>
    <n v="159"/>
    <n v="8"/>
    <n v="1272"/>
    <n v="4"/>
  </r>
  <r>
    <s v="1337"/>
    <x v="576"/>
    <n v="19"/>
    <s v="Company S"/>
    <x v="6"/>
    <x v="0"/>
    <s v="Arizona"/>
    <x v="3"/>
    <n v="159"/>
    <n v="5"/>
    <n v="795"/>
    <n v="5"/>
  </r>
  <r>
    <s v="1341"/>
    <x v="184"/>
    <n v="12"/>
    <s v="Company L"/>
    <x v="3"/>
    <x v="2"/>
    <s v="New Mexico"/>
    <x v="3"/>
    <n v="159"/>
    <n v="0"/>
    <n v="0"/>
    <n v="5"/>
  </r>
  <r>
    <s v="1345"/>
    <x v="184"/>
    <n v="8"/>
    <s v="Company H"/>
    <x v="1"/>
    <x v="1"/>
    <s v="California"/>
    <x v="3"/>
    <n v="159"/>
    <n v="2"/>
    <n v="318"/>
    <n v="4"/>
  </r>
  <r>
    <s v="1347"/>
    <x v="499"/>
    <n v="14"/>
    <s v="Company N"/>
    <x v="3"/>
    <x v="2"/>
    <s v="New Mexico"/>
    <x v="3"/>
    <n v="159"/>
    <n v="1"/>
    <n v="159"/>
    <n v="5"/>
  </r>
  <r>
    <s v="1364"/>
    <x v="186"/>
    <n v="15"/>
    <s v="Company O"/>
    <x v="3"/>
    <x v="2"/>
    <s v="New Mexico"/>
    <x v="3"/>
    <n v="159"/>
    <n v="9"/>
    <n v="1431"/>
    <n v="5"/>
  </r>
  <r>
    <s v="1366"/>
    <x v="186"/>
    <n v="18"/>
    <s v="Company R"/>
    <x v="0"/>
    <x v="0"/>
    <s v="Arizona"/>
    <x v="3"/>
    <n v="159"/>
    <n v="1"/>
    <n v="159"/>
    <n v="3"/>
  </r>
  <r>
    <s v="1372"/>
    <x v="577"/>
    <n v="4"/>
    <s v="Company D"/>
    <x v="2"/>
    <x v="0"/>
    <s v="Texas"/>
    <x v="3"/>
    <n v="159"/>
    <n v="2"/>
    <n v="318"/>
    <n v="2"/>
  </r>
  <r>
    <s v="1375"/>
    <x v="189"/>
    <n v="4"/>
    <s v="Company D"/>
    <x v="4"/>
    <x v="2"/>
    <s v="Texas"/>
    <x v="3"/>
    <n v="159"/>
    <n v="5"/>
    <n v="795"/>
    <n v="2"/>
  </r>
  <r>
    <s v="1377"/>
    <x v="189"/>
    <n v="14"/>
    <s v="Company N"/>
    <x v="3"/>
    <x v="2"/>
    <s v="New Mexico"/>
    <x v="3"/>
    <n v="159"/>
    <n v="6"/>
    <n v="954"/>
    <n v="5"/>
  </r>
  <r>
    <s v="1380"/>
    <x v="189"/>
    <n v="11"/>
    <s v="Company K"/>
    <x v="5"/>
    <x v="1"/>
    <s v="New Mexico"/>
    <x v="3"/>
    <n v="159"/>
    <n v="4"/>
    <n v="636"/>
    <n v="6"/>
  </r>
  <r>
    <s v="1381"/>
    <x v="578"/>
    <n v="11"/>
    <s v="Company K"/>
    <x v="5"/>
    <x v="1"/>
    <s v="New Mexico"/>
    <x v="3"/>
    <n v="159"/>
    <n v="9"/>
    <n v="1431"/>
    <n v="6"/>
  </r>
  <r>
    <s v="1387"/>
    <x v="190"/>
    <n v="18"/>
    <s v="Company R"/>
    <x v="6"/>
    <x v="0"/>
    <s v="Arizona"/>
    <x v="3"/>
    <n v="159"/>
    <n v="8"/>
    <n v="1272"/>
    <n v="5"/>
  </r>
  <r>
    <s v="1390"/>
    <x v="190"/>
    <n v="4"/>
    <s v="Company D"/>
    <x v="2"/>
    <x v="0"/>
    <s v="Texas"/>
    <x v="3"/>
    <n v="159"/>
    <n v="3"/>
    <n v="477"/>
    <n v="2"/>
  </r>
  <r>
    <s v="1392"/>
    <x v="394"/>
    <n v="15"/>
    <s v="Company O"/>
    <x v="5"/>
    <x v="1"/>
    <s v="New Mexico"/>
    <x v="3"/>
    <n v="159"/>
    <n v="5"/>
    <n v="795"/>
    <n v="6"/>
  </r>
  <r>
    <s v="1397"/>
    <x v="192"/>
    <n v="2"/>
    <s v="Company B"/>
    <x v="2"/>
    <x v="0"/>
    <s v="Texas"/>
    <x v="3"/>
    <n v="159"/>
    <n v="5"/>
    <n v="795"/>
    <n v="2"/>
  </r>
  <r>
    <s v="1406"/>
    <x v="192"/>
    <n v="15"/>
    <s v="Company O"/>
    <x v="5"/>
    <x v="1"/>
    <s v="New Mexico"/>
    <x v="3"/>
    <n v="159"/>
    <n v="7"/>
    <n v="1113"/>
    <n v="6"/>
  </r>
  <r>
    <s v="1415"/>
    <x v="195"/>
    <n v="17"/>
    <s v="Company Q"/>
    <x v="0"/>
    <x v="0"/>
    <s v="Arizona"/>
    <x v="3"/>
    <n v="159"/>
    <n v="7"/>
    <n v="1113"/>
    <n v="3"/>
  </r>
  <r>
    <s v="1419"/>
    <x v="502"/>
    <n v="18"/>
    <s v="Company R"/>
    <x v="0"/>
    <x v="0"/>
    <s v="Arizona"/>
    <x v="3"/>
    <n v="159"/>
    <n v="0"/>
    <n v="0"/>
    <n v="3"/>
  </r>
  <r>
    <s v="1425"/>
    <x v="197"/>
    <n v="19"/>
    <s v="Company S"/>
    <x v="0"/>
    <x v="0"/>
    <s v="Arizona"/>
    <x v="3"/>
    <n v="159"/>
    <n v="6"/>
    <n v="954"/>
    <n v="3"/>
  </r>
  <r>
    <s v="1432"/>
    <x v="579"/>
    <n v="12"/>
    <s v="Company L"/>
    <x v="3"/>
    <x v="2"/>
    <s v="New Mexico"/>
    <x v="3"/>
    <n v="159"/>
    <n v="8"/>
    <n v="1272"/>
    <n v="5"/>
  </r>
  <r>
    <s v="1434"/>
    <x v="397"/>
    <n v="8"/>
    <s v="Company H"/>
    <x v="7"/>
    <x v="3"/>
    <s v="California"/>
    <x v="3"/>
    <n v="159"/>
    <n v="4"/>
    <n v="636"/>
    <n v="8"/>
  </r>
  <r>
    <s v="1448"/>
    <x v="200"/>
    <n v="15"/>
    <s v="Company O"/>
    <x v="3"/>
    <x v="2"/>
    <s v="New Mexico"/>
    <x v="3"/>
    <n v="159"/>
    <n v="7"/>
    <n v="1113"/>
    <n v="5"/>
  </r>
  <r>
    <s v="1449"/>
    <x v="200"/>
    <n v="20"/>
    <s v="Company T"/>
    <x v="0"/>
    <x v="0"/>
    <s v="Arizona"/>
    <x v="3"/>
    <n v="159"/>
    <n v="9"/>
    <n v="1431"/>
    <n v="3"/>
  </r>
  <r>
    <s v="1451"/>
    <x v="580"/>
    <n v="12"/>
    <s v="Company L"/>
    <x v="3"/>
    <x v="2"/>
    <s v="New Mexico"/>
    <x v="3"/>
    <n v="159"/>
    <n v="9"/>
    <n v="1431"/>
    <n v="5"/>
  </r>
  <r>
    <s v="1455"/>
    <x v="201"/>
    <n v="5"/>
    <s v="Company E"/>
    <x v="2"/>
    <x v="0"/>
    <s v="Texas"/>
    <x v="3"/>
    <n v="159"/>
    <n v="7"/>
    <n v="1113"/>
    <n v="2"/>
  </r>
  <r>
    <s v="1461"/>
    <x v="504"/>
    <n v="16"/>
    <s v="Company P"/>
    <x v="6"/>
    <x v="0"/>
    <s v="Arizona"/>
    <x v="3"/>
    <n v="159"/>
    <n v="8"/>
    <n v="1272"/>
    <n v="5"/>
  </r>
  <r>
    <s v="1474"/>
    <x v="205"/>
    <n v="15"/>
    <s v="Company O"/>
    <x v="3"/>
    <x v="2"/>
    <s v="New Mexico"/>
    <x v="3"/>
    <n v="159"/>
    <n v="8"/>
    <n v="1272"/>
    <n v="5"/>
  </r>
  <r>
    <s v="1476"/>
    <x v="206"/>
    <n v="19"/>
    <s v="Company S"/>
    <x v="6"/>
    <x v="0"/>
    <s v="Arizona"/>
    <x v="3"/>
    <n v="159"/>
    <n v="9"/>
    <n v="1431"/>
    <n v="5"/>
  </r>
  <r>
    <s v="1481"/>
    <x v="207"/>
    <n v="18"/>
    <s v="Company R"/>
    <x v="0"/>
    <x v="0"/>
    <s v="Arizona"/>
    <x v="3"/>
    <n v="159"/>
    <n v="8"/>
    <n v="1272"/>
    <n v="3"/>
  </r>
  <r>
    <s v="1487"/>
    <x v="581"/>
    <n v="11"/>
    <s v="Company K"/>
    <x v="5"/>
    <x v="1"/>
    <s v="New Mexico"/>
    <x v="3"/>
    <n v="159"/>
    <n v="6"/>
    <n v="954"/>
    <n v="6"/>
  </r>
  <r>
    <s v="1495"/>
    <x v="209"/>
    <n v="7"/>
    <s v="Company G"/>
    <x v="1"/>
    <x v="1"/>
    <s v="California"/>
    <x v="3"/>
    <n v="159"/>
    <n v="5"/>
    <n v="795"/>
    <n v="4"/>
  </r>
  <r>
    <s v="1499"/>
    <x v="404"/>
    <n v="18"/>
    <s v="Company R"/>
    <x v="0"/>
    <x v="0"/>
    <s v="Arizona"/>
    <x v="3"/>
    <n v="159"/>
    <n v="1"/>
    <n v="159"/>
    <n v="3"/>
  </r>
  <r>
    <s v="1502"/>
    <x v="582"/>
    <n v="7"/>
    <s v="Company G"/>
    <x v="7"/>
    <x v="3"/>
    <s v="California"/>
    <x v="3"/>
    <n v="159"/>
    <n v="7"/>
    <n v="1113"/>
    <n v="8"/>
  </r>
  <r>
    <s v="1513"/>
    <x v="211"/>
    <n v="4"/>
    <s v="Company D"/>
    <x v="2"/>
    <x v="0"/>
    <s v="Texas"/>
    <x v="3"/>
    <n v="159"/>
    <n v="3"/>
    <n v="477"/>
    <n v="2"/>
  </r>
  <r>
    <s v="1516"/>
    <x v="211"/>
    <n v="1"/>
    <s v="Company A"/>
    <x v="2"/>
    <x v="0"/>
    <s v="Texas"/>
    <x v="3"/>
    <n v="159"/>
    <n v="0"/>
    <n v="0"/>
    <n v="2"/>
  </r>
  <r>
    <s v="1520"/>
    <x v="212"/>
    <n v="12"/>
    <s v="Company L"/>
    <x v="5"/>
    <x v="1"/>
    <s v="New Mexico"/>
    <x v="3"/>
    <n v="159"/>
    <n v="4"/>
    <n v="636"/>
    <n v="6"/>
  </r>
  <r>
    <s v="1523"/>
    <x v="213"/>
    <n v="11"/>
    <s v="Company K"/>
    <x v="3"/>
    <x v="2"/>
    <s v="New Mexico"/>
    <x v="3"/>
    <n v="159"/>
    <n v="3"/>
    <n v="477"/>
    <n v="5"/>
  </r>
  <r>
    <s v="1524"/>
    <x v="213"/>
    <n v="14"/>
    <s v="Company N"/>
    <x v="5"/>
    <x v="1"/>
    <s v="New Mexico"/>
    <x v="3"/>
    <n v="159"/>
    <n v="1"/>
    <n v="159"/>
    <n v="6"/>
  </r>
  <r>
    <s v="1527"/>
    <x v="213"/>
    <n v="16"/>
    <s v="Company P"/>
    <x v="6"/>
    <x v="0"/>
    <s v="Arizona"/>
    <x v="3"/>
    <n v="159"/>
    <n v="7"/>
    <n v="1113"/>
    <n v="5"/>
  </r>
  <r>
    <s v="1528"/>
    <x v="213"/>
    <n v="13"/>
    <s v="Company M"/>
    <x v="5"/>
    <x v="1"/>
    <s v="New Mexico"/>
    <x v="3"/>
    <n v="159"/>
    <n v="3"/>
    <n v="477"/>
    <n v="6"/>
  </r>
  <r>
    <s v="1536"/>
    <x v="214"/>
    <n v="19"/>
    <s v="Company S"/>
    <x v="6"/>
    <x v="0"/>
    <s v="Arizona"/>
    <x v="3"/>
    <n v="159"/>
    <n v="3"/>
    <n v="477"/>
    <n v="5"/>
  </r>
  <r>
    <s v="1540"/>
    <x v="408"/>
    <n v="9"/>
    <s v="Company I"/>
    <x v="1"/>
    <x v="1"/>
    <s v="California"/>
    <x v="3"/>
    <n v="159"/>
    <n v="6"/>
    <n v="954"/>
    <n v="4"/>
  </r>
  <r>
    <s v="1547"/>
    <x v="507"/>
    <n v="6"/>
    <s v="Company F"/>
    <x v="7"/>
    <x v="3"/>
    <s v="California"/>
    <x v="3"/>
    <n v="159"/>
    <n v="5"/>
    <n v="795"/>
    <n v="8"/>
  </r>
  <r>
    <s v="1548"/>
    <x v="507"/>
    <n v="14"/>
    <s v="Company N"/>
    <x v="3"/>
    <x v="2"/>
    <s v="New Mexico"/>
    <x v="3"/>
    <n v="159"/>
    <n v="8"/>
    <n v="1272"/>
    <n v="5"/>
  </r>
  <r>
    <s v="1562"/>
    <x v="220"/>
    <n v="1"/>
    <s v="Company A"/>
    <x v="2"/>
    <x v="0"/>
    <s v="Texas"/>
    <x v="3"/>
    <n v="159"/>
    <n v="4"/>
    <n v="636"/>
    <n v="2"/>
  </r>
  <r>
    <s v="1571"/>
    <x v="583"/>
    <n v="15"/>
    <s v="Company O"/>
    <x v="5"/>
    <x v="1"/>
    <s v="New Mexico"/>
    <x v="3"/>
    <n v="159"/>
    <n v="2"/>
    <n v="318"/>
    <n v="6"/>
  </r>
  <r>
    <s v="1573"/>
    <x v="222"/>
    <n v="5"/>
    <s v="Company E"/>
    <x v="2"/>
    <x v="0"/>
    <s v="Texas"/>
    <x v="3"/>
    <n v="159"/>
    <n v="3"/>
    <n v="477"/>
    <n v="2"/>
  </r>
  <r>
    <s v="1575"/>
    <x v="222"/>
    <n v="5"/>
    <s v="Company E"/>
    <x v="4"/>
    <x v="2"/>
    <s v="Texas"/>
    <x v="3"/>
    <n v="159"/>
    <n v="2"/>
    <n v="318"/>
    <n v="2"/>
  </r>
  <r>
    <s v="1585"/>
    <x v="412"/>
    <n v="10"/>
    <s v="Company J"/>
    <x v="7"/>
    <x v="3"/>
    <s v="California"/>
    <x v="3"/>
    <n v="159"/>
    <n v="6"/>
    <n v="954"/>
    <n v="8"/>
  </r>
  <r>
    <s v="1588"/>
    <x v="412"/>
    <n v="17"/>
    <s v="Company Q"/>
    <x v="0"/>
    <x v="0"/>
    <s v="Arizona"/>
    <x v="3"/>
    <n v="159"/>
    <n v="9"/>
    <n v="1431"/>
    <n v="3"/>
  </r>
  <r>
    <s v="1590"/>
    <x v="412"/>
    <n v="17"/>
    <s v="Company Q"/>
    <x v="0"/>
    <x v="0"/>
    <s v="Arizona"/>
    <x v="3"/>
    <n v="159"/>
    <n v="2"/>
    <n v="318"/>
    <n v="3"/>
  </r>
  <r>
    <s v="1592"/>
    <x v="412"/>
    <n v="16"/>
    <s v="Company P"/>
    <x v="6"/>
    <x v="0"/>
    <s v="Arizona"/>
    <x v="3"/>
    <n v="159"/>
    <n v="7"/>
    <n v="1113"/>
    <n v="5"/>
  </r>
  <r>
    <s v="1596"/>
    <x v="508"/>
    <n v="5"/>
    <s v="Company E"/>
    <x v="2"/>
    <x v="0"/>
    <s v="Texas"/>
    <x v="3"/>
    <n v="159"/>
    <n v="2"/>
    <n v="318"/>
    <n v="2"/>
  </r>
  <r>
    <s v="1598"/>
    <x v="508"/>
    <n v="19"/>
    <s v="Company S"/>
    <x v="0"/>
    <x v="0"/>
    <s v="Arizona"/>
    <x v="3"/>
    <n v="159"/>
    <n v="3"/>
    <n v="477"/>
    <n v="3"/>
  </r>
  <r>
    <s v="1599"/>
    <x v="508"/>
    <n v="5"/>
    <s v="Company E"/>
    <x v="4"/>
    <x v="2"/>
    <s v="Texas"/>
    <x v="3"/>
    <n v="159"/>
    <n v="9"/>
    <n v="1431"/>
    <n v="2"/>
  </r>
  <r>
    <s v="1605"/>
    <x v="224"/>
    <n v="6"/>
    <s v="Company F"/>
    <x v="1"/>
    <x v="1"/>
    <s v="California"/>
    <x v="3"/>
    <n v="159"/>
    <n v="5"/>
    <n v="795"/>
    <n v="4"/>
  </r>
  <r>
    <s v="1608"/>
    <x v="413"/>
    <n v="17"/>
    <s v="Company Q"/>
    <x v="0"/>
    <x v="0"/>
    <s v="Arizona"/>
    <x v="3"/>
    <n v="159"/>
    <n v="8"/>
    <n v="1272"/>
    <n v="3"/>
  </r>
  <r>
    <s v="1609"/>
    <x v="413"/>
    <n v="3"/>
    <s v="Company C"/>
    <x v="2"/>
    <x v="0"/>
    <s v="Texas"/>
    <x v="3"/>
    <n v="159"/>
    <n v="8"/>
    <n v="1272"/>
    <n v="2"/>
  </r>
  <r>
    <s v="1611"/>
    <x v="414"/>
    <n v="2"/>
    <s v="Company B"/>
    <x v="4"/>
    <x v="2"/>
    <s v="Texas"/>
    <x v="3"/>
    <n v="159"/>
    <n v="1"/>
    <n v="159"/>
    <n v="2"/>
  </r>
  <r>
    <s v="1612"/>
    <x v="414"/>
    <n v="10"/>
    <s v="Company J"/>
    <x v="1"/>
    <x v="1"/>
    <s v="California"/>
    <x v="3"/>
    <n v="159"/>
    <n v="2"/>
    <n v="318"/>
    <n v="4"/>
  </r>
  <r>
    <s v="1617"/>
    <x v="415"/>
    <n v="15"/>
    <s v="Company O"/>
    <x v="3"/>
    <x v="2"/>
    <s v="New Mexico"/>
    <x v="3"/>
    <n v="159"/>
    <n v="1"/>
    <n v="159"/>
    <n v="5"/>
  </r>
  <r>
    <s v="1619"/>
    <x v="584"/>
    <n v="20"/>
    <s v="Company T"/>
    <x v="0"/>
    <x v="0"/>
    <s v="Arizona"/>
    <x v="3"/>
    <n v="159"/>
    <n v="4"/>
    <n v="636"/>
    <n v="3"/>
  </r>
  <r>
    <s v="1621"/>
    <x v="225"/>
    <n v="4"/>
    <s v="Company D"/>
    <x v="4"/>
    <x v="2"/>
    <s v="Texas"/>
    <x v="3"/>
    <n v="159"/>
    <n v="2"/>
    <n v="318"/>
    <n v="2"/>
  </r>
  <r>
    <s v="1623"/>
    <x v="225"/>
    <n v="2"/>
    <s v="Company B"/>
    <x v="2"/>
    <x v="0"/>
    <s v="Texas"/>
    <x v="3"/>
    <n v="159"/>
    <n v="1"/>
    <n v="159"/>
    <n v="2"/>
  </r>
  <r>
    <s v="1628"/>
    <x v="226"/>
    <n v="17"/>
    <s v="Company Q"/>
    <x v="0"/>
    <x v="0"/>
    <s v="Arizona"/>
    <x v="3"/>
    <n v="159"/>
    <n v="7"/>
    <n v="1113"/>
    <n v="3"/>
  </r>
  <r>
    <s v="1630"/>
    <x v="226"/>
    <n v="4"/>
    <s v="Company D"/>
    <x v="2"/>
    <x v="0"/>
    <s v="Texas"/>
    <x v="3"/>
    <n v="159"/>
    <n v="4"/>
    <n v="636"/>
    <n v="2"/>
  </r>
  <r>
    <s v="1633"/>
    <x v="226"/>
    <n v="15"/>
    <s v="Company O"/>
    <x v="5"/>
    <x v="1"/>
    <s v="New Mexico"/>
    <x v="3"/>
    <n v="159"/>
    <n v="5"/>
    <n v="795"/>
    <n v="6"/>
  </r>
  <r>
    <s v="1634"/>
    <x v="226"/>
    <n v="2"/>
    <s v="Company B"/>
    <x v="2"/>
    <x v="0"/>
    <s v="Texas"/>
    <x v="3"/>
    <n v="159"/>
    <n v="8"/>
    <n v="1272"/>
    <n v="2"/>
  </r>
  <r>
    <s v="1641"/>
    <x v="227"/>
    <n v="13"/>
    <s v="Company M"/>
    <x v="3"/>
    <x v="2"/>
    <s v="New Mexico"/>
    <x v="3"/>
    <n v="159"/>
    <n v="2"/>
    <n v="318"/>
    <n v="5"/>
  </r>
  <r>
    <s v="1647"/>
    <x v="229"/>
    <n v="13"/>
    <s v="Company M"/>
    <x v="5"/>
    <x v="1"/>
    <s v="New Mexico"/>
    <x v="3"/>
    <n v="159"/>
    <n v="9"/>
    <n v="1431"/>
    <n v="6"/>
  </r>
  <r>
    <s v="1649"/>
    <x v="230"/>
    <n v="15"/>
    <s v="Company O"/>
    <x v="3"/>
    <x v="2"/>
    <s v="New Mexico"/>
    <x v="3"/>
    <n v="159"/>
    <n v="0"/>
    <n v="0"/>
    <n v="5"/>
  </r>
  <r>
    <s v="1653"/>
    <x v="585"/>
    <n v="15"/>
    <s v="Company O"/>
    <x v="3"/>
    <x v="2"/>
    <s v="New Mexico"/>
    <x v="3"/>
    <n v="159"/>
    <n v="1"/>
    <n v="159"/>
    <n v="5"/>
  </r>
  <r>
    <s v="1668"/>
    <x v="234"/>
    <n v="16"/>
    <s v="Company P"/>
    <x v="6"/>
    <x v="0"/>
    <s v="Arizona"/>
    <x v="3"/>
    <n v="159"/>
    <n v="3"/>
    <n v="477"/>
    <n v="5"/>
  </r>
  <r>
    <s v="1673"/>
    <x v="416"/>
    <n v="18"/>
    <s v="Company R"/>
    <x v="6"/>
    <x v="0"/>
    <s v="Arizona"/>
    <x v="3"/>
    <n v="159"/>
    <n v="6"/>
    <n v="954"/>
    <n v="5"/>
  </r>
  <r>
    <s v="1677"/>
    <x v="509"/>
    <n v="14"/>
    <s v="Company N"/>
    <x v="5"/>
    <x v="1"/>
    <s v="New Mexico"/>
    <x v="3"/>
    <n v="159"/>
    <n v="5"/>
    <n v="795"/>
    <n v="6"/>
  </r>
  <r>
    <s v="1678"/>
    <x v="586"/>
    <n v="6"/>
    <s v="Company F"/>
    <x v="7"/>
    <x v="3"/>
    <s v="California"/>
    <x v="3"/>
    <n v="159"/>
    <n v="2"/>
    <n v="318"/>
    <n v="8"/>
  </r>
  <r>
    <s v="1680"/>
    <x v="511"/>
    <n v="4"/>
    <s v="Company D"/>
    <x v="2"/>
    <x v="0"/>
    <s v="Texas"/>
    <x v="3"/>
    <n v="159"/>
    <n v="5"/>
    <n v="795"/>
    <n v="2"/>
  </r>
  <r>
    <s v="1683"/>
    <x v="511"/>
    <n v="9"/>
    <s v="Company I"/>
    <x v="1"/>
    <x v="1"/>
    <s v="California"/>
    <x v="3"/>
    <n v="159"/>
    <n v="4"/>
    <n v="636"/>
    <n v="4"/>
  </r>
  <r>
    <s v="1684"/>
    <x v="511"/>
    <n v="12"/>
    <s v="Company L"/>
    <x v="5"/>
    <x v="1"/>
    <s v="New Mexico"/>
    <x v="3"/>
    <n v="159"/>
    <n v="2"/>
    <n v="318"/>
    <n v="6"/>
  </r>
  <r>
    <s v="1685"/>
    <x v="511"/>
    <n v="3"/>
    <s v="Company C"/>
    <x v="2"/>
    <x v="0"/>
    <s v="Texas"/>
    <x v="3"/>
    <n v="159"/>
    <n v="8"/>
    <n v="1272"/>
    <n v="2"/>
  </r>
  <r>
    <s v="1686"/>
    <x v="587"/>
    <n v="15"/>
    <s v="Company O"/>
    <x v="3"/>
    <x v="2"/>
    <s v="New Mexico"/>
    <x v="3"/>
    <n v="159"/>
    <n v="4"/>
    <n v="636"/>
    <n v="5"/>
  </r>
  <r>
    <s v="1687"/>
    <x v="587"/>
    <n v="9"/>
    <s v="Company I"/>
    <x v="7"/>
    <x v="3"/>
    <s v="California"/>
    <x v="3"/>
    <n v="159"/>
    <n v="8"/>
    <n v="1272"/>
    <n v="8"/>
  </r>
  <r>
    <s v="1696"/>
    <x v="588"/>
    <n v="9"/>
    <s v="Company I"/>
    <x v="7"/>
    <x v="3"/>
    <s v="California"/>
    <x v="3"/>
    <n v="159"/>
    <n v="7"/>
    <n v="1113"/>
    <n v="8"/>
  </r>
  <r>
    <s v="1699"/>
    <x v="512"/>
    <n v="11"/>
    <s v="Company K"/>
    <x v="3"/>
    <x v="2"/>
    <s v="New Mexico"/>
    <x v="3"/>
    <n v="159"/>
    <n v="0"/>
    <n v="0"/>
    <n v="5"/>
  </r>
  <r>
    <s v="1704"/>
    <x v="589"/>
    <n v="18"/>
    <s v="Company R"/>
    <x v="0"/>
    <x v="0"/>
    <s v="Arizona"/>
    <x v="3"/>
    <n v="159"/>
    <n v="0"/>
    <n v="0"/>
    <n v="3"/>
  </r>
  <r>
    <s v="1707"/>
    <x v="590"/>
    <n v="19"/>
    <s v="Company S"/>
    <x v="0"/>
    <x v="0"/>
    <s v="Arizona"/>
    <x v="3"/>
    <n v="159"/>
    <n v="0"/>
    <n v="0"/>
    <n v="3"/>
  </r>
  <r>
    <s v="1712"/>
    <x v="243"/>
    <n v="5"/>
    <s v="Company E"/>
    <x v="2"/>
    <x v="0"/>
    <s v="Texas"/>
    <x v="3"/>
    <n v="159"/>
    <n v="7"/>
    <n v="1113"/>
    <n v="2"/>
  </r>
  <r>
    <s v="1718"/>
    <x v="244"/>
    <n v="7"/>
    <s v="Company G"/>
    <x v="7"/>
    <x v="3"/>
    <s v="California"/>
    <x v="3"/>
    <n v="159"/>
    <n v="8"/>
    <n v="1272"/>
    <n v="8"/>
  </r>
  <r>
    <s v="1724"/>
    <x v="245"/>
    <n v="20"/>
    <s v="Company T"/>
    <x v="6"/>
    <x v="0"/>
    <s v="Arizona"/>
    <x v="3"/>
    <n v="159"/>
    <n v="1"/>
    <n v="159"/>
    <n v="5"/>
  </r>
  <r>
    <s v="1728"/>
    <x v="246"/>
    <n v="16"/>
    <s v="Company P"/>
    <x v="6"/>
    <x v="0"/>
    <s v="Arizona"/>
    <x v="3"/>
    <n v="159"/>
    <n v="3"/>
    <n v="477"/>
    <n v="5"/>
  </r>
  <r>
    <s v="1729"/>
    <x v="246"/>
    <n v="2"/>
    <s v="Company B"/>
    <x v="2"/>
    <x v="0"/>
    <s v="Texas"/>
    <x v="3"/>
    <n v="159"/>
    <n v="4"/>
    <n v="636"/>
    <n v="2"/>
  </r>
  <r>
    <s v="1733"/>
    <x v="248"/>
    <n v="5"/>
    <s v="Company E"/>
    <x v="2"/>
    <x v="0"/>
    <s v="Texas"/>
    <x v="3"/>
    <n v="159"/>
    <n v="9"/>
    <n v="1431"/>
    <n v="2"/>
  </r>
  <r>
    <s v="1738"/>
    <x v="591"/>
    <n v="18"/>
    <s v="Company R"/>
    <x v="0"/>
    <x v="0"/>
    <s v="Arizona"/>
    <x v="3"/>
    <n v="159"/>
    <n v="6"/>
    <n v="954"/>
    <n v="3"/>
  </r>
  <r>
    <s v="1759"/>
    <x v="592"/>
    <n v="18"/>
    <s v="Company R"/>
    <x v="0"/>
    <x v="0"/>
    <s v="Arizona"/>
    <x v="3"/>
    <n v="159"/>
    <n v="5"/>
    <n v="795"/>
    <n v="3"/>
  </r>
  <r>
    <s v="1768"/>
    <x v="593"/>
    <n v="15"/>
    <s v="Company O"/>
    <x v="5"/>
    <x v="1"/>
    <s v="New Mexico"/>
    <x v="3"/>
    <n v="159"/>
    <n v="1"/>
    <n v="159"/>
    <n v="6"/>
  </r>
  <r>
    <s v="1770"/>
    <x v="520"/>
    <n v="1"/>
    <s v="Company A"/>
    <x v="4"/>
    <x v="2"/>
    <s v="Texas"/>
    <x v="3"/>
    <n v="159"/>
    <n v="8"/>
    <n v="1272"/>
    <n v="2"/>
  </r>
  <r>
    <s v="1778"/>
    <x v="422"/>
    <n v="2"/>
    <s v="Company B"/>
    <x v="2"/>
    <x v="0"/>
    <s v="Texas"/>
    <x v="3"/>
    <n v="159"/>
    <n v="6"/>
    <n v="954"/>
    <n v="2"/>
  </r>
  <r>
    <s v="1779"/>
    <x v="422"/>
    <n v="10"/>
    <s v="Company J"/>
    <x v="7"/>
    <x v="3"/>
    <s v="California"/>
    <x v="3"/>
    <n v="159"/>
    <n v="3"/>
    <n v="477"/>
    <n v="8"/>
  </r>
  <r>
    <s v="1784"/>
    <x v="255"/>
    <n v="14"/>
    <s v="Company N"/>
    <x v="3"/>
    <x v="2"/>
    <s v="New Mexico"/>
    <x v="3"/>
    <n v="159"/>
    <n v="1"/>
    <n v="159"/>
    <n v="5"/>
  </r>
  <r>
    <s v="1790"/>
    <x v="522"/>
    <n v="14"/>
    <s v="Company N"/>
    <x v="5"/>
    <x v="1"/>
    <s v="New Mexico"/>
    <x v="3"/>
    <n v="159"/>
    <n v="8"/>
    <n v="1272"/>
    <n v="6"/>
  </r>
  <r>
    <s v="1805"/>
    <x v="258"/>
    <n v="13"/>
    <s v="Company M"/>
    <x v="5"/>
    <x v="1"/>
    <s v="New Mexico"/>
    <x v="3"/>
    <n v="159"/>
    <n v="3"/>
    <n v="477"/>
    <n v="6"/>
  </r>
  <r>
    <s v="1813"/>
    <x v="594"/>
    <n v="6"/>
    <s v="Company F"/>
    <x v="7"/>
    <x v="3"/>
    <s v="California"/>
    <x v="3"/>
    <n v="159"/>
    <n v="6"/>
    <n v="954"/>
    <n v="8"/>
  </r>
  <r>
    <s v="1814"/>
    <x v="594"/>
    <n v="9"/>
    <s v="Company I"/>
    <x v="7"/>
    <x v="3"/>
    <s v="California"/>
    <x v="3"/>
    <n v="159"/>
    <n v="6"/>
    <n v="954"/>
    <n v="8"/>
  </r>
  <r>
    <s v="1816"/>
    <x v="525"/>
    <n v="10"/>
    <s v="Company J"/>
    <x v="7"/>
    <x v="3"/>
    <s v="California"/>
    <x v="3"/>
    <n v="159"/>
    <n v="9"/>
    <n v="1431"/>
    <n v="8"/>
  </r>
  <r>
    <s v="1824"/>
    <x v="424"/>
    <n v="15"/>
    <s v="Company O"/>
    <x v="3"/>
    <x v="2"/>
    <s v="New Mexico"/>
    <x v="3"/>
    <n v="159"/>
    <n v="3"/>
    <n v="477"/>
    <n v="5"/>
  </r>
  <r>
    <s v="1832"/>
    <x v="427"/>
    <n v="14"/>
    <s v="Company N"/>
    <x v="5"/>
    <x v="1"/>
    <s v="New Mexico"/>
    <x v="3"/>
    <n v="159"/>
    <n v="1"/>
    <n v="159"/>
    <n v="6"/>
  </r>
  <r>
    <s v="1842"/>
    <x v="259"/>
    <n v="2"/>
    <s v="Company B"/>
    <x v="2"/>
    <x v="0"/>
    <s v="Texas"/>
    <x v="3"/>
    <n v="159"/>
    <n v="3"/>
    <n v="477"/>
    <n v="2"/>
  </r>
  <r>
    <s v="1845"/>
    <x v="259"/>
    <n v="5"/>
    <s v="Company E"/>
    <x v="4"/>
    <x v="2"/>
    <s v="Texas"/>
    <x v="3"/>
    <n v="159"/>
    <n v="2"/>
    <n v="318"/>
    <n v="2"/>
  </r>
  <r>
    <s v="1846"/>
    <x v="595"/>
    <n v="7"/>
    <s v="Company G"/>
    <x v="7"/>
    <x v="3"/>
    <s v="California"/>
    <x v="3"/>
    <n v="159"/>
    <n v="1"/>
    <n v="159"/>
    <n v="8"/>
  </r>
  <r>
    <s v="1847"/>
    <x v="595"/>
    <n v="2"/>
    <s v="Company B"/>
    <x v="2"/>
    <x v="0"/>
    <s v="Texas"/>
    <x v="3"/>
    <n v="159"/>
    <n v="6"/>
    <n v="954"/>
    <n v="2"/>
  </r>
  <r>
    <s v="1850"/>
    <x v="596"/>
    <n v="4"/>
    <s v="Company D"/>
    <x v="4"/>
    <x v="2"/>
    <s v="Texas"/>
    <x v="3"/>
    <n v="159"/>
    <n v="1"/>
    <n v="159"/>
    <n v="2"/>
  </r>
  <r>
    <s v="1854"/>
    <x v="597"/>
    <n v="16"/>
    <s v="Company P"/>
    <x v="6"/>
    <x v="0"/>
    <s v="Arizona"/>
    <x v="3"/>
    <n v="159"/>
    <n v="8"/>
    <n v="1272"/>
    <n v="5"/>
  </r>
  <r>
    <s v="1855"/>
    <x v="597"/>
    <n v="4"/>
    <s v="Company D"/>
    <x v="4"/>
    <x v="2"/>
    <s v="Texas"/>
    <x v="3"/>
    <n v="159"/>
    <n v="0"/>
    <n v="0"/>
    <n v="2"/>
  </r>
  <r>
    <s v="1856"/>
    <x v="261"/>
    <n v="19"/>
    <s v="Company S"/>
    <x v="0"/>
    <x v="0"/>
    <s v="Arizona"/>
    <x v="3"/>
    <n v="159"/>
    <n v="7"/>
    <n v="1113"/>
    <n v="3"/>
  </r>
  <r>
    <s v="1871"/>
    <x v="265"/>
    <n v="20"/>
    <s v="Company T"/>
    <x v="6"/>
    <x v="0"/>
    <s v="Arizona"/>
    <x v="3"/>
    <n v="159"/>
    <n v="4"/>
    <n v="636"/>
    <n v="5"/>
  </r>
  <r>
    <s v="1875"/>
    <x v="266"/>
    <n v="3"/>
    <s v="Company C"/>
    <x v="4"/>
    <x v="2"/>
    <s v="Texas"/>
    <x v="3"/>
    <n v="159"/>
    <n v="9"/>
    <n v="1431"/>
    <n v="2"/>
  </r>
  <r>
    <s v="1880"/>
    <x v="266"/>
    <n v="11"/>
    <s v="Company K"/>
    <x v="3"/>
    <x v="2"/>
    <s v="New Mexico"/>
    <x v="3"/>
    <n v="159"/>
    <n v="3"/>
    <n v="477"/>
    <n v="5"/>
  </r>
  <r>
    <s v="1891"/>
    <x v="528"/>
    <n v="17"/>
    <s v="Company Q"/>
    <x v="0"/>
    <x v="0"/>
    <s v="Arizona"/>
    <x v="3"/>
    <n v="159"/>
    <n v="7"/>
    <n v="1113"/>
    <n v="3"/>
  </r>
  <r>
    <s v="1894"/>
    <x v="269"/>
    <n v="8"/>
    <s v="Company H"/>
    <x v="1"/>
    <x v="1"/>
    <s v="California"/>
    <x v="3"/>
    <n v="159"/>
    <n v="0"/>
    <n v="0"/>
    <n v="4"/>
  </r>
  <r>
    <s v="1897"/>
    <x v="269"/>
    <n v="1"/>
    <s v="Company A"/>
    <x v="2"/>
    <x v="0"/>
    <s v="Texas"/>
    <x v="3"/>
    <n v="159"/>
    <n v="3"/>
    <n v="477"/>
    <n v="2"/>
  </r>
  <r>
    <s v="1910"/>
    <x v="272"/>
    <n v="14"/>
    <s v="Company N"/>
    <x v="3"/>
    <x v="2"/>
    <s v="New Mexico"/>
    <x v="3"/>
    <n v="159"/>
    <n v="7"/>
    <n v="1113"/>
    <n v="5"/>
  </r>
  <r>
    <s v="1920"/>
    <x v="273"/>
    <n v="10"/>
    <s v="Company J"/>
    <x v="1"/>
    <x v="1"/>
    <s v="California"/>
    <x v="3"/>
    <n v="159"/>
    <n v="9"/>
    <n v="1431"/>
    <n v="4"/>
  </r>
  <r>
    <s v="1923"/>
    <x v="273"/>
    <n v="12"/>
    <s v="Company L"/>
    <x v="5"/>
    <x v="1"/>
    <s v="New Mexico"/>
    <x v="3"/>
    <n v="159"/>
    <n v="8"/>
    <n v="1272"/>
    <n v="6"/>
  </r>
  <r>
    <s v="1932"/>
    <x v="598"/>
    <n v="7"/>
    <s v="Company G"/>
    <x v="7"/>
    <x v="3"/>
    <s v="California"/>
    <x v="3"/>
    <n v="159"/>
    <n v="5"/>
    <n v="795"/>
    <n v="8"/>
  </r>
  <r>
    <s v="1933"/>
    <x v="598"/>
    <n v="2"/>
    <s v="Company B"/>
    <x v="4"/>
    <x v="2"/>
    <s v="Texas"/>
    <x v="3"/>
    <n v="159"/>
    <n v="7"/>
    <n v="1113"/>
    <n v="2"/>
  </r>
  <r>
    <s v="1940"/>
    <x v="532"/>
    <n v="12"/>
    <s v="Company L"/>
    <x v="3"/>
    <x v="2"/>
    <s v="New Mexico"/>
    <x v="3"/>
    <n v="159"/>
    <n v="1"/>
    <n v="159"/>
    <n v="5"/>
  </r>
  <r>
    <s v="1951"/>
    <x v="278"/>
    <n v="20"/>
    <s v="Company T"/>
    <x v="6"/>
    <x v="0"/>
    <s v="Arizona"/>
    <x v="3"/>
    <n v="159"/>
    <n v="1"/>
    <n v="159"/>
    <n v="5"/>
  </r>
  <r>
    <s v="1956"/>
    <x v="433"/>
    <n v="13"/>
    <s v="Company M"/>
    <x v="5"/>
    <x v="1"/>
    <s v="New Mexico"/>
    <x v="3"/>
    <n v="159"/>
    <n v="5"/>
    <n v="795"/>
    <n v="6"/>
  </r>
  <r>
    <s v="1960"/>
    <x v="280"/>
    <n v="19"/>
    <s v="Company S"/>
    <x v="0"/>
    <x v="0"/>
    <s v="Arizona"/>
    <x v="3"/>
    <n v="159"/>
    <n v="3"/>
    <n v="477"/>
    <n v="3"/>
  </r>
  <r>
    <s v="1975"/>
    <x v="599"/>
    <n v="6"/>
    <s v="Company F"/>
    <x v="7"/>
    <x v="3"/>
    <s v="California"/>
    <x v="3"/>
    <n v="159"/>
    <n v="4"/>
    <n v="636"/>
    <n v="8"/>
  </r>
  <r>
    <s v="1976"/>
    <x v="599"/>
    <n v="15"/>
    <s v="Company O"/>
    <x v="3"/>
    <x v="2"/>
    <s v="New Mexico"/>
    <x v="3"/>
    <n v="159"/>
    <n v="1"/>
    <n v="159"/>
    <n v="5"/>
  </r>
  <r>
    <s v="1977"/>
    <x v="533"/>
    <n v="10"/>
    <s v="Company J"/>
    <x v="7"/>
    <x v="3"/>
    <s v="California"/>
    <x v="3"/>
    <n v="159"/>
    <n v="6"/>
    <n v="954"/>
    <n v="8"/>
  </r>
  <r>
    <s v="1979"/>
    <x v="435"/>
    <n v="11"/>
    <s v="Company K"/>
    <x v="5"/>
    <x v="1"/>
    <s v="New Mexico"/>
    <x v="3"/>
    <n v="159"/>
    <n v="0"/>
    <n v="0"/>
    <n v="6"/>
  </r>
  <r>
    <s v="1992"/>
    <x v="600"/>
    <n v="5"/>
    <s v="Company E"/>
    <x v="2"/>
    <x v="0"/>
    <s v="Texas"/>
    <x v="3"/>
    <n v="159"/>
    <n v="7"/>
    <n v="1113"/>
    <n v="2"/>
  </r>
  <r>
    <s v="0005"/>
    <x v="287"/>
    <n v="16"/>
    <s v="Company P"/>
    <x v="6"/>
    <x v="0"/>
    <s v="Arizona"/>
    <x v="4"/>
    <n v="69"/>
    <n v="4"/>
    <n v="276"/>
    <n v="5"/>
  </r>
  <r>
    <s v="0016"/>
    <x v="601"/>
    <n v="13"/>
    <s v="Company M"/>
    <x v="3"/>
    <x v="2"/>
    <s v="New Mexico"/>
    <x v="4"/>
    <n v="69"/>
    <n v="0"/>
    <n v="0"/>
    <n v="5"/>
  </r>
  <r>
    <s v="0019"/>
    <x v="1"/>
    <n v="10"/>
    <s v="Company J"/>
    <x v="1"/>
    <x v="1"/>
    <s v="California"/>
    <x v="4"/>
    <n v="69"/>
    <n v="2"/>
    <n v="138"/>
    <n v="4"/>
  </r>
  <r>
    <s v="0021"/>
    <x v="1"/>
    <n v="10"/>
    <s v="Company J"/>
    <x v="1"/>
    <x v="1"/>
    <s v="California"/>
    <x v="4"/>
    <n v="69"/>
    <n v="2"/>
    <n v="138"/>
    <n v="4"/>
  </r>
  <r>
    <s v="0033"/>
    <x v="602"/>
    <n v="6"/>
    <s v="Company F"/>
    <x v="1"/>
    <x v="1"/>
    <s v="California"/>
    <x v="4"/>
    <n v="69"/>
    <n v="2"/>
    <n v="138"/>
    <n v="4"/>
  </r>
  <r>
    <s v="0039"/>
    <x v="5"/>
    <n v="19"/>
    <s v="Company S"/>
    <x v="0"/>
    <x v="0"/>
    <s v="Arizona"/>
    <x v="4"/>
    <n v="69"/>
    <n v="8"/>
    <n v="552"/>
    <n v="3"/>
  </r>
  <r>
    <s v="0042"/>
    <x v="6"/>
    <n v="17"/>
    <s v="Company Q"/>
    <x v="0"/>
    <x v="0"/>
    <s v="Arizona"/>
    <x v="4"/>
    <n v="69"/>
    <n v="5"/>
    <n v="345"/>
    <n v="3"/>
  </r>
  <r>
    <s v="0048"/>
    <x v="6"/>
    <n v="16"/>
    <s v="Company P"/>
    <x v="6"/>
    <x v="0"/>
    <s v="Arizona"/>
    <x v="4"/>
    <n v="69"/>
    <n v="1"/>
    <n v="69"/>
    <n v="5"/>
  </r>
  <r>
    <s v="0052"/>
    <x v="6"/>
    <n v="1"/>
    <s v="Company A"/>
    <x v="4"/>
    <x v="2"/>
    <s v="Texas"/>
    <x v="4"/>
    <n v="69"/>
    <n v="2"/>
    <n v="138"/>
    <n v="2"/>
  </r>
  <r>
    <s v="0053"/>
    <x v="603"/>
    <n v="17"/>
    <s v="Company Q"/>
    <x v="0"/>
    <x v="0"/>
    <s v="Arizona"/>
    <x v="4"/>
    <n v="69"/>
    <n v="7"/>
    <n v="483"/>
    <n v="3"/>
  </r>
  <r>
    <s v="0056"/>
    <x v="7"/>
    <n v="20"/>
    <s v="Company T"/>
    <x v="0"/>
    <x v="0"/>
    <s v="Arizona"/>
    <x v="4"/>
    <n v="69"/>
    <n v="9"/>
    <n v="621"/>
    <n v="3"/>
  </r>
  <r>
    <s v="0058"/>
    <x v="7"/>
    <n v="11"/>
    <s v="Company K"/>
    <x v="3"/>
    <x v="2"/>
    <s v="New Mexico"/>
    <x v="4"/>
    <n v="69"/>
    <n v="9"/>
    <n v="621"/>
    <n v="5"/>
  </r>
  <r>
    <s v="0067"/>
    <x v="438"/>
    <n v="16"/>
    <s v="Company P"/>
    <x v="6"/>
    <x v="0"/>
    <s v="Arizona"/>
    <x v="4"/>
    <n v="69"/>
    <n v="2"/>
    <n v="138"/>
    <n v="5"/>
  </r>
  <r>
    <s v="0076"/>
    <x v="10"/>
    <n v="18"/>
    <s v="Company R"/>
    <x v="6"/>
    <x v="0"/>
    <s v="Arizona"/>
    <x v="4"/>
    <n v="69"/>
    <n v="7"/>
    <n v="483"/>
    <n v="5"/>
  </r>
  <r>
    <s v="0077"/>
    <x v="10"/>
    <n v="8"/>
    <s v="Company H"/>
    <x v="1"/>
    <x v="1"/>
    <s v="California"/>
    <x v="4"/>
    <n v="69"/>
    <n v="2"/>
    <n v="138"/>
    <n v="4"/>
  </r>
  <r>
    <s v="0082"/>
    <x v="10"/>
    <n v="5"/>
    <s v="Company E"/>
    <x v="2"/>
    <x v="0"/>
    <s v="Texas"/>
    <x v="4"/>
    <n v="69"/>
    <n v="1"/>
    <n v="69"/>
    <n v="2"/>
  </r>
  <r>
    <s v="0083"/>
    <x v="10"/>
    <n v="10"/>
    <s v="Company J"/>
    <x v="1"/>
    <x v="1"/>
    <s v="California"/>
    <x v="4"/>
    <n v="69"/>
    <n v="2"/>
    <n v="138"/>
    <n v="4"/>
  </r>
  <r>
    <s v="0088"/>
    <x v="291"/>
    <n v="12"/>
    <s v="Company L"/>
    <x v="3"/>
    <x v="2"/>
    <s v="New Mexico"/>
    <x v="4"/>
    <n v="69"/>
    <n v="2"/>
    <n v="138"/>
    <n v="5"/>
  </r>
  <r>
    <s v="0090"/>
    <x v="291"/>
    <n v="12"/>
    <s v="Company L"/>
    <x v="5"/>
    <x v="1"/>
    <s v="New Mexico"/>
    <x v="4"/>
    <n v="69"/>
    <n v="2"/>
    <n v="138"/>
    <n v="6"/>
  </r>
  <r>
    <s v="0095"/>
    <x v="14"/>
    <n v="7"/>
    <s v="Company G"/>
    <x v="1"/>
    <x v="1"/>
    <s v="California"/>
    <x v="4"/>
    <n v="69"/>
    <n v="8"/>
    <n v="552"/>
    <n v="4"/>
  </r>
  <r>
    <s v="0096"/>
    <x v="440"/>
    <n v="15"/>
    <s v="Company O"/>
    <x v="3"/>
    <x v="2"/>
    <s v="New Mexico"/>
    <x v="4"/>
    <n v="69"/>
    <n v="9"/>
    <n v="621"/>
    <n v="5"/>
  </r>
  <r>
    <s v="0097"/>
    <x v="440"/>
    <n v="11"/>
    <s v="Company K"/>
    <x v="5"/>
    <x v="1"/>
    <s v="New Mexico"/>
    <x v="4"/>
    <n v="69"/>
    <n v="7"/>
    <n v="483"/>
    <n v="6"/>
  </r>
  <r>
    <s v="0101"/>
    <x v="604"/>
    <n v="18"/>
    <s v="Company R"/>
    <x v="6"/>
    <x v="0"/>
    <s v="Arizona"/>
    <x v="4"/>
    <n v="69"/>
    <n v="4"/>
    <n v="276"/>
    <n v="5"/>
  </r>
  <r>
    <s v="0102"/>
    <x v="605"/>
    <n v="10"/>
    <s v="Company J"/>
    <x v="7"/>
    <x v="3"/>
    <s v="California"/>
    <x v="4"/>
    <n v="69"/>
    <n v="4"/>
    <n v="276"/>
    <n v="8"/>
  </r>
  <r>
    <s v="0103"/>
    <x v="605"/>
    <n v="20"/>
    <s v="Company T"/>
    <x v="0"/>
    <x v="0"/>
    <s v="Arizona"/>
    <x v="4"/>
    <n v="69"/>
    <n v="6"/>
    <n v="414"/>
    <n v="3"/>
  </r>
  <r>
    <s v="0115"/>
    <x v="18"/>
    <n v="2"/>
    <s v="Company B"/>
    <x v="4"/>
    <x v="2"/>
    <s v="Texas"/>
    <x v="4"/>
    <n v="69"/>
    <n v="7"/>
    <n v="483"/>
    <n v="2"/>
  </r>
  <r>
    <s v="0116"/>
    <x v="18"/>
    <n v="14"/>
    <s v="Company N"/>
    <x v="3"/>
    <x v="2"/>
    <s v="New Mexico"/>
    <x v="4"/>
    <n v="69"/>
    <n v="7"/>
    <n v="483"/>
    <n v="5"/>
  </r>
  <r>
    <s v="0122"/>
    <x v="19"/>
    <n v="8"/>
    <s v="Company H"/>
    <x v="1"/>
    <x v="1"/>
    <s v="California"/>
    <x v="4"/>
    <n v="69"/>
    <n v="6"/>
    <n v="414"/>
    <n v="4"/>
  </r>
  <r>
    <s v="0135"/>
    <x v="537"/>
    <n v="16"/>
    <s v="Company P"/>
    <x v="6"/>
    <x v="0"/>
    <s v="Arizona"/>
    <x v="4"/>
    <n v="69"/>
    <n v="5"/>
    <n v="345"/>
    <n v="5"/>
  </r>
  <r>
    <s v="0139"/>
    <x v="21"/>
    <n v="13"/>
    <s v="Company M"/>
    <x v="3"/>
    <x v="2"/>
    <s v="New Mexico"/>
    <x v="4"/>
    <n v="69"/>
    <n v="4"/>
    <n v="276"/>
    <n v="5"/>
  </r>
  <r>
    <s v="0154"/>
    <x v="606"/>
    <n v="8"/>
    <s v="Company H"/>
    <x v="7"/>
    <x v="3"/>
    <s v="California"/>
    <x v="4"/>
    <n v="69"/>
    <n v="8"/>
    <n v="552"/>
    <n v="8"/>
  </r>
  <r>
    <s v="0162"/>
    <x v="293"/>
    <n v="15"/>
    <s v="Company O"/>
    <x v="5"/>
    <x v="1"/>
    <s v="New Mexico"/>
    <x v="4"/>
    <n v="69"/>
    <n v="5"/>
    <n v="345"/>
    <n v="6"/>
  </r>
  <r>
    <s v="0164"/>
    <x v="538"/>
    <n v="13"/>
    <s v="Company M"/>
    <x v="5"/>
    <x v="1"/>
    <s v="New Mexico"/>
    <x v="4"/>
    <n v="69"/>
    <n v="1"/>
    <n v="69"/>
    <n v="6"/>
  </r>
  <r>
    <s v="0166"/>
    <x v="539"/>
    <n v="15"/>
    <s v="Company O"/>
    <x v="3"/>
    <x v="2"/>
    <s v="New Mexico"/>
    <x v="4"/>
    <n v="69"/>
    <n v="0"/>
    <n v="0"/>
    <n v="5"/>
  </r>
  <r>
    <s v="0167"/>
    <x v="539"/>
    <n v="12"/>
    <s v="Company L"/>
    <x v="5"/>
    <x v="1"/>
    <s v="New Mexico"/>
    <x v="4"/>
    <n v="69"/>
    <n v="1"/>
    <n v="69"/>
    <n v="6"/>
  </r>
  <r>
    <s v="0169"/>
    <x v="539"/>
    <n v="10"/>
    <s v="Company J"/>
    <x v="1"/>
    <x v="1"/>
    <s v="California"/>
    <x v="4"/>
    <n v="69"/>
    <n v="4"/>
    <n v="276"/>
    <n v="4"/>
  </r>
  <r>
    <s v="0170"/>
    <x v="539"/>
    <n v="6"/>
    <s v="Company F"/>
    <x v="1"/>
    <x v="1"/>
    <s v="California"/>
    <x v="4"/>
    <n v="69"/>
    <n v="3"/>
    <n v="207"/>
    <n v="4"/>
  </r>
  <r>
    <s v="0172"/>
    <x v="22"/>
    <n v="11"/>
    <s v="Company K"/>
    <x v="3"/>
    <x v="2"/>
    <s v="New Mexico"/>
    <x v="4"/>
    <n v="69"/>
    <n v="5"/>
    <n v="345"/>
    <n v="5"/>
  </r>
  <r>
    <s v="0180"/>
    <x v="295"/>
    <n v="20"/>
    <s v="Company T"/>
    <x v="6"/>
    <x v="0"/>
    <s v="Arizona"/>
    <x v="4"/>
    <n v="69"/>
    <n v="3"/>
    <n v="207"/>
    <n v="5"/>
  </r>
  <r>
    <s v="0181"/>
    <x v="295"/>
    <n v="20"/>
    <s v="Company T"/>
    <x v="0"/>
    <x v="0"/>
    <s v="Arizona"/>
    <x v="4"/>
    <n v="69"/>
    <n v="1"/>
    <n v="69"/>
    <n v="3"/>
  </r>
  <r>
    <s v="0197"/>
    <x v="540"/>
    <n v="18"/>
    <s v="Company R"/>
    <x v="0"/>
    <x v="0"/>
    <s v="Arizona"/>
    <x v="4"/>
    <n v="69"/>
    <n v="8"/>
    <n v="552"/>
    <n v="3"/>
  </r>
  <r>
    <s v="0211"/>
    <x v="27"/>
    <n v="4"/>
    <s v="Company D"/>
    <x v="4"/>
    <x v="2"/>
    <s v="Texas"/>
    <x v="4"/>
    <n v="69"/>
    <n v="4"/>
    <n v="276"/>
    <n v="2"/>
  </r>
  <r>
    <s v="0214"/>
    <x v="607"/>
    <n v="5"/>
    <s v="Company E"/>
    <x v="4"/>
    <x v="2"/>
    <s v="Texas"/>
    <x v="4"/>
    <n v="69"/>
    <n v="6"/>
    <n v="414"/>
    <n v="2"/>
  </r>
  <r>
    <s v="0216"/>
    <x v="28"/>
    <n v="18"/>
    <s v="Company R"/>
    <x v="6"/>
    <x v="0"/>
    <s v="Arizona"/>
    <x v="4"/>
    <n v="69"/>
    <n v="9"/>
    <n v="621"/>
    <n v="5"/>
  </r>
  <r>
    <s v="0233"/>
    <x v="31"/>
    <n v="9"/>
    <s v="Company I"/>
    <x v="1"/>
    <x v="1"/>
    <s v="California"/>
    <x v="4"/>
    <n v="69"/>
    <n v="8"/>
    <n v="552"/>
    <n v="4"/>
  </r>
  <r>
    <s v="0236"/>
    <x v="32"/>
    <n v="20"/>
    <s v="Company T"/>
    <x v="0"/>
    <x v="0"/>
    <s v="Arizona"/>
    <x v="4"/>
    <n v="69"/>
    <n v="8"/>
    <n v="552"/>
    <n v="3"/>
  </r>
  <r>
    <s v="0237"/>
    <x v="32"/>
    <n v="4"/>
    <s v="Company D"/>
    <x v="2"/>
    <x v="0"/>
    <s v="Texas"/>
    <x v="4"/>
    <n v="69"/>
    <n v="7"/>
    <n v="483"/>
    <n v="2"/>
  </r>
  <r>
    <s v="0241"/>
    <x v="32"/>
    <n v="4"/>
    <s v="Company D"/>
    <x v="2"/>
    <x v="0"/>
    <s v="Texas"/>
    <x v="4"/>
    <n v="69"/>
    <n v="5"/>
    <n v="345"/>
    <n v="2"/>
  </r>
  <r>
    <s v="0248"/>
    <x v="33"/>
    <n v="18"/>
    <s v="Company R"/>
    <x v="0"/>
    <x v="0"/>
    <s v="Arizona"/>
    <x v="4"/>
    <n v="69"/>
    <n v="5"/>
    <n v="345"/>
    <n v="3"/>
  </r>
  <r>
    <s v="0257"/>
    <x v="450"/>
    <n v="2"/>
    <s v="Company B"/>
    <x v="2"/>
    <x v="0"/>
    <s v="Texas"/>
    <x v="4"/>
    <n v="69"/>
    <n v="8"/>
    <n v="552"/>
    <n v="2"/>
  </r>
  <r>
    <s v="0260"/>
    <x v="34"/>
    <n v="14"/>
    <s v="Company N"/>
    <x v="3"/>
    <x v="2"/>
    <s v="New Mexico"/>
    <x v="4"/>
    <n v="69"/>
    <n v="9"/>
    <n v="621"/>
    <n v="5"/>
  </r>
  <r>
    <s v="0266"/>
    <x v="35"/>
    <n v="12"/>
    <s v="Company L"/>
    <x v="5"/>
    <x v="1"/>
    <s v="New Mexico"/>
    <x v="4"/>
    <n v="69"/>
    <n v="4"/>
    <n v="276"/>
    <n v="6"/>
  </r>
  <r>
    <s v="0279"/>
    <x v="36"/>
    <n v="9"/>
    <s v="Company I"/>
    <x v="7"/>
    <x v="3"/>
    <s v="California"/>
    <x v="4"/>
    <n v="69"/>
    <n v="9"/>
    <n v="621"/>
    <n v="8"/>
  </r>
  <r>
    <s v="0281"/>
    <x v="36"/>
    <n v="20"/>
    <s v="Company T"/>
    <x v="0"/>
    <x v="0"/>
    <s v="Arizona"/>
    <x v="4"/>
    <n v="69"/>
    <n v="3"/>
    <n v="207"/>
    <n v="3"/>
  </r>
  <r>
    <s v="0286"/>
    <x v="302"/>
    <n v="13"/>
    <s v="Company M"/>
    <x v="5"/>
    <x v="1"/>
    <s v="New Mexico"/>
    <x v="4"/>
    <n v="69"/>
    <n v="6"/>
    <n v="414"/>
    <n v="6"/>
  </r>
  <r>
    <s v="0291"/>
    <x v="452"/>
    <n v="19"/>
    <s v="Company S"/>
    <x v="6"/>
    <x v="0"/>
    <s v="Arizona"/>
    <x v="4"/>
    <n v="69"/>
    <n v="3"/>
    <n v="207"/>
    <n v="5"/>
  </r>
  <r>
    <s v="0295"/>
    <x v="37"/>
    <n v="7"/>
    <s v="Company G"/>
    <x v="1"/>
    <x v="1"/>
    <s v="California"/>
    <x v="4"/>
    <n v="69"/>
    <n v="3"/>
    <n v="207"/>
    <n v="4"/>
  </r>
  <r>
    <s v="0296"/>
    <x v="37"/>
    <n v="9"/>
    <s v="Company I"/>
    <x v="7"/>
    <x v="3"/>
    <s v="California"/>
    <x v="4"/>
    <n v="69"/>
    <n v="4"/>
    <n v="276"/>
    <n v="8"/>
  </r>
  <r>
    <s v="0298"/>
    <x v="37"/>
    <n v="13"/>
    <s v="Company M"/>
    <x v="5"/>
    <x v="1"/>
    <s v="New Mexico"/>
    <x v="4"/>
    <n v="69"/>
    <n v="4"/>
    <n v="276"/>
    <n v="6"/>
  </r>
  <r>
    <s v="0300"/>
    <x v="608"/>
    <n v="7"/>
    <s v="Company G"/>
    <x v="7"/>
    <x v="3"/>
    <s v="California"/>
    <x v="4"/>
    <n v="69"/>
    <n v="2"/>
    <n v="138"/>
    <n v="8"/>
  </r>
  <r>
    <s v="0302"/>
    <x v="609"/>
    <n v="6"/>
    <s v="Company F"/>
    <x v="1"/>
    <x v="1"/>
    <s v="California"/>
    <x v="4"/>
    <n v="69"/>
    <n v="6"/>
    <n v="414"/>
    <n v="4"/>
  </r>
  <r>
    <s v="0304"/>
    <x v="546"/>
    <n v="2"/>
    <s v="Company B"/>
    <x v="4"/>
    <x v="2"/>
    <s v="Texas"/>
    <x v="4"/>
    <n v="69"/>
    <n v="1"/>
    <n v="69"/>
    <n v="2"/>
  </r>
  <r>
    <s v="0310"/>
    <x v="305"/>
    <n v="6"/>
    <s v="Company F"/>
    <x v="1"/>
    <x v="1"/>
    <s v="California"/>
    <x v="4"/>
    <n v="69"/>
    <n v="0"/>
    <n v="0"/>
    <n v="4"/>
  </r>
  <r>
    <s v="0319"/>
    <x v="610"/>
    <n v="14"/>
    <s v="Company N"/>
    <x v="3"/>
    <x v="2"/>
    <s v="New Mexico"/>
    <x v="4"/>
    <n v="69"/>
    <n v="3"/>
    <n v="207"/>
    <n v="5"/>
  </r>
  <r>
    <s v="0320"/>
    <x v="611"/>
    <n v="12"/>
    <s v="Company L"/>
    <x v="5"/>
    <x v="1"/>
    <s v="New Mexico"/>
    <x v="4"/>
    <n v="69"/>
    <n v="0"/>
    <n v="0"/>
    <n v="6"/>
  </r>
  <r>
    <s v="0326"/>
    <x v="40"/>
    <n v="7"/>
    <s v="Company G"/>
    <x v="7"/>
    <x v="3"/>
    <s v="California"/>
    <x v="4"/>
    <n v="69"/>
    <n v="2"/>
    <n v="138"/>
    <n v="8"/>
  </r>
  <r>
    <s v="0335"/>
    <x v="308"/>
    <n v="2"/>
    <s v="Company B"/>
    <x v="4"/>
    <x v="2"/>
    <s v="Texas"/>
    <x v="4"/>
    <n v="69"/>
    <n v="9"/>
    <n v="621"/>
    <n v="2"/>
  </r>
  <r>
    <s v="0337"/>
    <x v="41"/>
    <n v="11"/>
    <s v="Company K"/>
    <x v="5"/>
    <x v="1"/>
    <s v="New Mexico"/>
    <x v="4"/>
    <n v="69"/>
    <n v="8"/>
    <n v="552"/>
    <n v="6"/>
  </r>
  <r>
    <s v="0339"/>
    <x v="612"/>
    <n v="8"/>
    <s v="Company H"/>
    <x v="7"/>
    <x v="3"/>
    <s v="California"/>
    <x v="4"/>
    <n v="69"/>
    <n v="6"/>
    <n v="414"/>
    <n v="8"/>
  </r>
  <r>
    <s v="0342"/>
    <x v="42"/>
    <n v="19"/>
    <s v="Company S"/>
    <x v="0"/>
    <x v="0"/>
    <s v="Arizona"/>
    <x v="4"/>
    <n v="69"/>
    <n v="1"/>
    <n v="69"/>
    <n v="3"/>
  </r>
  <r>
    <s v="0346"/>
    <x v="42"/>
    <n v="17"/>
    <s v="Company Q"/>
    <x v="6"/>
    <x v="0"/>
    <s v="Arizona"/>
    <x v="4"/>
    <n v="69"/>
    <n v="2"/>
    <n v="138"/>
    <n v="5"/>
  </r>
  <r>
    <s v="0351"/>
    <x v="42"/>
    <n v="4"/>
    <s v="Company D"/>
    <x v="4"/>
    <x v="2"/>
    <s v="Texas"/>
    <x v="4"/>
    <n v="69"/>
    <n v="6"/>
    <n v="414"/>
    <n v="2"/>
  </r>
  <r>
    <s v="0354"/>
    <x v="43"/>
    <n v="5"/>
    <s v="Company E"/>
    <x v="2"/>
    <x v="0"/>
    <s v="Texas"/>
    <x v="4"/>
    <n v="69"/>
    <n v="1"/>
    <n v="69"/>
    <n v="2"/>
  </r>
  <r>
    <s v="0358"/>
    <x v="45"/>
    <n v="2"/>
    <s v="Company B"/>
    <x v="2"/>
    <x v="0"/>
    <s v="Texas"/>
    <x v="4"/>
    <n v="69"/>
    <n v="2"/>
    <n v="138"/>
    <n v="2"/>
  </r>
  <r>
    <s v="0361"/>
    <x v="45"/>
    <n v="10"/>
    <s v="Company J"/>
    <x v="7"/>
    <x v="3"/>
    <s v="California"/>
    <x v="4"/>
    <n v="69"/>
    <n v="7"/>
    <n v="483"/>
    <n v="8"/>
  </r>
  <r>
    <s v="0366"/>
    <x v="309"/>
    <n v="7"/>
    <s v="Company G"/>
    <x v="1"/>
    <x v="1"/>
    <s v="California"/>
    <x v="4"/>
    <n v="69"/>
    <n v="0"/>
    <n v="0"/>
    <n v="4"/>
  </r>
  <r>
    <s v="0376"/>
    <x v="46"/>
    <n v="16"/>
    <s v="Company P"/>
    <x v="0"/>
    <x v="0"/>
    <s v="Arizona"/>
    <x v="4"/>
    <n v="69"/>
    <n v="3"/>
    <n v="207"/>
    <n v="3"/>
  </r>
  <r>
    <s v="0381"/>
    <x v="613"/>
    <n v="5"/>
    <s v="Company E"/>
    <x v="2"/>
    <x v="0"/>
    <s v="Texas"/>
    <x v="4"/>
    <n v="69"/>
    <n v="5"/>
    <n v="345"/>
    <n v="2"/>
  </r>
  <r>
    <s v="0382"/>
    <x v="47"/>
    <n v="7"/>
    <s v="Company G"/>
    <x v="1"/>
    <x v="1"/>
    <s v="California"/>
    <x v="4"/>
    <n v="69"/>
    <n v="8"/>
    <n v="552"/>
    <n v="4"/>
  </r>
  <r>
    <s v="0388"/>
    <x v="47"/>
    <n v="20"/>
    <s v="Company T"/>
    <x v="0"/>
    <x v="0"/>
    <s v="Arizona"/>
    <x v="4"/>
    <n v="69"/>
    <n v="4"/>
    <n v="276"/>
    <n v="3"/>
  </r>
  <r>
    <s v="0393"/>
    <x v="311"/>
    <n v="14"/>
    <s v="Company N"/>
    <x v="5"/>
    <x v="1"/>
    <s v="New Mexico"/>
    <x v="4"/>
    <n v="69"/>
    <n v="7"/>
    <n v="483"/>
    <n v="6"/>
  </r>
  <r>
    <s v="0395"/>
    <x v="614"/>
    <n v="18"/>
    <s v="Company R"/>
    <x v="6"/>
    <x v="0"/>
    <s v="Arizona"/>
    <x v="4"/>
    <n v="69"/>
    <n v="3"/>
    <n v="207"/>
    <n v="5"/>
  </r>
  <r>
    <s v="0401"/>
    <x v="615"/>
    <n v="5"/>
    <s v="Company E"/>
    <x v="2"/>
    <x v="0"/>
    <s v="Texas"/>
    <x v="4"/>
    <n v="69"/>
    <n v="0"/>
    <n v="0"/>
    <n v="2"/>
  </r>
  <r>
    <s v="0407"/>
    <x v="313"/>
    <n v="16"/>
    <s v="Company P"/>
    <x v="0"/>
    <x v="0"/>
    <s v="Arizona"/>
    <x v="4"/>
    <n v="69"/>
    <n v="7"/>
    <n v="483"/>
    <n v="3"/>
  </r>
  <r>
    <s v="0412"/>
    <x v="313"/>
    <n v="13"/>
    <s v="Company M"/>
    <x v="3"/>
    <x v="2"/>
    <s v="New Mexico"/>
    <x v="4"/>
    <n v="69"/>
    <n v="7"/>
    <n v="483"/>
    <n v="5"/>
  </r>
  <r>
    <s v="0414"/>
    <x v="616"/>
    <n v="19"/>
    <s v="Company S"/>
    <x v="6"/>
    <x v="0"/>
    <s v="Arizona"/>
    <x v="4"/>
    <n v="69"/>
    <n v="6"/>
    <n v="414"/>
    <n v="5"/>
  </r>
  <r>
    <s v="0423"/>
    <x v="314"/>
    <n v="5"/>
    <s v="Company E"/>
    <x v="4"/>
    <x v="2"/>
    <s v="Texas"/>
    <x v="4"/>
    <n v="69"/>
    <n v="4"/>
    <n v="276"/>
    <n v="2"/>
  </r>
  <r>
    <s v="0424"/>
    <x v="314"/>
    <n v="1"/>
    <s v="Company A"/>
    <x v="4"/>
    <x v="2"/>
    <s v="Texas"/>
    <x v="4"/>
    <n v="69"/>
    <n v="8"/>
    <n v="552"/>
    <n v="2"/>
  </r>
  <r>
    <s v="0428"/>
    <x v="458"/>
    <n v="13"/>
    <s v="Company M"/>
    <x v="5"/>
    <x v="1"/>
    <s v="New Mexico"/>
    <x v="4"/>
    <n v="69"/>
    <n v="3"/>
    <n v="207"/>
    <n v="6"/>
  </r>
  <r>
    <s v="0429"/>
    <x v="617"/>
    <n v="18"/>
    <s v="Company R"/>
    <x v="0"/>
    <x v="0"/>
    <s v="Arizona"/>
    <x v="4"/>
    <n v="69"/>
    <n v="9"/>
    <n v="621"/>
    <n v="3"/>
  </r>
  <r>
    <s v="0437"/>
    <x v="51"/>
    <n v="2"/>
    <s v="Company B"/>
    <x v="4"/>
    <x v="2"/>
    <s v="Texas"/>
    <x v="4"/>
    <n v="69"/>
    <n v="7"/>
    <n v="483"/>
    <n v="2"/>
  </r>
  <r>
    <s v="0438"/>
    <x v="51"/>
    <n v="2"/>
    <s v="Company B"/>
    <x v="4"/>
    <x v="2"/>
    <s v="Texas"/>
    <x v="4"/>
    <n v="69"/>
    <n v="6"/>
    <n v="414"/>
    <n v="2"/>
  </r>
  <r>
    <s v="0440"/>
    <x v="51"/>
    <n v="19"/>
    <s v="Company S"/>
    <x v="0"/>
    <x v="0"/>
    <s v="Arizona"/>
    <x v="4"/>
    <n v="69"/>
    <n v="8"/>
    <n v="552"/>
    <n v="3"/>
  </r>
  <r>
    <s v="0443"/>
    <x v="51"/>
    <n v="14"/>
    <s v="Company N"/>
    <x v="3"/>
    <x v="2"/>
    <s v="New Mexico"/>
    <x v="4"/>
    <n v="69"/>
    <n v="6"/>
    <n v="414"/>
    <n v="5"/>
  </r>
  <r>
    <s v="0444"/>
    <x v="52"/>
    <n v="17"/>
    <s v="Company Q"/>
    <x v="0"/>
    <x v="0"/>
    <s v="Arizona"/>
    <x v="4"/>
    <n v="69"/>
    <n v="7"/>
    <n v="483"/>
    <n v="3"/>
  </r>
  <r>
    <s v="0446"/>
    <x v="52"/>
    <n v="18"/>
    <s v="Company R"/>
    <x v="0"/>
    <x v="0"/>
    <s v="Arizona"/>
    <x v="4"/>
    <n v="69"/>
    <n v="7"/>
    <n v="483"/>
    <n v="3"/>
  </r>
  <r>
    <s v="0451"/>
    <x v="52"/>
    <n v="10"/>
    <s v="Company J"/>
    <x v="7"/>
    <x v="3"/>
    <s v="California"/>
    <x v="4"/>
    <n v="69"/>
    <n v="7"/>
    <n v="483"/>
    <n v="8"/>
  </r>
  <r>
    <s v="0452"/>
    <x v="52"/>
    <n v="7"/>
    <s v="Company G"/>
    <x v="1"/>
    <x v="1"/>
    <s v="California"/>
    <x v="4"/>
    <n v="69"/>
    <n v="3"/>
    <n v="207"/>
    <n v="4"/>
  </r>
  <r>
    <s v="0455"/>
    <x v="53"/>
    <n v="14"/>
    <s v="Company N"/>
    <x v="5"/>
    <x v="1"/>
    <s v="New Mexico"/>
    <x v="4"/>
    <n v="69"/>
    <n v="9"/>
    <n v="621"/>
    <n v="6"/>
  </r>
  <r>
    <s v="0480"/>
    <x v="58"/>
    <n v="18"/>
    <s v="Company R"/>
    <x v="6"/>
    <x v="0"/>
    <s v="Arizona"/>
    <x v="4"/>
    <n v="69"/>
    <n v="9"/>
    <n v="621"/>
    <n v="5"/>
  </r>
  <r>
    <s v="0482"/>
    <x v="316"/>
    <n v="11"/>
    <s v="Company K"/>
    <x v="3"/>
    <x v="2"/>
    <s v="New Mexico"/>
    <x v="4"/>
    <n v="69"/>
    <n v="6"/>
    <n v="414"/>
    <n v="5"/>
  </r>
  <r>
    <s v="0483"/>
    <x v="316"/>
    <n v="16"/>
    <s v="Company P"/>
    <x v="6"/>
    <x v="0"/>
    <s v="Arizona"/>
    <x v="4"/>
    <n v="69"/>
    <n v="6"/>
    <n v="414"/>
    <n v="5"/>
  </r>
  <r>
    <s v="0491"/>
    <x v="317"/>
    <n v="17"/>
    <s v="Company Q"/>
    <x v="0"/>
    <x v="0"/>
    <s v="Arizona"/>
    <x v="4"/>
    <n v="69"/>
    <n v="3"/>
    <n v="207"/>
    <n v="3"/>
  </r>
  <r>
    <s v="0498"/>
    <x v="59"/>
    <n v="8"/>
    <s v="Company H"/>
    <x v="1"/>
    <x v="1"/>
    <s v="California"/>
    <x v="4"/>
    <n v="69"/>
    <n v="8"/>
    <n v="552"/>
    <n v="4"/>
  </r>
  <r>
    <s v="0506"/>
    <x v="60"/>
    <n v="17"/>
    <s v="Company Q"/>
    <x v="6"/>
    <x v="0"/>
    <s v="Arizona"/>
    <x v="4"/>
    <n v="69"/>
    <n v="4"/>
    <n v="276"/>
    <n v="5"/>
  </r>
  <r>
    <s v="0510"/>
    <x v="319"/>
    <n v="2"/>
    <s v="Company B"/>
    <x v="2"/>
    <x v="0"/>
    <s v="Texas"/>
    <x v="4"/>
    <n v="69"/>
    <n v="5"/>
    <n v="345"/>
    <n v="2"/>
  </r>
  <r>
    <s v="0512"/>
    <x v="319"/>
    <n v="2"/>
    <s v="Company B"/>
    <x v="4"/>
    <x v="2"/>
    <s v="Texas"/>
    <x v="4"/>
    <n v="69"/>
    <n v="9"/>
    <n v="621"/>
    <n v="2"/>
  </r>
  <r>
    <s v="0513"/>
    <x v="618"/>
    <n v="14"/>
    <s v="Company N"/>
    <x v="5"/>
    <x v="1"/>
    <s v="New Mexico"/>
    <x v="4"/>
    <n v="69"/>
    <n v="3"/>
    <n v="207"/>
    <n v="6"/>
  </r>
  <r>
    <s v="0514"/>
    <x v="320"/>
    <n v="14"/>
    <s v="Company N"/>
    <x v="3"/>
    <x v="2"/>
    <s v="New Mexico"/>
    <x v="4"/>
    <n v="69"/>
    <n v="0"/>
    <n v="0"/>
    <n v="5"/>
  </r>
  <r>
    <s v="0524"/>
    <x v="61"/>
    <n v="4"/>
    <s v="Company D"/>
    <x v="2"/>
    <x v="0"/>
    <s v="Texas"/>
    <x v="4"/>
    <n v="69"/>
    <n v="9"/>
    <n v="621"/>
    <n v="2"/>
  </r>
  <r>
    <s v="0536"/>
    <x v="460"/>
    <n v="17"/>
    <s v="Company Q"/>
    <x v="0"/>
    <x v="0"/>
    <s v="Arizona"/>
    <x v="4"/>
    <n v="69"/>
    <n v="0"/>
    <n v="0"/>
    <n v="3"/>
  </r>
  <r>
    <s v="0547"/>
    <x v="65"/>
    <n v="6"/>
    <s v="Company F"/>
    <x v="7"/>
    <x v="3"/>
    <s v="California"/>
    <x v="4"/>
    <n v="69"/>
    <n v="7"/>
    <n v="483"/>
    <n v="8"/>
  </r>
  <r>
    <s v="0551"/>
    <x v="65"/>
    <n v="5"/>
    <s v="Company E"/>
    <x v="2"/>
    <x v="0"/>
    <s v="Texas"/>
    <x v="4"/>
    <n v="69"/>
    <n v="5"/>
    <n v="345"/>
    <n v="2"/>
  </r>
  <r>
    <s v="0575"/>
    <x v="551"/>
    <n v="18"/>
    <s v="Company R"/>
    <x v="0"/>
    <x v="0"/>
    <s v="Arizona"/>
    <x v="4"/>
    <n v="69"/>
    <n v="1"/>
    <n v="69"/>
    <n v="3"/>
  </r>
  <r>
    <s v="0576"/>
    <x v="551"/>
    <n v="4"/>
    <s v="Company D"/>
    <x v="4"/>
    <x v="2"/>
    <s v="Texas"/>
    <x v="4"/>
    <n v="69"/>
    <n v="3"/>
    <n v="207"/>
    <n v="2"/>
  </r>
  <r>
    <s v="0584"/>
    <x v="71"/>
    <n v="18"/>
    <s v="Company R"/>
    <x v="0"/>
    <x v="0"/>
    <s v="Arizona"/>
    <x v="4"/>
    <n v="69"/>
    <n v="0"/>
    <n v="0"/>
    <n v="3"/>
  </r>
  <r>
    <s v="0587"/>
    <x v="71"/>
    <n v="20"/>
    <s v="Company T"/>
    <x v="0"/>
    <x v="0"/>
    <s v="Arizona"/>
    <x v="4"/>
    <n v="69"/>
    <n v="3"/>
    <n v="207"/>
    <n v="3"/>
  </r>
  <r>
    <s v="0588"/>
    <x v="619"/>
    <n v="17"/>
    <s v="Company Q"/>
    <x v="6"/>
    <x v="0"/>
    <s v="Arizona"/>
    <x v="4"/>
    <n v="69"/>
    <n v="1"/>
    <n v="69"/>
    <n v="5"/>
  </r>
  <r>
    <s v="0593"/>
    <x v="73"/>
    <n v="17"/>
    <s v="Company Q"/>
    <x v="6"/>
    <x v="0"/>
    <s v="Arizona"/>
    <x v="4"/>
    <n v="69"/>
    <n v="9"/>
    <n v="621"/>
    <n v="5"/>
  </r>
  <r>
    <s v="0597"/>
    <x v="620"/>
    <n v="4"/>
    <s v="Company D"/>
    <x v="2"/>
    <x v="0"/>
    <s v="Texas"/>
    <x v="4"/>
    <n v="69"/>
    <n v="8"/>
    <n v="552"/>
    <n v="2"/>
  </r>
  <r>
    <s v="0601"/>
    <x v="74"/>
    <n v="10"/>
    <s v="Company J"/>
    <x v="1"/>
    <x v="1"/>
    <s v="California"/>
    <x v="4"/>
    <n v="69"/>
    <n v="3"/>
    <n v="207"/>
    <n v="4"/>
  </r>
  <r>
    <s v="0608"/>
    <x v="75"/>
    <n v="12"/>
    <s v="Company L"/>
    <x v="3"/>
    <x v="2"/>
    <s v="New Mexico"/>
    <x v="4"/>
    <n v="69"/>
    <n v="4"/>
    <n v="276"/>
    <n v="5"/>
  </r>
  <r>
    <s v="0609"/>
    <x v="75"/>
    <n v="19"/>
    <s v="Company S"/>
    <x v="6"/>
    <x v="0"/>
    <s v="Arizona"/>
    <x v="4"/>
    <n v="69"/>
    <n v="4"/>
    <n v="276"/>
    <n v="5"/>
  </r>
  <r>
    <s v="0610"/>
    <x v="326"/>
    <n v="12"/>
    <s v="Company L"/>
    <x v="5"/>
    <x v="1"/>
    <s v="New Mexico"/>
    <x v="4"/>
    <n v="69"/>
    <n v="8"/>
    <n v="552"/>
    <n v="6"/>
  </r>
  <r>
    <s v="0613"/>
    <x v="621"/>
    <n v="15"/>
    <s v="Company O"/>
    <x v="5"/>
    <x v="1"/>
    <s v="New Mexico"/>
    <x v="4"/>
    <n v="69"/>
    <n v="2"/>
    <n v="138"/>
    <n v="6"/>
  </r>
  <r>
    <s v="0616"/>
    <x v="622"/>
    <n v="11"/>
    <s v="Company K"/>
    <x v="5"/>
    <x v="1"/>
    <s v="New Mexico"/>
    <x v="4"/>
    <n v="69"/>
    <n v="7"/>
    <n v="483"/>
    <n v="6"/>
  </r>
  <r>
    <s v="0627"/>
    <x v="77"/>
    <n v="18"/>
    <s v="Company R"/>
    <x v="6"/>
    <x v="0"/>
    <s v="Arizona"/>
    <x v="4"/>
    <n v="69"/>
    <n v="4"/>
    <n v="276"/>
    <n v="5"/>
  </r>
  <r>
    <s v="0629"/>
    <x v="77"/>
    <n v="2"/>
    <s v="Company B"/>
    <x v="4"/>
    <x v="2"/>
    <s v="Texas"/>
    <x v="4"/>
    <n v="69"/>
    <n v="6"/>
    <n v="414"/>
    <n v="2"/>
  </r>
  <r>
    <s v="0632"/>
    <x v="464"/>
    <n v="17"/>
    <s v="Company Q"/>
    <x v="6"/>
    <x v="0"/>
    <s v="Arizona"/>
    <x v="4"/>
    <n v="69"/>
    <n v="3"/>
    <n v="207"/>
    <n v="5"/>
  </r>
  <r>
    <s v="0636"/>
    <x v="623"/>
    <n v="16"/>
    <s v="Company P"/>
    <x v="6"/>
    <x v="0"/>
    <s v="Arizona"/>
    <x v="4"/>
    <n v="69"/>
    <n v="5"/>
    <n v="345"/>
    <n v="5"/>
  </r>
  <r>
    <s v="0645"/>
    <x v="329"/>
    <n v="1"/>
    <s v="Company A"/>
    <x v="2"/>
    <x v="0"/>
    <s v="Texas"/>
    <x v="4"/>
    <n v="69"/>
    <n v="9"/>
    <n v="621"/>
    <n v="2"/>
  </r>
  <r>
    <s v="0654"/>
    <x v="330"/>
    <n v="1"/>
    <s v="Company A"/>
    <x v="2"/>
    <x v="0"/>
    <s v="Texas"/>
    <x v="4"/>
    <n v="69"/>
    <n v="0"/>
    <n v="0"/>
    <n v="2"/>
  </r>
  <r>
    <s v="0657"/>
    <x v="330"/>
    <n v="6"/>
    <s v="Company F"/>
    <x v="1"/>
    <x v="1"/>
    <s v="California"/>
    <x v="4"/>
    <n v="69"/>
    <n v="3"/>
    <n v="207"/>
    <n v="4"/>
  </r>
  <r>
    <s v="0662"/>
    <x v="555"/>
    <n v="9"/>
    <s v="Company I"/>
    <x v="1"/>
    <x v="1"/>
    <s v="California"/>
    <x v="4"/>
    <n v="69"/>
    <n v="2"/>
    <n v="138"/>
    <n v="4"/>
  </r>
  <r>
    <s v="0666"/>
    <x v="84"/>
    <n v="13"/>
    <s v="Company M"/>
    <x v="5"/>
    <x v="1"/>
    <s v="New Mexico"/>
    <x v="4"/>
    <n v="69"/>
    <n v="0"/>
    <n v="0"/>
    <n v="6"/>
  </r>
  <r>
    <s v="0667"/>
    <x v="624"/>
    <n v="14"/>
    <s v="Company N"/>
    <x v="5"/>
    <x v="1"/>
    <s v="New Mexico"/>
    <x v="4"/>
    <n v="69"/>
    <n v="8"/>
    <n v="552"/>
    <n v="6"/>
  </r>
  <r>
    <s v="0668"/>
    <x v="85"/>
    <n v="10"/>
    <s v="Company J"/>
    <x v="7"/>
    <x v="3"/>
    <s v="California"/>
    <x v="4"/>
    <n v="69"/>
    <n v="2"/>
    <n v="138"/>
    <n v="8"/>
  </r>
  <r>
    <s v="0676"/>
    <x v="332"/>
    <n v="15"/>
    <s v="Company O"/>
    <x v="3"/>
    <x v="2"/>
    <s v="New Mexico"/>
    <x v="4"/>
    <n v="69"/>
    <n v="4"/>
    <n v="276"/>
    <n v="5"/>
  </r>
  <r>
    <s v="0678"/>
    <x v="332"/>
    <n v="18"/>
    <s v="Company R"/>
    <x v="0"/>
    <x v="0"/>
    <s v="Arizona"/>
    <x v="4"/>
    <n v="69"/>
    <n v="6"/>
    <n v="414"/>
    <n v="3"/>
  </r>
  <r>
    <s v="0680"/>
    <x v="332"/>
    <n v="13"/>
    <s v="Company M"/>
    <x v="3"/>
    <x v="2"/>
    <s v="New Mexico"/>
    <x v="4"/>
    <n v="69"/>
    <n v="3"/>
    <n v="207"/>
    <n v="5"/>
  </r>
  <r>
    <s v="0681"/>
    <x v="332"/>
    <n v="3"/>
    <s v="Company C"/>
    <x v="4"/>
    <x v="2"/>
    <s v="Texas"/>
    <x v="4"/>
    <n v="69"/>
    <n v="4"/>
    <n v="276"/>
    <n v="2"/>
  </r>
  <r>
    <s v="0686"/>
    <x v="86"/>
    <n v="1"/>
    <s v="Company A"/>
    <x v="4"/>
    <x v="2"/>
    <s v="Texas"/>
    <x v="4"/>
    <n v="69"/>
    <n v="1"/>
    <n v="69"/>
    <n v="2"/>
  </r>
  <r>
    <s v="0687"/>
    <x v="86"/>
    <n v="15"/>
    <s v="Company O"/>
    <x v="5"/>
    <x v="1"/>
    <s v="New Mexico"/>
    <x v="4"/>
    <n v="69"/>
    <n v="0"/>
    <n v="0"/>
    <n v="6"/>
  </r>
  <r>
    <s v="0716"/>
    <x v="338"/>
    <n v="4"/>
    <s v="Company D"/>
    <x v="2"/>
    <x v="0"/>
    <s v="Texas"/>
    <x v="4"/>
    <n v="69"/>
    <n v="8"/>
    <n v="552"/>
    <n v="2"/>
  </r>
  <r>
    <s v="0727"/>
    <x v="87"/>
    <n v="17"/>
    <s v="Company Q"/>
    <x v="0"/>
    <x v="0"/>
    <s v="Arizona"/>
    <x v="4"/>
    <n v="69"/>
    <n v="3"/>
    <n v="207"/>
    <n v="3"/>
  </r>
  <r>
    <s v="0739"/>
    <x v="467"/>
    <n v="1"/>
    <s v="Company A"/>
    <x v="4"/>
    <x v="2"/>
    <s v="Texas"/>
    <x v="4"/>
    <n v="69"/>
    <n v="6"/>
    <n v="414"/>
    <n v="2"/>
  </r>
  <r>
    <s v="0743"/>
    <x v="625"/>
    <n v="19"/>
    <s v="Company S"/>
    <x v="6"/>
    <x v="0"/>
    <s v="Arizona"/>
    <x v="4"/>
    <n v="69"/>
    <n v="9"/>
    <n v="621"/>
    <n v="5"/>
  </r>
  <r>
    <s v="0744"/>
    <x v="91"/>
    <n v="12"/>
    <s v="Company L"/>
    <x v="5"/>
    <x v="1"/>
    <s v="New Mexico"/>
    <x v="4"/>
    <n v="69"/>
    <n v="5"/>
    <n v="345"/>
    <n v="6"/>
  </r>
  <r>
    <s v="0763"/>
    <x v="94"/>
    <n v="17"/>
    <s v="Company Q"/>
    <x v="6"/>
    <x v="0"/>
    <s v="Arizona"/>
    <x v="4"/>
    <n v="69"/>
    <n v="8"/>
    <n v="552"/>
    <n v="5"/>
  </r>
  <r>
    <s v="0773"/>
    <x v="97"/>
    <n v="20"/>
    <s v="Company T"/>
    <x v="0"/>
    <x v="0"/>
    <s v="Arizona"/>
    <x v="4"/>
    <n v="69"/>
    <n v="0"/>
    <n v="0"/>
    <n v="3"/>
  </r>
  <r>
    <s v="0774"/>
    <x v="97"/>
    <n v="15"/>
    <s v="Company O"/>
    <x v="3"/>
    <x v="2"/>
    <s v="New Mexico"/>
    <x v="4"/>
    <n v="69"/>
    <n v="2"/>
    <n v="138"/>
    <n v="5"/>
  </r>
  <r>
    <s v="0781"/>
    <x v="626"/>
    <n v="11"/>
    <s v="Company K"/>
    <x v="5"/>
    <x v="1"/>
    <s v="New Mexico"/>
    <x v="4"/>
    <n v="69"/>
    <n v="6"/>
    <n v="414"/>
    <n v="6"/>
  </r>
  <r>
    <s v="0787"/>
    <x v="470"/>
    <n v="14"/>
    <s v="Company N"/>
    <x v="3"/>
    <x v="2"/>
    <s v="New Mexico"/>
    <x v="4"/>
    <n v="69"/>
    <n v="1"/>
    <n v="69"/>
    <n v="5"/>
  </r>
  <r>
    <s v="0797"/>
    <x v="627"/>
    <n v="4"/>
    <s v="Company D"/>
    <x v="4"/>
    <x v="2"/>
    <s v="Texas"/>
    <x v="4"/>
    <n v="69"/>
    <n v="2"/>
    <n v="138"/>
    <n v="2"/>
  </r>
  <r>
    <s v="0798"/>
    <x v="627"/>
    <n v="20"/>
    <s v="Company T"/>
    <x v="0"/>
    <x v="0"/>
    <s v="Arizona"/>
    <x v="4"/>
    <n v="69"/>
    <n v="6"/>
    <n v="414"/>
    <n v="3"/>
  </r>
  <r>
    <s v="0804"/>
    <x v="628"/>
    <n v="16"/>
    <s v="Company P"/>
    <x v="6"/>
    <x v="0"/>
    <s v="Arizona"/>
    <x v="4"/>
    <n v="69"/>
    <n v="1"/>
    <n v="69"/>
    <n v="5"/>
  </r>
  <r>
    <s v="0808"/>
    <x v="471"/>
    <n v="13"/>
    <s v="Company M"/>
    <x v="5"/>
    <x v="1"/>
    <s v="New Mexico"/>
    <x v="4"/>
    <n v="69"/>
    <n v="5"/>
    <n v="345"/>
    <n v="6"/>
  </r>
  <r>
    <s v="0810"/>
    <x v="471"/>
    <n v="15"/>
    <s v="Company O"/>
    <x v="3"/>
    <x v="2"/>
    <s v="New Mexico"/>
    <x v="4"/>
    <n v="69"/>
    <n v="5"/>
    <n v="345"/>
    <n v="5"/>
  </r>
  <r>
    <s v="0811"/>
    <x v="471"/>
    <n v="14"/>
    <s v="Company N"/>
    <x v="3"/>
    <x v="2"/>
    <s v="New Mexico"/>
    <x v="4"/>
    <n v="69"/>
    <n v="9"/>
    <n v="621"/>
    <n v="5"/>
  </r>
  <r>
    <s v="0817"/>
    <x v="105"/>
    <n v="20"/>
    <s v="Company T"/>
    <x v="6"/>
    <x v="0"/>
    <s v="Arizona"/>
    <x v="4"/>
    <n v="69"/>
    <n v="5"/>
    <n v="345"/>
    <n v="5"/>
  </r>
  <r>
    <s v="0823"/>
    <x v="107"/>
    <n v="11"/>
    <s v="Company K"/>
    <x v="5"/>
    <x v="1"/>
    <s v="New Mexico"/>
    <x v="4"/>
    <n v="69"/>
    <n v="8"/>
    <n v="552"/>
    <n v="6"/>
  </r>
  <r>
    <s v="0829"/>
    <x v="472"/>
    <n v="14"/>
    <s v="Company N"/>
    <x v="3"/>
    <x v="2"/>
    <s v="New Mexico"/>
    <x v="4"/>
    <n v="69"/>
    <n v="4"/>
    <n v="276"/>
    <n v="5"/>
  </r>
  <r>
    <s v="0834"/>
    <x v="110"/>
    <n v="6"/>
    <s v="Company F"/>
    <x v="1"/>
    <x v="1"/>
    <s v="California"/>
    <x v="4"/>
    <n v="69"/>
    <n v="6"/>
    <n v="414"/>
    <n v="4"/>
  </r>
  <r>
    <s v="0836"/>
    <x v="629"/>
    <n v="5"/>
    <s v="Company E"/>
    <x v="2"/>
    <x v="0"/>
    <s v="Texas"/>
    <x v="4"/>
    <n v="69"/>
    <n v="6"/>
    <n v="414"/>
    <n v="2"/>
  </r>
  <r>
    <s v="0858"/>
    <x v="113"/>
    <n v="17"/>
    <s v="Company Q"/>
    <x v="6"/>
    <x v="0"/>
    <s v="Arizona"/>
    <x v="4"/>
    <n v="69"/>
    <n v="5"/>
    <n v="345"/>
    <n v="5"/>
  </r>
  <r>
    <s v="0862"/>
    <x v="348"/>
    <n v="17"/>
    <s v="Company Q"/>
    <x v="6"/>
    <x v="0"/>
    <s v="Arizona"/>
    <x v="4"/>
    <n v="69"/>
    <n v="8"/>
    <n v="552"/>
    <n v="5"/>
  </r>
  <r>
    <s v="0865"/>
    <x v="630"/>
    <n v="16"/>
    <s v="Company P"/>
    <x v="6"/>
    <x v="0"/>
    <s v="Arizona"/>
    <x v="4"/>
    <n v="69"/>
    <n v="6"/>
    <n v="414"/>
    <n v="5"/>
  </r>
  <r>
    <s v="0866"/>
    <x v="630"/>
    <n v="19"/>
    <s v="Company S"/>
    <x v="0"/>
    <x v="0"/>
    <s v="Arizona"/>
    <x v="4"/>
    <n v="69"/>
    <n v="2"/>
    <n v="138"/>
    <n v="3"/>
  </r>
  <r>
    <s v="0868"/>
    <x v="474"/>
    <n v="9"/>
    <s v="Company I"/>
    <x v="1"/>
    <x v="1"/>
    <s v="California"/>
    <x v="4"/>
    <n v="69"/>
    <n v="7"/>
    <n v="483"/>
    <n v="4"/>
  </r>
  <r>
    <s v="0871"/>
    <x v="114"/>
    <n v="9"/>
    <s v="Company I"/>
    <x v="1"/>
    <x v="1"/>
    <s v="California"/>
    <x v="4"/>
    <n v="69"/>
    <n v="6"/>
    <n v="414"/>
    <n v="4"/>
  </r>
  <r>
    <s v="0875"/>
    <x v="349"/>
    <n v="4"/>
    <s v="Company D"/>
    <x v="4"/>
    <x v="2"/>
    <s v="Texas"/>
    <x v="4"/>
    <n v="69"/>
    <n v="6"/>
    <n v="414"/>
    <n v="2"/>
  </r>
  <r>
    <s v="0893"/>
    <x v="353"/>
    <n v="5"/>
    <s v="Company E"/>
    <x v="4"/>
    <x v="2"/>
    <s v="Texas"/>
    <x v="4"/>
    <n v="69"/>
    <n v="3"/>
    <n v="207"/>
    <n v="2"/>
  </r>
  <r>
    <s v="0911"/>
    <x v="357"/>
    <n v="18"/>
    <s v="Company R"/>
    <x v="6"/>
    <x v="0"/>
    <s v="Arizona"/>
    <x v="4"/>
    <n v="69"/>
    <n v="9"/>
    <n v="621"/>
    <n v="5"/>
  </r>
  <r>
    <s v="0915"/>
    <x v="358"/>
    <n v="3"/>
    <s v="Company C"/>
    <x v="2"/>
    <x v="0"/>
    <s v="Texas"/>
    <x v="4"/>
    <n v="69"/>
    <n v="2"/>
    <n v="138"/>
    <n v="2"/>
  </r>
  <r>
    <s v="0917"/>
    <x v="119"/>
    <n v="18"/>
    <s v="Company R"/>
    <x v="0"/>
    <x v="0"/>
    <s v="Arizona"/>
    <x v="4"/>
    <n v="69"/>
    <n v="2"/>
    <n v="138"/>
    <n v="3"/>
  </r>
  <r>
    <s v="0936"/>
    <x v="359"/>
    <n v="2"/>
    <s v="Company B"/>
    <x v="2"/>
    <x v="0"/>
    <s v="Texas"/>
    <x v="4"/>
    <n v="69"/>
    <n v="8"/>
    <n v="552"/>
    <n v="2"/>
  </r>
  <r>
    <s v="0937"/>
    <x v="631"/>
    <n v="17"/>
    <s v="Company Q"/>
    <x v="6"/>
    <x v="0"/>
    <s v="Arizona"/>
    <x v="4"/>
    <n v="69"/>
    <n v="5"/>
    <n v="345"/>
    <n v="5"/>
  </r>
  <r>
    <s v="0947"/>
    <x v="479"/>
    <n v="15"/>
    <s v="Company O"/>
    <x v="3"/>
    <x v="2"/>
    <s v="New Mexico"/>
    <x v="4"/>
    <n v="69"/>
    <n v="4"/>
    <n v="276"/>
    <n v="5"/>
  </r>
  <r>
    <s v="0950"/>
    <x v="124"/>
    <n v="20"/>
    <s v="Company T"/>
    <x v="6"/>
    <x v="0"/>
    <s v="Arizona"/>
    <x v="4"/>
    <n v="69"/>
    <n v="8"/>
    <n v="552"/>
    <n v="5"/>
  </r>
  <r>
    <s v="0959"/>
    <x v="126"/>
    <n v="2"/>
    <s v="Company B"/>
    <x v="2"/>
    <x v="0"/>
    <s v="Texas"/>
    <x v="4"/>
    <n v="69"/>
    <n v="6"/>
    <n v="414"/>
    <n v="2"/>
  </r>
  <r>
    <s v="0960"/>
    <x v="126"/>
    <n v="9"/>
    <s v="Company I"/>
    <x v="7"/>
    <x v="3"/>
    <s v="California"/>
    <x v="4"/>
    <n v="69"/>
    <n v="6"/>
    <n v="414"/>
    <n v="8"/>
  </r>
  <r>
    <s v="0961"/>
    <x v="126"/>
    <n v="18"/>
    <s v="Company R"/>
    <x v="0"/>
    <x v="0"/>
    <s v="Arizona"/>
    <x v="4"/>
    <n v="69"/>
    <n v="3"/>
    <n v="207"/>
    <n v="3"/>
  </r>
  <r>
    <s v="0962"/>
    <x v="126"/>
    <n v="9"/>
    <s v="Company I"/>
    <x v="7"/>
    <x v="3"/>
    <s v="California"/>
    <x v="4"/>
    <n v="69"/>
    <n v="2"/>
    <n v="138"/>
    <n v="8"/>
  </r>
  <r>
    <s v="0968"/>
    <x v="127"/>
    <n v="19"/>
    <s v="Company S"/>
    <x v="6"/>
    <x v="0"/>
    <s v="Arizona"/>
    <x v="4"/>
    <n v="69"/>
    <n v="3"/>
    <n v="207"/>
    <n v="5"/>
  </r>
  <r>
    <s v="0974"/>
    <x v="562"/>
    <n v="1"/>
    <s v="Company A"/>
    <x v="2"/>
    <x v="0"/>
    <s v="Texas"/>
    <x v="4"/>
    <n v="69"/>
    <n v="7"/>
    <n v="483"/>
    <n v="2"/>
  </r>
  <r>
    <s v="0976"/>
    <x v="562"/>
    <n v="2"/>
    <s v="Company B"/>
    <x v="4"/>
    <x v="2"/>
    <s v="Texas"/>
    <x v="4"/>
    <n v="69"/>
    <n v="1"/>
    <n v="69"/>
    <n v="2"/>
  </r>
  <r>
    <s v="0979"/>
    <x v="130"/>
    <n v="16"/>
    <s v="Company P"/>
    <x v="6"/>
    <x v="0"/>
    <s v="Arizona"/>
    <x v="4"/>
    <n v="69"/>
    <n v="9"/>
    <n v="621"/>
    <n v="5"/>
  </r>
  <r>
    <s v="0984"/>
    <x v="131"/>
    <n v="12"/>
    <s v="Company L"/>
    <x v="3"/>
    <x v="2"/>
    <s v="New Mexico"/>
    <x v="4"/>
    <n v="69"/>
    <n v="0"/>
    <n v="0"/>
    <n v="5"/>
  </r>
  <r>
    <s v="0995"/>
    <x v="483"/>
    <n v="10"/>
    <s v="Company J"/>
    <x v="7"/>
    <x v="3"/>
    <s v="California"/>
    <x v="4"/>
    <n v="69"/>
    <n v="1"/>
    <n v="69"/>
    <n v="8"/>
  </r>
  <r>
    <s v="1013"/>
    <x v="361"/>
    <n v="9"/>
    <s v="Company I"/>
    <x v="1"/>
    <x v="1"/>
    <s v="California"/>
    <x v="4"/>
    <n v="69"/>
    <n v="8"/>
    <n v="552"/>
    <n v="4"/>
  </r>
  <r>
    <s v="1020"/>
    <x v="137"/>
    <n v="20"/>
    <s v="Company T"/>
    <x v="0"/>
    <x v="0"/>
    <s v="Arizona"/>
    <x v="4"/>
    <n v="69"/>
    <n v="9"/>
    <n v="621"/>
    <n v="3"/>
  </r>
  <r>
    <s v="1024"/>
    <x v="138"/>
    <n v="15"/>
    <s v="Company O"/>
    <x v="5"/>
    <x v="1"/>
    <s v="New Mexico"/>
    <x v="4"/>
    <n v="69"/>
    <n v="7"/>
    <n v="483"/>
    <n v="6"/>
  </r>
  <r>
    <s v="1027"/>
    <x v="138"/>
    <n v="3"/>
    <s v="Company C"/>
    <x v="4"/>
    <x v="2"/>
    <s v="Texas"/>
    <x v="4"/>
    <n v="69"/>
    <n v="5"/>
    <n v="345"/>
    <n v="2"/>
  </r>
  <r>
    <s v="1033"/>
    <x v="139"/>
    <n v="15"/>
    <s v="Company O"/>
    <x v="3"/>
    <x v="2"/>
    <s v="New Mexico"/>
    <x v="4"/>
    <n v="69"/>
    <n v="7"/>
    <n v="483"/>
    <n v="5"/>
  </r>
  <r>
    <s v="1043"/>
    <x v="140"/>
    <n v="3"/>
    <s v="Company C"/>
    <x v="4"/>
    <x v="2"/>
    <s v="Texas"/>
    <x v="4"/>
    <n v="69"/>
    <n v="4"/>
    <n v="276"/>
    <n v="2"/>
  </r>
  <r>
    <s v="1051"/>
    <x v="142"/>
    <n v="1"/>
    <s v="Company A"/>
    <x v="4"/>
    <x v="2"/>
    <s v="Texas"/>
    <x v="4"/>
    <n v="69"/>
    <n v="9"/>
    <n v="621"/>
    <n v="2"/>
  </r>
  <r>
    <s v="1052"/>
    <x v="363"/>
    <n v="10"/>
    <s v="Company J"/>
    <x v="7"/>
    <x v="3"/>
    <s v="California"/>
    <x v="4"/>
    <n v="69"/>
    <n v="7"/>
    <n v="483"/>
    <n v="8"/>
  </r>
  <r>
    <s v="1053"/>
    <x v="363"/>
    <n v="15"/>
    <s v="Company O"/>
    <x v="5"/>
    <x v="1"/>
    <s v="New Mexico"/>
    <x v="4"/>
    <n v="69"/>
    <n v="1"/>
    <n v="69"/>
    <n v="6"/>
  </r>
  <r>
    <s v="1066"/>
    <x v="146"/>
    <n v="2"/>
    <s v="Company B"/>
    <x v="2"/>
    <x v="0"/>
    <s v="Texas"/>
    <x v="4"/>
    <n v="69"/>
    <n v="7"/>
    <n v="483"/>
    <n v="2"/>
  </r>
  <r>
    <s v="1072"/>
    <x v="365"/>
    <n v="4"/>
    <s v="Company D"/>
    <x v="2"/>
    <x v="0"/>
    <s v="Texas"/>
    <x v="4"/>
    <n v="69"/>
    <n v="7"/>
    <n v="483"/>
    <n v="2"/>
  </r>
  <r>
    <s v="1074"/>
    <x v="632"/>
    <n v="10"/>
    <s v="Company J"/>
    <x v="7"/>
    <x v="3"/>
    <s v="California"/>
    <x v="4"/>
    <n v="69"/>
    <n v="7"/>
    <n v="483"/>
    <n v="8"/>
  </r>
  <r>
    <s v="1075"/>
    <x v="632"/>
    <n v="4"/>
    <s v="Company D"/>
    <x v="2"/>
    <x v="0"/>
    <s v="Texas"/>
    <x v="4"/>
    <n v="69"/>
    <n v="5"/>
    <n v="345"/>
    <n v="2"/>
  </r>
  <r>
    <s v="1079"/>
    <x v="368"/>
    <n v="10"/>
    <s v="Company J"/>
    <x v="7"/>
    <x v="3"/>
    <s v="California"/>
    <x v="4"/>
    <n v="69"/>
    <n v="6"/>
    <n v="414"/>
    <n v="8"/>
  </r>
  <r>
    <s v="1086"/>
    <x v="148"/>
    <n v="11"/>
    <s v="Company K"/>
    <x v="5"/>
    <x v="1"/>
    <s v="New Mexico"/>
    <x v="4"/>
    <n v="69"/>
    <n v="1"/>
    <n v="69"/>
    <n v="6"/>
  </r>
  <r>
    <s v="1087"/>
    <x v="148"/>
    <n v="3"/>
    <s v="Company C"/>
    <x v="2"/>
    <x v="0"/>
    <s v="Texas"/>
    <x v="4"/>
    <n v="69"/>
    <n v="5"/>
    <n v="345"/>
    <n v="2"/>
  </r>
  <r>
    <s v="1094"/>
    <x v="372"/>
    <n v="5"/>
    <s v="Company E"/>
    <x v="4"/>
    <x v="2"/>
    <s v="Texas"/>
    <x v="4"/>
    <n v="69"/>
    <n v="1"/>
    <n v="69"/>
    <n v="2"/>
  </r>
  <r>
    <s v="1097"/>
    <x v="149"/>
    <n v="1"/>
    <s v="Company A"/>
    <x v="2"/>
    <x v="0"/>
    <s v="Texas"/>
    <x v="4"/>
    <n v="69"/>
    <n v="6"/>
    <n v="414"/>
    <n v="2"/>
  </r>
  <r>
    <s v="1099"/>
    <x v="150"/>
    <n v="3"/>
    <s v="Company C"/>
    <x v="2"/>
    <x v="0"/>
    <s v="Texas"/>
    <x v="4"/>
    <n v="69"/>
    <n v="2"/>
    <n v="138"/>
    <n v="2"/>
  </r>
  <r>
    <s v="1101"/>
    <x v="150"/>
    <n v="8"/>
    <s v="Company H"/>
    <x v="7"/>
    <x v="3"/>
    <s v="California"/>
    <x v="4"/>
    <n v="69"/>
    <n v="9"/>
    <n v="621"/>
    <n v="8"/>
  </r>
  <r>
    <s v="1112"/>
    <x v="151"/>
    <n v="10"/>
    <s v="Company J"/>
    <x v="7"/>
    <x v="3"/>
    <s v="California"/>
    <x v="4"/>
    <n v="69"/>
    <n v="6"/>
    <n v="414"/>
    <n v="8"/>
  </r>
  <r>
    <s v="1113"/>
    <x v="151"/>
    <n v="19"/>
    <s v="Company S"/>
    <x v="6"/>
    <x v="0"/>
    <s v="Arizona"/>
    <x v="4"/>
    <n v="69"/>
    <n v="7"/>
    <n v="483"/>
    <n v="5"/>
  </r>
  <r>
    <s v="1114"/>
    <x v="151"/>
    <n v="13"/>
    <s v="Company M"/>
    <x v="3"/>
    <x v="2"/>
    <s v="New Mexico"/>
    <x v="4"/>
    <n v="69"/>
    <n v="8"/>
    <n v="552"/>
    <n v="5"/>
  </r>
  <r>
    <s v="1125"/>
    <x v="373"/>
    <n v="19"/>
    <s v="Company S"/>
    <x v="6"/>
    <x v="0"/>
    <s v="Arizona"/>
    <x v="4"/>
    <n v="69"/>
    <n v="5"/>
    <n v="345"/>
    <n v="5"/>
  </r>
  <r>
    <s v="1131"/>
    <x v="374"/>
    <n v="4"/>
    <s v="Company D"/>
    <x v="4"/>
    <x v="2"/>
    <s v="Texas"/>
    <x v="4"/>
    <n v="69"/>
    <n v="7"/>
    <n v="483"/>
    <n v="2"/>
  </r>
  <r>
    <s v="1133"/>
    <x v="374"/>
    <n v="8"/>
    <s v="Company H"/>
    <x v="1"/>
    <x v="1"/>
    <s v="California"/>
    <x v="4"/>
    <n v="69"/>
    <n v="2"/>
    <n v="138"/>
    <n v="4"/>
  </r>
  <r>
    <s v="1143"/>
    <x v="633"/>
    <n v="17"/>
    <s v="Company Q"/>
    <x v="6"/>
    <x v="0"/>
    <s v="Arizona"/>
    <x v="4"/>
    <n v="69"/>
    <n v="6"/>
    <n v="414"/>
    <n v="5"/>
  </r>
  <r>
    <s v="1152"/>
    <x v="376"/>
    <n v="1"/>
    <s v="Company A"/>
    <x v="4"/>
    <x v="2"/>
    <s v="Texas"/>
    <x v="4"/>
    <n v="69"/>
    <n v="7"/>
    <n v="483"/>
    <n v="2"/>
  </r>
  <r>
    <s v="1154"/>
    <x v="377"/>
    <n v="4"/>
    <s v="Company D"/>
    <x v="4"/>
    <x v="2"/>
    <s v="Texas"/>
    <x v="4"/>
    <n v="69"/>
    <n v="1"/>
    <n v="69"/>
    <n v="2"/>
  </r>
  <r>
    <s v="1155"/>
    <x v="377"/>
    <n v="12"/>
    <s v="Company L"/>
    <x v="3"/>
    <x v="2"/>
    <s v="New Mexico"/>
    <x v="4"/>
    <n v="69"/>
    <n v="5"/>
    <n v="345"/>
    <n v="5"/>
  </r>
  <r>
    <s v="1157"/>
    <x v="377"/>
    <n v="17"/>
    <s v="Company Q"/>
    <x v="6"/>
    <x v="0"/>
    <s v="Arizona"/>
    <x v="4"/>
    <n v="69"/>
    <n v="6"/>
    <n v="414"/>
    <n v="5"/>
  </r>
  <r>
    <s v="1164"/>
    <x v="379"/>
    <n v="7"/>
    <s v="Company G"/>
    <x v="7"/>
    <x v="3"/>
    <s v="California"/>
    <x v="4"/>
    <n v="69"/>
    <n v="6"/>
    <n v="414"/>
    <n v="8"/>
  </r>
  <r>
    <s v="1167"/>
    <x v="568"/>
    <n v="13"/>
    <s v="Company M"/>
    <x v="5"/>
    <x v="1"/>
    <s v="New Mexico"/>
    <x v="4"/>
    <n v="69"/>
    <n v="9"/>
    <n v="621"/>
    <n v="6"/>
  </r>
  <r>
    <s v="1169"/>
    <x v="568"/>
    <n v="13"/>
    <s v="Company M"/>
    <x v="5"/>
    <x v="1"/>
    <s v="New Mexico"/>
    <x v="4"/>
    <n v="69"/>
    <n v="6"/>
    <n v="414"/>
    <n v="6"/>
  </r>
  <r>
    <s v="1175"/>
    <x v="158"/>
    <n v="16"/>
    <s v="Company P"/>
    <x v="0"/>
    <x v="0"/>
    <s v="Arizona"/>
    <x v="4"/>
    <n v="69"/>
    <n v="1"/>
    <n v="69"/>
    <n v="3"/>
  </r>
  <r>
    <s v="1176"/>
    <x v="158"/>
    <n v="8"/>
    <s v="Company H"/>
    <x v="7"/>
    <x v="3"/>
    <s v="California"/>
    <x v="4"/>
    <n v="69"/>
    <n v="1"/>
    <n v="69"/>
    <n v="8"/>
  </r>
  <r>
    <s v="1180"/>
    <x v="158"/>
    <n v="14"/>
    <s v="Company N"/>
    <x v="3"/>
    <x v="2"/>
    <s v="New Mexico"/>
    <x v="4"/>
    <n v="69"/>
    <n v="8"/>
    <n v="552"/>
    <n v="5"/>
  </r>
  <r>
    <s v="1189"/>
    <x v="159"/>
    <n v="12"/>
    <s v="Company L"/>
    <x v="3"/>
    <x v="2"/>
    <s v="New Mexico"/>
    <x v="4"/>
    <n v="69"/>
    <n v="4"/>
    <n v="276"/>
    <n v="5"/>
  </r>
  <r>
    <s v="1193"/>
    <x v="160"/>
    <n v="3"/>
    <s v="Company C"/>
    <x v="4"/>
    <x v="2"/>
    <s v="Texas"/>
    <x v="4"/>
    <n v="69"/>
    <n v="0"/>
    <n v="0"/>
    <n v="2"/>
  </r>
  <r>
    <s v="1198"/>
    <x v="493"/>
    <n v="16"/>
    <s v="Company P"/>
    <x v="0"/>
    <x v="0"/>
    <s v="Arizona"/>
    <x v="4"/>
    <n v="69"/>
    <n v="9"/>
    <n v="621"/>
    <n v="3"/>
  </r>
  <r>
    <s v="1199"/>
    <x v="493"/>
    <n v="16"/>
    <s v="Company P"/>
    <x v="0"/>
    <x v="0"/>
    <s v="Arizona"/>
    <x v="4"/>
    <n v="69"/>
    <n v="5"/>
    <n v="345"/>
    <n v="3"/>
  </r>
  <r>
    <s v="1200"/>
    <x v="493"/>
    <n v="16"/>
    <s v="Company P"/>
    <x v="6"/>
    <x v="0"/>
    <s v="Arizona"/>
    <x v="4"/>
    <n v="69"/>
    <n v="2"/>
    <n v="138"/>
    <n v="5"/>
  </r>
  <r>
    <s v="1201"/>
    <x v="161"/>
    <n v="16"/>
    <s v="Company P"/>
    <x v="6"/>
    <x v="0"/>
    <s v="Arizona"/>
    <x v="4"/>
    <n v="69"/>
    <n v="1"/>
    <n v="69"/>
    <n v="5"/>
  </r>
  <r>
    <s v="1204"/>
    <x v="161"/>
    <n v="5"/>
    <s v="Company E"/>
    <x v="2"/>
    <x v="0"/>
    <s v="Texas"/>
    <x v="4"/>
    <n v="69"/>
    <n v="3"/>
    <n v="207"/>
    <n v="2"/>
  </r>
  <r>
    <s v="1206"/>
    <x v="161"/>
    <n v="17"/>
    <s v="Company Q"/>
    <x v="6"/>
    <x v="0"/>
    <s v="Arizona"/>
    <x v="4"/>
    <n v="69"/>
    <n v="6"/>
    <n v="414"/>
    <n v="5"/>
  </r>
  <r>
    <s v="1213"/>
    <x v="571"/>
    <n v="16"/>
    <s v="Company P"/>
    <x v="6"/>
    <x v="0"/>
    <s v="Arizona"/>
    <x v="4"/>
    <n v="69"/>
    <n v="2"/>
    <n v="138"/>
    <n v="5"/>
  </r>
  <r>
    <s v="1215"/>
    <x v="381"/>
    <n v="4"/>
    <s v="Company D"/>
    <x v="2"/>
    <x v="0"/>
    <s v="Texas"/>
    <x v="4"/>
    <n v="69"/>
    <n v="6"/>
    <n v="414"/>
    <n v="2"/>
  </r>
  <r>
    <s v="1218"/>
    <x v="382"/>
    <n v="12"/>
    <s v="Company L"/>
    <x v="3"/>
    <x v="2"/>
    <s v="New Mexico"/>
    <x v="4"/>
    <n v="69"/>
    <n v="7"/>
    <n v="483"/>
    <n v="5"/>
  </r>
  <r>
    <s v="1231"/>
    <x v="165"/>
    <n v="2"/>
    <s v="Company B"/>
    <x v="4"/>
    <x v="2"/>
    <s v="Texas"/>
    <x v="4"/>
    <n v="69"/>
    <n v="3"/>
    <n v="207"/>
    <n v="2"/>
  </r>
  <r>
    <s v="1233"/>
    <x v="165"/>
    <n v="5"/>
    <s v="Company E"/>
    <x v="2"/>
    <x v="0"/>
    <s v="Texas"/>
    <x v="4"/>
    <n v="69"/>
    <n v="2"/>
    <n v="138"/>
    <n v="2"/>
  </r>
  <r>
    <s v="1241"/>
    <x v="494"/>
    <n v="6"/>
    <s v="Company F"/>
    <x v="1"/>
    <x v="1"/>
    <s v="California"/>
    <x v="4"/>
    <n v="69"/>
    <n v="5"/>
    <n v="345"/>
    <n v="4"/>
  </r>
  <r>
    <s v="1248"/>
    <x v="167"/>
    <n v="11"/>
    <s v="Company K"/>
    <x v="3"/>
    <x v="2"/>
    <s v="New Mexico"/>
    <x v="4"/>
    <n v="69"/>
    <n v="4"/>
    <n v="276"/>
    <n v="5"/>
  </r>
  <r>
    <s v="1250"/>
    <x v="167"/>
    <n v="3"/>
    <s v="Company C"/>
    <x v="2"/>
    <x v="0"/>
    <s v="Texas"/>
    <x v="4"/>
    <n v="69"/>
    <n v="6"/>
    <n v="414"/>
    <n v="2"/>
  </r>
  <r>
    <s v="1258"/>
    <x v="575"/>
    <n v="11"/>
    <s v="Company K"/>
    <x v="3"/>
    <x v="2"/>
    <s v="New Mexico"/>
    <x v="4"/>
    <n v="69"/>
    <n v="6"/>
    <n v="414"/>
    <n v="5"/>
  </r>
  <r>
    <s v="1268"/>
    <x v="172"/>
    <n v="2"/>
    <s v="Company B"/>
    <x v="2"/>
    <x v="0"/>
    <s v="Texas"/>
    <x v="4"/>
    <n v="69"/>
    <n v="9"/>
    <n v="621"/>
    <n v="2"/>
  </r>
  <r>
    <s v="1279"/>
    <x v="174"/>
    <n v="17"/>
    <s v="Company Q"/>
    <x v="6"/>
    <x v="0"/>
    <s v="Arizona"/>
    <x v="4"/>
    <n v="69"/>
    <n v="4"/>
    <n v="276"/>
    <n v="5"/>
  </r>
  <r>
    <s v="1282"/>
    <x v="174"/>
    <n v="6"/>
    <s v="Company F"/>
    <x v="7"/>
    <x v="3"/>
    <s v="California"/>
    <x v="4"/>
    <n v="69"/>
    <n v="8"/>
    <n v="552"/>
    <n v="8"/>
  </r>
  <r>
    <s v="1285"/>
    <x v="174"/>
    <n v="2"/>
    <s v="Company B"/>
    <x v="4"/>
    <x v="2"/>
    <s v="Texas"/>
    <x v="4"/>
    <n v="69"/>
    <n v="8"/>
    <n v="552"/>
    <n v="2"/>
  </r>
  <r>
    <s v="1306"/>
    <x v="177"/>
    <n v="7"/>
    <s v="Company G"/>
    <x v="7"/>
    <x v="3"/>
    <s v="California"/>
    <x v="4"/>
    <n v="69"/>
    <n v="5"/>
    <n v="345"/>
    <n v="8"/>
  </r>
  <r>
    <s v="1311"/>
    <x v="634"/>
    <n v="4"/>
    <s v="Company D"/>
    <x v="4"/>
    <x v="2"/>
    <s v="Texas"/>
    <x v="4"/>
    <n v="69"/>
    <n v="4"/>
    <n v="276"/>
    <n v="2"/>
  </r>
  <r>
    <s v="1315"/>
    <x v="179"/>
    <n v="12"/>
    <s v="Company L"/>
    <x v="5"/>
    <x v="1"/>
    <s v="New Mexico"/>
    <x v="4"/>
    <n v="69"/>
    <n v="8"/>
    <n v="552"/>
    <n v="6"/>
  </r>
  <r>
    <s v="1316"/>
    <x v="179"/>
    <n v="1"/>
    <s v="Company A"/>
    <x v="2"/>
    <x v="0"/>
    <s v="Texas"/>
    <x v="4"/>
    <n v="69"/>
    <n v="9"/>
    <n v="621"/>
    <n v="2"/>
  </r>
  <r>
    <s v="1320"/>
    <x v="498"/>
    <n v="8"/>
    <s v="Company H"/>
    <x v="7"/>
    <x v="3"/>
    <s v="California"/>
    <x v="4"/>
    <n v="69"/>
    <n v="4"/>
    <n v="276"/>
    <n v="8"/>
  </r>
  <r>
    <s v="1321"/>
    <x v="180"/>
    <n v="10"/>
    <s v="Company J"/>
    <x v="7"/>
    <x v="3"/>
    <s v="California"/>
    <x v="4"/>
    <n v="69"/>
    <n v="9"/>
    <n v="621"/>
    <n v="8"/>
  </r>
  <r>
    <s v="1335"/>
    <x v="576"/>
    <n v="18"/>
    <s v="Company R"/>
    <x v="6"/>
    <x v="0"/>
    <s v="Arizona"/>
    <x v="4"/>
    <n v="69"/>
    <n v="2"/>
    <n v="138"/>
    <n v="5"/>
  </r>
  <r>
    <s v="1339"/>
    <x v="184"/>
    <n v="19"/>
    <s v="Company S"/>
    <x v="6"/>
    <x v="0"/>
    <s v="Arizona"/>
    <x v="4"/>
    <n v="69"/>
    <n v="7"/>
    <n v="483"/>
    <n v="5"/>
  </r>
  <r>
    <s v="1342"/>
    <x v="184"/>
    <n v="17"/>
    <s v="Company Q"/>
    <x v="0"/>
    <x v="0"/>
    <s v="Arizona"/>
    <x v="4"/>
    <n v="69"/>
    <n v="0"/>
    <n v="0"/>
    <n v="3"/>
  </r>
  <r>
    <s v="1346"/>
    <x v="635"/>
    <n v="11"/>
    <s v="Company K"/>
    <x v="3"/>
    <x v="2"/>
    <s v="New Mexico"/>
    <x v="4"/>
    <n v="69"/>
    <n v="7"/>
    <n v="483"/>
    <n v="5"/>
  </r>
  <r>
    <s v="1353"/>
    <x v="185"/>
    <n v="6"/>
    <s v="Company F"/>
    <x v="1"/>
    <x v="1"/>
    <s v="California"/>
    <x v="4"/>
    <n v="69"/>
    <n v="5"/>
    <n v="345"/>
    <n v="4"/>
  </r>
  <r>
    <s v="1356"/>
    <x v="186"/>
    <n v="7"/>
    <s v="Company G"/>
    <x v="7"/>
    <x v="3"/>
    <s v="California"/>
    <x v="4"/>
    <n v="69"/>
    <n v="1"/>
    <n v="69"/>
    <n v="8"/>
  </r>
  <r>
    <s v="1358"/>
    <x v="186"/>
    <n v="13"/>
    <s v="Company M"/>
    <x v="5"/>
    <x v="1"/>
    <s v="New Mexico"/>
    <x v="4"/>
    <n v="69"/>
    <n v="2"/>
    <n v="138"/>
    <n v="6"/>
  </r>
  <r>
    <s v="1363"/>
    <x v="186"/>
    <n v="2"/>
    <s v="Company B"/>
    <x v="2"/>
    <x v="0"/>
    <s v="Texas"/>
    <x v="4"/>
    <n v="69"/>
    <n v="4"/>
    <n v="276"/>
    <n v="2"/>
  </r>
  <r>
    <s v="1374"/>
    <x v="636"/>
    <n v="13"/>
    <s v="Company M"/>
    <x v="5"/>
    <x v="1"/>
    <s v="New Mexico"/>
    <x v="4"/>
    <n v="69"/>
    <n v="9"/>
    <n v="621"/>
    <n v="6"/>
  </r>
  <r>
    <s v="1382"/>
    <x v="190"/>
    <n v="5"/>
    <s v="Company E"/>
    <x v="4"/>
    <x v="2"/>
    <s v="Texas"/>
    <x v="4"/>
    <n v="69"/>
    <n v="1"/>
    <n v="69"/>
    <n v="2"/>
  </r>
  <r>
    <s v="1389"/>
    <x v="190"/>
    <n v="1"/>
    <s v="Company A"/>
    <x v="2"/>
    <x v="0"/>
    <s v="Texas"/>
    <x v="4"/>
    <n v="69"/>
    <n v="9"/>
    <n v="621"/>
    <n v="2"/>
  </r>
  <r>
    <s v="1393"/>
    <x v="394"/>
    <n v="18"/>
    <s v="Company R"/>
    <x v="0"/>
    <x v="0"/>
    <s v="Arizona"/>
    <x v="4"/>
    <n v="69"/>
    <n v="3"/>
    <n v="207"/>
    <n v="3"/>
  </r>
  <r>
    <s v="1402"/>
    <x v="192"/>
    <n v="8"/>
    <s v="Company H"/>
    <x v="1"/>
    <x v="1"/>
    <s v="California"/>
    <x v="4"/>
    <n v="69"/>
    <n v="8"/>
    <n v="552"/>
    <n v="4"/>
  </r>
  <r>
    <s v="1433"/>
    <x v="397"/>
    <n v="5"/>
    <s v="Company E"/>
    <x v="4"/>
    <x v="2"/>
    <s v="Texas"/>
    <x v="4"/>
    <n v="69"/>
    <n v="5"/>
    <n v="345"/>
    <n v="2"/>
  </r>
  <r>
    <s v="1436"/>
    <x v="397"/>
    <n v="20"/>
    <s v="Company T"/>
    <x v="6"/>
    <x v="0"/>
    <s v="Arizona"/>
    <x v="4"/>
    <n v="69"/>
    <n v="9"/>
    <n v="621"/>
    <n v="5"/>
  </r>
  <r>
    <s v="1438"/>
    <x v="398"/>
    <n v="4"/>
    <s v="Company D"/>
    <x v="4"/>
    <x v="2"/>
    <s v="Texas"/>
    <x v="4"/>
    <n v="69"/>
    <n v="7"/>
    <n v="483"/>
    <n v="2"/>
  </r>
  <r>
    <s v="1442"/>
    <x v="398"/>
    <n v="15"/>
    <s v="Company O"/>
    <x v="3"/>
    <x v="2"/>
    <s v="New Mexico"/>
    <x v="4"/>
    <n v="69"/>
    <n v="1"/>
    <n v="69"/>
    <n v="5"/>
  </r>
  <r>
    <s v="1447"/>
    <x v="200"/>
    <n v="7"/>
    <s v="Company G"/>
    <x v="7"/>
    <x v="3"/>
    <s v="California"/>
    <x v="4"/>
    <n v="69"/>
    <n v="6"/>
    <n v="414"/>
    <n v="8"/>
  </r>
  <r>
    <s v="1453"/>
    <x v="201"/>
    <n v="9"/>
    <s v="Company I"/>
    <x v="7"/>
    <x v="3"/>
    <s v="California"/>
    <x v="4"/>
    <n v="69"/>
    <n v="6"/>
    <n v="414"/>
    <n v="8"/>
  </r>
  <r>
    <s v="1457"/>
    <x v="201"/>
    <n v="17"/>
    <s v="Company Q"/>
    <x v="0"/>
    <x v="0"/>
    <s v="Arizona"/>
    <x v="4"/>
    <n v="69"/>
    <n v="5"/>
    <n v="345"/>
    <n v="3"/>
  </r>
  <r>
    <s v="1458"/>
    <x v="503"/>
    <n v="15"/>
    <s v="Company O"/>
    <x v="3"/>
    <x v="2"/>
    <s v="New Mexico"/>
    <x v="4"/>
    <n v="69"/>
    <n v="0"/>
    <n v="0"/>
    <n v="5"/>
  </r>
  <r>
    <s v="1469"/>
    <x v="637"/>
    <n v="12"/>
    <s v="Company L"/>
    <x v="5"/>
    <x v="1"/>
    <s v="New Mexico"/>
    <x v="4"/>
    <n v="69"/>
    <n v="2"/>
    <n v="138"/>
    <n v="6"/>
  </r>
  <r>
    <s v="1470"/>
    <x v="638"/>
    <n v="1"/>
    <s v="Company A"/>
    <x v="2"/>
    <x v="0"/>
    <s v="Texas"/>
    <x v="4"/>
    <n v="69"/>
    <n v="0"/>
    <n v="0"/>
    <n v="2"/>
  </r>
  <r>
    <s v="1472"/>
    <x v="205"/>
    <n v="19"/>
    <s v="Company S"/>
    <x v="0"/>
    <x v="0"/>
    <s v="Arizona"/>
    <x v="4"/>
    <n v="69"/>
    <n v="0"/>
    <n v="0"/>
    <n v="3"/>
  </r>
  <r>
    <s v="1482"/>
    <x v="207"/>
    <n v="4"/>
    <s v="Company D"/>
    <x v="2"/>
    <x v="0"/>
    <s v="Texas"/>
    <x v="4"/>
    <n v="69"/>
    <n v="0"/>
    <n v="0"/>
    <n v="2"/>
  </r>
  <r>
    <s v="1484"/>
    <x v="401"/>
    <n v="18"/>
    <s v="Company R"/>
    <x v="0"/>
    <x v="0"/>
    <s v="Arizona"/>
    <x v="4"/>
    <n v="69"/>
    <n v="2"/>
    <n v="138"/>
    <n v="3"/>
  </r>
  <r>
    <s v="1486"/>
    <x v="581"/>
    <n v="1"/>
    <s v="Company A"/>
    <x v="4"/>
    <x v="2"/>
    <s v="Texas"/>
    <x v="4"/>
    <n v="69"/>
    <n v="5"/>
    <n v="345"/>
    <n v="2"/>
  </r>
  <r>
    <s v="1489"/>
    <x v="208"/>
    <n v="6"/>
    <s v="Company F"/>
    <x v="1"/>
    <x v="1"/>
    <s v="California"/>
    <x v="4"/>
    <n v="69"/>
    <n v="4"/>
    <n v="276"/>
    <n v="4"/>
  </r>
  <r>
    <s v="1501"/>
    <x v="639"/>
    <n v="8"/>
    <s v="Company H"/>
    <x v="7"/>
    <x v="3"/>
    <s v="California"/>
    <x v="4"/>
    <n v="69"/>
    <n v="8"/>
    <n v="552"/>
    <n v="8"/>
  </r>
  <r>
    <s v="1506"/>
    <x v="210"/>
    <n v="20"/>
    <s v="Company T"/>
    <x v="6"/>
    <x v="0"/>
    <s v="Arizona"/>
    <x v="4"/>
    <n v="69"/>
    <n v="4"/>
    <n v="276"/>
    <n v="5"/>
  </r>
  <r>
    <s v="1510"/>
    <x v="406"/>
    <n v="1"/>
    <s v="Company A"/>
    <x v="2"/>
    <x v="0"/>
    <s v="Texas"/>
    <x v="4"/>
    <n v="69"/>
    <n v="9"/>
    <n v="621"/>
    <n v="2"/>
  </r>
  <r>
    <s v="1517"/>
    <x v="211"/>
    <n v="17"/>
    <s v="Company Q"/>
    <x v="0"/>
    <x v="0"/>
    <s v="Arizona"/>
    <x v="4"/>
    <n v="69"/>
    <n v="5"/>
    <n v="345"/>
    <n v="3"/>
  </r>
  <r>
    <s v="1518"/>
    <x v="211"/>
    <n v="3"/>
    <s v="Company C"/>
    <x v="2"/>
    <x v="0"/>
    <s v="Texas"/>
    <x v="4"/>
    <n v="69"/>
    <n v="8"/>
    <n v="552"/>
    <n v="2"/>
  </r>
  <r>
    <s v="1519"/>
    <x v="640"/>
    <n v="14"/>
    <s v="Company N"/>
    <x v="5"/>
    <x v="1"/>
    <s v="New Mexico"/>
    <x v="4"/>
    <n v="69"/>
    <n v="9"/>
    <n v="621"/>
    <n v="6"/>
  </r>
  <r>
    <s v="1522"/>
    <x v="641"/>
    <n v="15"/>
    <s v="Company O"/>
    <x v="5"/>
    <x v="1"/>
    <s v="New Mexico"/>
    <x v="4"/>
    <n v="69"/>
    <n v="9"/>
    <n v="621"/>
    <n v="6"/>
  </r>
  <r>
    <s v="1525"/>
    <x v="213"/>
    <n v="3"/>
    <s v="Company C"/>
    <x v="4"/>
    <x v="2"/>
    <s v="Texas"/>
    <x v="4"/>
    <n v="69"/>
    <n v="6"/>
    <n v="414"/>
    <n v="2"/>
  </r>
  <r>
    <s v="1533"/>
    <x v="407"/>
    <n v="18"/>
    <s v="Company R"/>
    <x v="0"/>
    <x v="0"/>
    <s v="Arizona"/>
    <x v="4"/>
    <n v="69"/>
    <n v="4"/>
    <n v="276"/>
    <n v="3"/>
  </r>
  <r>
    <s v="1534"/>
    <x v="407"/>
    <n v="1"/>
    <s v="Company A"/>
    <x v="2"/>
    <x v="0"/>
    <s v="Texas"/>
    <x v="4"/>
    <n v="69"/>
    <n v="1"/>
    <n v="69"/>
    <n v="2"/>
  </r>
  <r>
    <s v="1535"/>
    <x v="407"/>
    <n v="7"/>
    <s v="Company G"/>
    <x v="7"/>
    <x v="3"/>
    <s v="California"/>
    <x v="4"/>
    <n v="69"/>
    <n v="5"/>
    <n v="345"/>
    <n v="8"/>
  </r>
  <r>
    <s v="1538"/>
    <x v="214"/>
    <n v="3"/>
    <s v="Company C"/>
    <x v="4"/>
    <x v="2"/>
    <s v="Texas"/>
    <x v="4"/>
    <n v="69"/>
    <n v="6"/>
    <n v="414"/>
    <n v="2"/>
  </r>
  <r>
    <s v="1554"/>
    <x v="217"/>
    <n v="13"/>
    <s v="Company M"/>
    <x v="5"/>
    <x v="1"/>
    <s v="New Mexico"/>
    <x v="4"/>
    <n v="69"/>
    <n v="0"/>
    <n v="0"/>
    <n v="6"/>
  </r>
  <r>
    <s v="1557"/>
    <x v="217"/>
    <n v="1"/>
    <s v="Company A"/>
    <x v="4"/>
    <x v="2"/>
    <s v="Texas"/>
    <x v="4"/>
    <n v="69"/>
    <n v="7"/>
    <n v="483"/>
    <n v="2"/>
  </r>
  <r>
    <s v="1567"/>
    <x v="410"/>
    <n v="17"/>
    <s v="Company Q"/>
    <x v="0"/>
    <x v="0"/>
    <s v="Arizona"/>
    <x v="4"/>
    <n v="69"/>
    <n v="2"/>
    <n v="138"/>
    <n v="3"/>
  </r>
  <r>
    <s v="1569"/>
    <x v="411"/>
    <n v="8"/>
    <s v="Company H"/>
    <x v="1"/>
    <x v="1"/>
    <s v="California"/>
    <x v="4"/>
    <n v="69"/>
    <n v="2"/>
    <n v="138"/>
    <n v="4"/>
  </r>
  <r>
    <s v="1570"/>
    <x v="411"/>
    <n v="14"/>
    <s v="Company N"/>
    <x v="3"/>
    <x v="2"/>
    <s v="New Mexico"/>
    <x v="4"/>
    <n v="69"/>
    <n v="9"/>
    <n v="621"/>
    <n v="5"/>
  </r>
  <r>
    <s v="1578"/>
    <x v="222"/>
    <n v="7"/>
    <s v="Company G"/>
    <x v="1"/>
    <x v="1"/>
    <s v="California"/>
    <x v="4"/>
    <n v="69"/>
    <n v="3"/>
    <n v="207"/>
    <n v="4"/>
  </r>
  <r>
    <s v="1581"/>
    <x v="222"/>
    <n v="9"/>
    <s v="Company I"/>
    <x v="7"/>
    <x v="3"/>
    <s v="California"/>
    <x v="4"/>
    <n v="69"/>
    <n v="0"/>
    <n v="0"/>
    <n v="8"/>
  </r>
  <r>
    <s v="1589"/>
    <x v="412"/>
    <n v="7"/>
    <s v="Company G"/>
    <x v="1"/>
    <x v="1"/>
    <s v="California"/>
    <x v="4"/>
    <n v="69"/>
    <n v="3"/>
    <n v="207"/>
    <n v="4"/>
  </r>
  <r>
    <s v="1591"/>
    <x v="412"/>
    <n v="16"/>
    <s v="Company P"/>
    <x v="0"/>
    <x v="0"/>
    <s v="Arizona"/>
    <x v="4"/>
    <n v="69"/>
    <n v="5"/>
    <n v="345"/>
    <n v="3"/>
  </r>
  <r>
    <s v="1606"/>
    <x v="224"/>
    <n v="16"/>
    <s v="Company P"/>
    <x v="6"/>
    <x v="0"/>
    <s v="Arizona"/>
    <x v="4"/>
    <n v="69"/>
    <n v="1"/>
    <n v="69"/>
    <n v="5"/>
  </r>
  <r>
    <s v="1610"/>
    <x v="642"/>
    <n v="18"/>
    <s v="Company R"/>
    <x v="0"/>
    <x v="0"/>
    <s v="Arizona"/>
    <x v="4"/>
    <n v="69"/>
    <n v="4"/>
    <n v="276"/>
    <n v="3"/>
  </r>
  <r>
    <s v="1615"/>
    <x v="415"/>
    <n v="3"/>
    <s v="Company C"/>
    <x v="4"/>
    <x v="2"/>
    <s v="Texas"/>
    <x v="4"/>
    <n v="69"/>
    <n v="6"/>
    <n v="414"/>
    <n v="2"/>
  </r>
  <r>
    <s v="1616"/>
    <x v="415"/>
    <n v="10"/>
    <s v="Company J"/>
    <x v="1"/>
    <x v="1"/>
    <s v="California"/>
    <x v="4"/>
    <n v="69"/>
    <n v="4"/>
    <n v="276"/>
    <n v="4"/>
  </r>
  <r>
    <s v="1618"/>
    <x v="643"/>
    <n v="19"/>
    <s v="Company S"/>
    <x v="0"/>
    <x v="0"/>
    <s v="Arizona"/>
    <x v="4"/>
    <n v="69"/>
    <n v="1"/>
    <n v="69"/>
    <n v="3"/>
  </r>
  <r>
    <s v="1631"/>
    <x v="226"/>
    <n v="17"/>
    <s v="Company Q"/>
    <x v="0"/>
    <x v="0"/>
    <s v="Arizona"/>
    <x v="4"/>
    <n v="69"/>
    <n v="7"/>
    <n v="483"/>
    <n v="3"/>
  </r>
  <r>
    <s v="1636"/>
    <x v="644"/>
    <n v="2"/>
    <s v="Company B"/>
    <x v="4"/>
    <x v="2"/>
    <s v="Texas"/>
    <x v="4"/>
    <n v="69"/>
    <n v="3"/>
    <n v="207"/>
    <n v="2"/>
  </r>
  <r>
    <s v="1640"/>
    <x v="227"/>
    <n v="19"/>
    <s v="Company S"/>
    <x v="6"/>
    <x v="0"/>
    <s v="Arizona"/>
    <x v="4"/>
    <n v="69"/>
    <n v="5"/>
    <n v="345"/>
    <n v="5"/>
  </r>
  <r>
    <s v="1651"/>
    <x v="230"/>
    <n v="20"/>
    <s v="Company T"/>
    <x v="0"/>
    <x v="0"/>
    <s v="Arizona"/>
    <x v="4"/>
    <n v="69"/>
    <n v="0"/>
    <n v="0"/>
    <n v="3"/>
  </r>
  <r>
    <s v="1659"/>
    <x v="232"/>
    <n v="13"/>
    <s v="Company M"/>
    <x v="5"/>
    <x v="1"/>
    <s v="New Mexico"/>
    <x v="4"/>
    <n v="69"/>
    <n v="4"/>
    <n v="276"/>
    <n v="6"/>
  </r>
  <r>
    <s v="1661"/>
    <x v="233"/>
    <n v="9"/>
    <s v="Company I"/>
    <x v="7"/>
    <x v="3"/>
    <s v="California"/>
    <x v="4"/>
    <n v="69"/>
    <n v="5"/>
    <n v="345"/>
    <n v="8"/>
  </r>
  <r>
    <s v="1662"/>
    <x v="233"/>
    <n v="20"/>
    <s v="Company T"/>
    <x v="0"/>
    <x v="0"/>
    <s v="Arizona"/>
    <x v="4"/>
    <n v="69"/>
    <n v="8"/>
    <n v="552"/>
    <n v="3"/>
  </r>
  <r>
    <s v="1669"/>
    <x v="234"/>
    <n v="18"/>
    <s v="Company R"/>
    <x v="0"/>
    <x v="0"/>
    <s v="Arizona"/>
    <x v="4"/>
    <n v="69"/>
    <n v="8"/>
    <n v="552"/>
    <n v="3"/>
  </r>
  <r>
    <s v="1672"/>
    <x v="416"/>
    <n v="4"/>
    <s v="Company D"/>
    <x v="4"/>
    <x v="2"/>
    <s v="Texas"/>
    <x v="4"/>
    <n v="69"/>
    <n v="8"/>
    <n v="552"/>
    <n v="2"/>
  </r>
  <r>
    <s v="1681"/>
    <x v="511"/>
    <n v="6"/>
    <s v="Company F"/>
    <x v="1"/>
    <x v="1"/>
    <s v="California"/>
    <x v="4"/>
    <n v="69"/>
    <n v="5"/>
    <n v="345"/>
    <n v="4"/>
  </r>
  <r>
    <s v="1692"/>
    <x v="645"/>
    <n v="9"/>
    <s v="Company I"/>
    <x v="7"/>
    <x v="3"/>
    <s v="California"/>
    <x v="4"/>
    <n v="69"/>
    <n v="3"/>
    <n v="207"/>
    <n v="8"/>
  </r>
  <r>
    <s v="1697"/>
    <x v="646"/>
    <n v="14"/>
    <s v="Company N"/>
    <x v="3"/>
    <x v="2"/>
    <s v="New Mexico"/>
    <x v="4"/>
    <n v="69"/>
    <n v="8"/>
    <n v="552"/>
    <n v="5"/>
  </r>
  <r>
    <s v="1706"/>
    <x v="647"/>
    <n v="7"/>
    <s v="Company G"/>
    <x v="1"/>
    <x v="1"/>
    <s v="California"/>
    <x v="4"/>
    <n v="69"/>
    <n v="3"/>
    <n v="207"/>
    <n v="4"/>
  </r>
  <r>
    <s v="1711"/>
    <x v="242"/>
    <n v="13"/>
    <s v="Company M"/>
    <x v="5"/>
    <x v="1"/>
    <s v="New Mexico"/>
    <x v="4"/>
    <n v="69"/>
    <n v="2"/>
    <n v="138"/>
    <n v="6"/>
  </r>
  <r>
    <s v="1715"/>
    <x v="244"/>
    <n v="5"/>
    <s v="Company E"/>
    <x v="4"/>
    <x v="2"/>
    <s v="Texas"/>
    <x v="4"/>
    <n v="69"/>
    <n v="3"/>
    <n v="207"/>
    <n v="2"/>
  </r>
  <r>
    <s v="1717"/>
    <x v="244"/>
    <n v="11"/>
    <s v="Company K"/>
    <x v="3"/>
    <x v="2"/>
    <s v="New Mexico"/>
    <x v="4"/>
    <n v="69"/>
    <n v="1"/>
    <n v="69"/>
    <n v="5"/>
  </r>
  <r>
    <s v="1737"/>
    <x v="249"/>
    <n v="1"/>
    <s v="Company A"/>
    <x v="4"/>
    <x v="2"/>
    <s v="Texas"/>
    <x v="4"/>
    <n v="69"/>
    <n v="3"/>
    <n v="207"/>
    <n v="2"/>
  </r>
  <r>
    <s v="1739"/>
    <x v="419"/>
    <n v="3"/>
    <s v="Company C"/>
    <x v="4"/>
    <x v="2"/>
    <s v="Texas"/>
    <x v="4"/>
    <n v="69"/>
    <n v="3"/>
    <n v="207"/>
    <n v="2"/>
  </r>
  <r>
    <s v="1743"/>
    <x v="420"/>
    <n v="19"/>
    <s v="Company S"/>
    <x v="0"/>
    <x v="0"/>
    <s v="Arizona"/>
    <x v="4"/>
    <n v="69"/>
    <n v="2"/>
    <n v="138"/>
    <n v="3"/>
  </r>
  <r>
    <s v="1744"/>
    <x v="420"/>
    <n v="9"/>
    <s v="Company I"/>
    <x v="7"/>
    <x v="3"/>
    <s v="California"/>
    <x v="4"/>
    <n v="69"/>
    <n v="4"/>
    <n v="276"/>
    <n v="8"/>
  </r>
  <r>
    <s v="1746"/>
    <x v="515"/>
    <n v="9"/>
    <s v="Company I"/>
    <x v="1"/>
    <x v="1"/>
    <s v="California"/>
    <x v="4"/>
    <n v="69"/>
    <n v="4"/>
    <n v="276"/>
    <n v="4"/>
  </r>
  <r>
    <s v="1748"/>
    <x v="515"/>
    <n v="11"/>
    <s v="Company K"/>
    <x v="5"/>
    <x v="1"/>
    <s v="New Mexico"/>
    <x v="4"/>
    <n v="69"/>
    <n v="0"/>
    <n v="0"/>
    <n v="6"/>
  </r>
  <r>
    <s v="1750"/>
    <x v="648"/>
    <n v="19"/>
    <s v="Company S"/>
    <x v="0"/>
    <x v="0"/>
    <s v="Arizona"/>
    <x v="4"/>
    <n v="69"/>
    <n v="1"/>
    <n v="69"/>
    <n v="3"/>
  </r>
  <r>
    <s v="1751"/>
    <x v="251"/>
    <n v="15"/>
    <s v="Company O"/>
    <x v="3"/>
    <x v="2"/>
    <s v="New Mexico"/>
    <x v="4"/>
    <n v="69"/>
    <n v="4"/>
    <n v="276"/>
    <n v="5"/>
  </r>
  <r>
    <s v="1753"/>
    <x v="251"/>
    <n v="12"/>
    <s v="Company L"/>
    <x v="5"/>
    <x v="1"/>
    <s v="New Mexico"/>
    <x v="4"/>
    <n v="69"/>
    <n v="8"/>
    <n v="552"/>
    <n v="6"/>
  </r>
  <r>
    <s v="1754"/>
    <x v="251"/>
    <n v="2"/>
    <s v="Company B"/>
    <x v="4"/>
    <x v="2"/>
    <s v="Texas"/>
    <x v="4"/>
    <n v="69"/>
    <n v="9"/>
    <n v="621"/>
    <n v="2"/>
  </r>
  <r>
    <s v="1758"/>
    <x v="251"/>
    <n v="5"/>
    <s v="Company E"/>
    <x v="4"/>
    <x v="2"/>
    <s v="Texas"/>
    <x v="4"/>
    <n v="69"/>
    <n v="9"/>
    <n v="621"/>
    <n v="2"/>
  </r>
  <r>
    <s v="1762"/>
    <x v="517"/>
    <n v="19"/>
    <s v="Company S"/>
    <x v="6"/>
    <x v="0"/>
    <s v="Arizona"/>
    <x v="4"/>
    <n v="69"/>
    <n v="8"/>
    <n v="552"/>
    <n v="5"/>
  </r>
  <r>
    <s v="1764"/>
    <x v="518"/>
    <n v="9"/>
    <s v="Company I"/>
    <x v="7"/>
    <x v="3"/>
    <s v="California"/>
    <x v="4"/>
    <n v="69"/>
    <n v="2"/>
    <n v="138"/>
    <n v="8"/>
  </r>
  <r>
    <s v="1775"/>
    <x v="521"/>
    <n v="7"/>
    <s v="Company G"/>
    <x v="1"/>
    <x v="1"/>
    <s v="California"/>
    <x v="4"/>
    <n v="69"/>
    <n v="9"/>
    <n v="621"/>
    <n v="4"/>
  </r>
  <r>
    <s v="1785"/>
    <x v="255"/>
    <n v="9"/>
    <s v="Company I"/>
    <x v="1"/>
    <x v="1"/>
    <s v="California"/>
    <x v="4"/>
    <n v="69"/>
    <n v="0"/>
    <n v="0"/>
    <n v="4"/>
  </r>
  <r>
    <s v="1793"/>
    <x v="257"/>
    <n v="17"/>
    <s v="Company Q"/>
    <x v="0"/>
    <x v="0"/>
    <s v="Arizona"/>
    <x v="4"/>
    <n v="69"/>
    <n v="0"/>
    <n v="0"/>
    <n v="3"/>
  </r>
  <r>
    <s v="1794"/>
    <x v="257"/>
    <n v="2"/>
    <s v="Company B"/>
    <x v="4"/>
    <x v="2"/>
    <s v="Texas"/>
    <x v="4"/>
    <n v="69"/>
    <n v="9"/>
    <n v="621"/>
    <n v="2"/>
  </r>
  <r>
    <s v="1795"/>
    <x v="257"/>
    <n v="7"/>
    <s v="Company G"/>
    <x v="1"/>
    <x v="1"/>
    <s v="California"/>
    <x v="4"/>
    <n v="69"/>
    <n v="5"/>
    <n v="345"/>
    <n v="4"/>
  </r>
  <r>
    <s v="1806"/>
    <x v="258"/>
    <n v="17"/>
    <s v="Company Q"/>
    <x v="0"/>
    <x v="0"/>
    <s v="Arizona"/>
    <x v="4"/>
    <n v="69"/>
    <n v="7"/>
    <n v="483"/>
    <n v="3"/>
  </r>
  <r>
    <s v="1807"/>
    <x v="258"/>
    <n v="4"/>
    <s v="Company D"/>
    <x v="4"/>
    <x v="2"/>
    <s v="Texas"/>
    <x v="4"/>
    <n v="69"/>
    <n v="3"/>
    <n v="207"/>
    <n v="2"/>
  </r>
  <r>
    <s v="1809"/>
    <x v="423"/>
    <n v="8"/>
    <s v="Company H"/>
    <x v="7"/>
    <x v="3"/>
    <s v="California"/>
    <x v="4"/>
    <n v="69"/>
    <n v="5"/>
    <n v="345"/>
    <n v="8"/>
  </r>
  <r>
    <s v="1811"/>
    <x v="594"/>
    <n v="15"/>
    <s v="Company O"/>
    <x v="5"/>
    <x v="1"/>
    <s v="New Mexico"/>
    <x v="4"/>
    <n v="69"/>
    <n v="4"/>
    <n v="276"/>
    <n v="6"/>
  </r>
  <r>
    <s v="1812"/>
    <x v="594"/>
    <n v="11"/>
    <s v="Company K"/>
    <x v="5"/>
    <x v="1"/>
    <s v="New Mexico"/>
    <x v="4"/>
    <n v="69"/>
    <n v="8"/>
    <n v="552"/>
    <n v="6"/>
  </r>
  <r>
    <s v="1817"/>
    <x v="525"/>
    <n v="8"/>
    <s v="Company H"/>
    <x v="1"/>
    <x v="1"/>
    <s v="California"/>
    <x v="4"/>
    <n v="69"/>
    <n v="8"/>
    <n v="552"/>
    <n v="4"/>
  </r>
  <r>
    <s v="1820"/>
    <x v="525"/>
    <n v="2"/>
    <s v="Company B"/>
    <x v="2"/>
    <x v="0"/>
    <s v="Texas"/>
    <x v="4"/>
    <n v="69"/>
    <n v="9"/>
    <n v="621"/>
    <n v="2"/>
  </r>
  <r>
    <s v="1828"/>
    <x v="425"/>
    <n v="18"/>
    <s v="Company R"/>
    <x v="0"/>
    <x v="0"/>
    <s v="Arizona"/>
    <x v="4"/>
    <n v="69"/>
    <n v="6"/>
    <n v="414"/>
    <n v="3"/>
  </r>
  <r>
    <s v="1829"/>
    <x v="425"/>
    <n v="13"/>
    <s v="Company M"/>
    <x v="5"/>
    <x v="1"/>
    <s v="New Mexico"/>
    <x v="4"/>
    <n v="69"/>
    <n v="4"/>
    <n v="276"/>
    <n v="6"/>
  </r>
  <r>
    <s v="1833"/>
    <x v="427"/>
    <n v="8"/>
    <s v="Company H"/>
    <x v="1"/>
    <x v="1"/>
    <s v="California"/>
    <x v="4"/>
    <n v="69"/>
    <n v="5"/>
    <n v="345"/>
    <n v="4"/>
  </r>
  <r>
    <s v="1837"/>
    <x v="259"/>
    <n v="6"/>
    <s v="Company F"/>
    <x v="7"/>
    <x v="3"/>
    <s v="California"/>
    <x v="4"/>
    <n v="69"/>
    <n v="3"/>
    <n v="207"/>
    <n v="8"/>
  </r>
  <r>
    <s v="1848"/>
    <x v="260"/>
    <n v="1"/>
    <s v="Company A"/>
    <x v="4"/>
    <x v="2"/>
    <s v="Texas"/>
    <x v="4"/>
    <n v="69"/>
    <n v="5"/>
    <n v="345"/>
    <n v="2"/>
  </r>
  <r>
    <s v="1851"/>
    <x v="649"/>
    <n v="14"/>
    <s v="Company N"/>
    <x v="5"/>
    <x v="1"/>
    <s v="New Mexico"/>
    <x v="4"/>
    <n v="69"/>
    <n v="2"/>
    <n v="138"/>
    <n v="6"/>
  </r>
  <r>
    <s v="1852"/>
    <x v="650"/>
    <n v="11"/>
    <s v="Company K"/>
    <x v="3"/>
    <x v="2"/>
    <s v="New Mexico"/>
    <x v="4"/>
    <n v="69"/>
    <n v="9"/>
    <n v="621"/>
    <n v="5"/>
  </r>
  <r>
    <s v="1853"/>
    <x v="651"/>
    <n v="16"/>
    <s v="Company P"/>
    <x v="0"/>
    <x v="0"/>
    <s v="Arizona"/>
    <x v="4"/>
    <n v="69"/>
    <n v="2"/>
    <n v="138"/>
    <n v="3"/>
  </r>
  <r>
    <s v="1859"/>
    <x v="261"/>
    <n v="6"/>
    <s v="Company F"/>
    <x v="7"/>
    <x v="3"/>
    <s v="California"/>
    <x v="4"/>
    <n v="69"/>
    <n v="0"/>
    <n v="0"/>
    <n v="8"/>
  </r>
  <r>
    <s v="1866"/>
    <x v="263"/>
    <n v="7"/>
    <s v="Company G"/>
    <x v="1"/>
    <x v="1"/>
    <s v="California"/>
    <x v="4"/>
    <n v="69"/>
    <n v="6"/>
    <n v="414"/>
    <n v="4"/>
  </r>
  <r>
    <s v="1872"/>
    <x v="526"/>
    <n v="10"/>
    <s v="Company J"/>
    <x v="1"/>
    <x v="1"/>
    <s v="California"/>
    <x v="4"/>
    <n v="69"/>
    <n v="7"/>
    <n v="483"/>
    <n v="4"/>
  </r>
  <r>
    <s v="1878"/>
    <x v="266"/>
    <n v="9"/>
    <s v="Company I"/>
    <x v="7"/>
    <x v="3"/>
    <s v="California"/>
    <x v="4"/>
    <n v="69"/>
    <n v="1"/>
    <n v="69"/>
    <n v="8"/>
  </r>
  <r>
    <s v="1881"/>
    <x v="527"/>
    <n v="9"/>
    <s v="Company I"/>
    <x v="7"/>
    <x v="3"/>
    <s v="California"/>
    <x v="4"/>
    <n v="69"/>
    <n v="8"/>
    <n v="552"/>
    <n v="8"/>
  </r>
  <r>
    <s v="1883"/>
    <x v="267"/>
    <n v="8"/>
    <s v="Company H"/>
    <x v="1"/>
    <x v="1"/>
    <s v="California"/>
    <x v="4"/>
    <n v="69"/>
    <n v="4"/>
    <n v="276"/>
    <n v="4"/>
  </r>
  <r>
    <s v="1888"/>
    <x v="267"/>
    <n v="3"/>
    <s v="Company C"/>
    <x v="2"/>
    <x v="0"/>
    <s v="Texas"/>
    <x v="4"/>
    <n v="69"/>
    <n v="7"/>
    <n v="483"/>
    <n v="2"/>
  </r>
  <r>
    <s v="1889"/>
    <x v="652"/>
    <n v="18"/>
    <s v="Company R"/>
    <x v="6"/>
    <x v="0"/>
    <s v="Arizona"/>
    <x v="4"/>
    <n v="69"/>
    <n v="3"/>
    <n v="207"/>
    <n v="5"/>
  </r>
  <r>
    <s v="1905"/>
    <x v="271"/>
    <n v="14"/>
    <s v="Company N"/>
    <x v="5"/>
    <x v="1"/>
    <s v="New Mexico"/>
    <x v="4"/>
    <n v="69"/>
    <n v="5"/>
    <n v="345"/>
    <n v="6"/>
  </r>
  <r>
    <s v="1906"/>
    <x v="271"/>
    <n v="16"/>
    <s v="Company P"/>
    <x v="0"/>
    <x v="0"/>
    <s v="Arizona"/>
    <x v="4"/>
    <n v="69"/>
    <n v="8"/>
    <n v="552"/>
    <n v="3"/>
  </r>
  <r>
    <s v="1907"/>
    <x v="271"/>
    <n v="1"/>
    <s v="Company A"/>
    <x v="2"/>
    <x v="0"/>
    <s v="Texas"/>
    <x v="4"/>
    <n v="69"/>
    <n v="2"/>
    <n v="138"/>
    <n v="2"/>
  </r>
  <r>
    <s v="1909"/>
    <x v="272"/>
    <n v="15"/>
    <s v="Company O"/>
    <x v="5"/>
    <x v="1"/>
    <s v="New Mexico"/>
    <x v="4"/>
    <n v="69"/>
    <n v="8"/>
    <n v="552"/>
    <n v="6"/>
  </r>
  <r>
    <s v="1913"/>
    <x v="429"/>
    <n v="16"/>
    <s v="Company P"/>
    <x v="6"/>
    <x v="0"/>
    <s v="Arizona"/>
    <x v="4"/>
    <n v="69"/>
    <n v="5"/>
    <n v="345"/>
    <n v="5"/>
  </r>
  <r>
    <s v="1914"/>
    <x v="429"/>
    <n v="9"/>
    <s v="Company I"/>
    <x v="1"/>
    <x v="1"/>
    <s v="California"/>
    <x v="4"/>
    <n v="69"/>
    <n v="0"/>
    <n v="0"/>
    <n v="4"/>
  </r>
  <r>
    <s v="1941"/>
    <x v="532"/>
    <n v="11"/>
    <s v="Company K"/>
    <x v="5"/>
    <x v="1"/>
    <s v="New Mexico"/>
    <x v="4"/>
    <n v="69"/>
    <n v="3"/>
    <n v="207"/>
    <n v="6"/>
  </r>
  <r>
    <s v="1943"/>
    <x v="277"/>
    <n v="18"/>
    <s v="Company R"/>
    <x v="6"/>
    <x v="0"/>
    <s v="Arizona"/>
    <x v="4"/>
    <n v="69"/>
    <n v="3"/>
    <n v="207"/>
    <n v="5"/>
  </r>
  <r>
    <s v="1950"/>
    <x v="653"/>
    <n v="9"/>
    <s v="Company I"/>
    <x v="1"/>
    <x v="1"/>
    <s v="California"/>
    <x v="4"/>
    <n v="69"/>
    <n v="7"/>
    <n v="483"/>
    <n v="4"/>
  </r>
  <r>
    <s v="1953"/>
    <x v="278"/>
    <n v="18"/>
    <s v="Company R"/>
    <x v="0"/>
    <x v="0"/>
    <s v="Arizona"/>
    <x v="4"/>
    <n v="69"/>
    <n v="0"/>
    <n v="0"/>
    <n v="3"/>
  </r>
  <r>
    <s v="1959"/>
    <x v="279"/>
    <n v="12"/>
    <s v="Company L"/>
    <x v="3"/>
    <x v="2"/>
    <s v="New Mexico"/>
    <x v="4"/>
    <n v="69"/>
    <n v="7"/>
    <n v="483"/>
    <n v="5"/>
  </r>
  <r>
    <s v="1968"/>
    <x v="281"/>
    <n v="1"/>
    <s v="Company A"/>
    <x v="4"/>
    <x v="2"/>
    <s v="Texas"/>
    <x v="4"/>
    <n v="69"/>
    <n v="2"/>
    <n v="138"/>
    <n v="2"/>
  </r>
  <r>
    <s v="1971"/>
    <x v="281"/>
    <n v="17"/>
    <s v="Company Q"/>
    <x v="6"/>
    <x v="0"/>
    <s v="Arizona"/>
    <x v="4"/>
    <n v="69"/>
    <n v="6"/>
    <n v="414"/>
    <n v="5"/>
  </r>
  <r>
    <s v="1972"/>
    <x v="281"/>
    <n v="8"/>
    <s v="Company H"/>
    <x v="7"/>
    <x v="3"/>
    <s v="California"/>
    <x v="4"/>
    <n v="69"/>
    <n v="0"/>
    <n v="0"/>
    <n v="8"/>
  </r>
  <r>
    <s v="1980"/>
    <x v="435"/>
    <n v="17"/>
    <s v="Company Q"/>
    <x v="6"/>
    <x v="0"/>
    <s v="Arizona"/>
    <x v="4"/>
    <n v="69"/>
    <n v="4"/>
    <n v="276"/>
    <n v="5"/>
  </r>
  <r>
    <s v="1982"/>
    <x v="435"/>
    <n v="15"/>
    <s v="Company O"/>
    <x v="5"/>
    <x v="1"/>
    <s v="New Mexico"/>
    <x v="4"/>
    <n v="69"/>
    <n v="1"/>
    <n v="69"/>
    <n v="6"/>
  </r>
  <r>
    <s v="1986"/>
    <x v="283"/>
    <n v="1"/>
    <s v="Company A"/>
    <x v="2"/>
    <x v="0"/>
    <s v="Texas"/>
    <x v="4"/>
    <n v="69"/>
    <n v="8"/>
    <n v="552"/>
    <n v="2"/>
  </r>
  <r>
    <s v="1994"/>
    <x v="284"/>
    <n v="3"/>
    <s v="Company C"/>
    <x v="2"/>
    <x v="0"/>
    <s v="Texas"/>
    <x v="4"/>
    <n v="69"/>
    <n v="3"/>
    <n v="207"/>
    <n v="2"/>
  </r>
  <r>
    <s v="1996"/>
    <x v="284"/>
    <n v="9"/>
    <s v="Company I"/>
    <x v="1"/>
    <x v="1"/>
    <s v="California"/>
    <x v="4"/>
    <n v="69"/>
    <n v="8"/>
    <n v="552"/>
    <n v="4"/>
  </r>
  <r>
    <s v="1997"/>
    <x v="284"/>
    <n v="5"/>
    <s v="Company E"/>
    <x v="4"/>
    <x v="2"/>
    <s v="Texas"/>
    <x v="4"/>
    <n v="69"/>
    <n v="6"/>
    <n v="414"/>
    <n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0009"/>
    <d v="2021-01-05T00:00:00"/>
    <n v="20"/>
    <s v="Company T"/>
    <x v="0"/>
    <x v="0"/>
    <s v="Arizona"/>
    <x v="0"/>
    <n v="399"/>
    <n v="5"/>
    <n v="1995"/>
    <n v="3"/>
  </r>
  <r>
    <s v="0012"/>
    <d v="2021-01-05T00:00:00"/>
    <n v="6"/>
    <s v="Company F"/>
    <x v="1"/>
    <x v="1"/>
    <s v="California"/>
    <x v="0"/>
    <n v="399"/>
    <n v="6"/>
    <n v="2394"/>
    <n v="4"/>
  </r>
  <r>
    <s v="0014"/>
    <d v="2021-01-05T00:00:00"/>
    <n v="4"/>
    <s v="Company D"/>
    <x v="2"/>
    <x v="0"/>
    <s v="Texas"/>
    <x v="0"/>
    <n v="399"/>
    <n v="4"/>
    <n v="1596"/>
    <n v="2"/>
  </r>
  <r>
    <s v="0020"/>
    <d v="2021-01-07T00:00:00"/>
    <n v="5"/>
    <s v="Company E"/>
    <x v="2"/>
    <x v="0"/>
    <s v="Texas"/>
    <x v="0"/>
    <n v="399"/>
    <n v="3"/>
    <n v="1197"/>
    <n v="2"/>
  </r>
  <r>
    <s v="0024"/>
    <d v="2021-01-07T00:00:00"/>
    <n v="12"/>
    <s v="Company L"/>
    <x v="3"/>
    <x v="2"/>
    <s v="New Mexico"/>
    <x v="0"/>
    <n v="399"/>
    <n v="2"/>
    <n v="798"/>
    <n v="5"/>
  </r>
  <r>
    <s v="0025"/>
    <d v="2021-01-08T00:00:00"/>
    <n v="3"/>
    <s v="Company C"/>
    <x v="4"/>
    <x v="2"/>
    <s v="Texas"/>
    <x v="0"/>
    <n v="399"/>
    <n v="0"/>
    <n v="0"/>
    <n v="2"/>
  </r>
  <r>
    <s v="0028"/>
    <d v="2021-01-08T00:00:00"/>
    <n v="19"/>
    <s v="Company S"/>
    <x v="0"/>
    <x v="0"/>
    <s v="Arizona"/>
    <x v="0"/>
    <n v="399"/>
    <n v="7"/>
    <n v="2793"/>
    <n v="3"/>
  </r>
  <r>
    <s v="0032"/>
    <d v="2021-01-09T00:00:00"/>
    <n v="6"/>
    <s v="Company F"/>
    <x v="1"/>
    <x v="1"/>
    <s v="California"/>
    <x v="0"/>
    <n v="399"/>
    <n v="3"/>
    <n v="1197"/>
    <n v="4"/>
  </r>
  <r>
    <s v="0037"/>
    <d v="2021-01-11T00:00:00"/>
    <n v="13"/>
    <s v="Company M"/>
    <x v="5"/>
    <x v="1"/>
    <s v="New Mexico"/>
    <x v="0"/>
    <n v="399"/>
    <n v="4"/>
    <n v="1596"/>
    <n v="6"/>
  </r>
  <r>
    <s v="0038"/>
    <d v="2021-01-12T00:00:00"/>
    <n v="20"/>
    <s v="Company T"/>
    <x v="6"/>
    <x v="0"/>
    <s v="Arizona"/>
    <x v="0"/>
    <n v="399"/>
    <n v="3"/>
    <n v="1197"/>
    <n v="5"/>
  </r>
  <r>
    <s v="0041"/>
    <d v="2021-01-13T00:00:00"/>
    <n v="9"/>
    <s v="Company I"/>
    <x v="7"/>
    <x v="3"/>
    <s v="California"/>
    <x v="0"/>
    <n v="399"/>
    <n v="4"/>
    <n v="1596"/>
    <n v="8"/>
  </r>
  <r>
    <s v="0044"/>
    <d v="2021-01-13T00:00:00"/>
    <n v="7"/>
    <s v="Company G"/>
    <x v="1"/>
    <x v="1"/>
    <s v="California"/>
    <x v="0"/>
    <n v="399"/>
    <n v="5"/>
    <n v="1995"/>
    <n v="4"/>
  </r>
  <r>
    <s v="0051"/>
    <d v="2021-01-13T00:00:00"/>
    <n v="19"/>
    <s v="Company S"/>
    <x v="0"/>
    <x v="0"/>
    <s v="Arizona"/>
    <x v="0"/>
    <n v="399"/>
    <n v="6"/>
    <n v="2394"/>
    <n v="3"/>
  </r>
  <r>
    <s v="0055"/>
    <d v="2021-01-15T00:00:00"/>
    <n v="7"/>
    <s v="Company G"/>
    <x v="1"/>
    <x v="1"/>
    <s v="California"/>
    <x v="0"/>
    <n v="399"/>
    <n v="0"/>
    <n v="0"/>
    <n v="4"/>
  </r>
  <r>
    <s v="0059"/>
    <d v="2021-01-15T00:00:00"/>
    <n v="9"/>
    <s v="Company I"/>
    <x v="7"/>
    <x v="3"/>
    <s v="California"/>
    <x v="0"/>
    <n v="399"/>
    <n v="7"/>
    <n v="2793"/>
    <n v="8"/>
  </r>
  <r>
    <s v="0064"/>
    <d v="2021-01-18T00:00:00"/>
    <n v="9"/>
    <s v="Company I"/>
    <x v="1"/>
    <x v="1"/>
    <s v="California"/>
    <x v="0"/>
    <n v="399"/>
    <n v="1"/>
    <n v="399"/>
    <n v="4"/>
  </r>
  <r>
    <s v="0072"/>
    <d v="2021-01-22T00:00:00"/>
    <n v="15"/>
    <s v="Company O"/>
    <x v="5"/>
    <x v="1"/>
    <s v="New Mexico"/>
    <x v="0"/>
    <n v="399"/>
    <n v="4"/>
    <n v="1596"/>
    <n v="6"/>
  </r>
  <r>
    <s v="0081"/>
    <d v="2021-01-24T00:00:00"/>
    <n v="7"/>
    <s v="Company G"/>
    <x v="1"/>
    <x v="1"/>
    <s v="California"/>
    <x v="0"/>
    <n v="399"/>
    <n v="6"/>
    <n v="2394"/>
    <n v="4"/>
  </r>
  <r>
    <s v="0084"/>
    <d v="2021-01-25T00:00:00"/>
    <n v="18"/>
    <s v="Company R"/>
    <x v="0"/>
    <x v="0"/>
    <s v="Arizona"/>
    <x v="0"/>
    <n v="399"/>
    <n v="1"/>
    <n v="399"/>
    <n v="3"/>
  </r>
  <r>
    <s v="0085"/>
    <d v="2021-01-26T00:00:00"/>
    <n v="4"/>
    <s v="Company D"/>
    <x v="4"/>
    <x v="2"/>
    <s v="Texas"/>
    <x v="0"/>
    <n v="399"/>
    <n v="9"/>
    <n v="3591"/>
    <n v="2"/>
  </r>
  <r>
    <s v="0086"/>
    <d v="2021-01-26T00:00:00"/>
    <n v="12"/>
    <s v="Company L"/>
    <x v="3"/>
    <x v="2"/>
    <s v="New Mexico"/>
    <x v="0"/>
    <n v="399"/>
    <n v="2"/>
    <n v="798"/>
    <n v="5"/>
  </r>
  <r>
    <s v="0092"/>
    <d v="2021-01-28T00:00:00"/>
    <n v="20"/>
    <s v="Company T"/>
    <x v="6"/>
    <x v="0"/>
    <s v="Arizona"/>
    <x v="0"/>
    <n v="399"/>
    <n v="6"/>
    <n v="2394"/>
    <n v="5"/>
  </r>
  <r>
    <s v="0093"/>
    <d v="2021-01-29T00:00:00"/>
    <n v="7"/>
    <s v="Company G"/>
    <x v="7"/>
    <x v="3"/>
    <s v="California"/>
    <x v="0"/>
    <n v="399"/>
    <n v="1"/>
    <n v="399"/>
    <n v="8"/>
  </r>
  <r>
    <s v="0104"/>
    <d v="2021-02-02T00:00:00"/>
    <n v="4"/>
    <s v="Company D"/>
    <x v="4"/>
    <x v="2"/>
    <s v="Texas"/>
    <x v="0"/>
    <n v="399"/>
    <n v="1"/>
    <n v="399"/>
    <n v="2"/>
  </r>
  <r>
    <s v="0108"/>
    <d v="2021-02-02T00:00:00"/>
    <n v="15"/>
    <s v="Company O"/>
    <x v="5"/>
    <x v="1"/>
    <s v="New Mexico"/>
    <x v="0"/>
    <n v="399"/>
    <n v="2"/>
    <n v="798"/>
    <n v="6"/>
  </r>
  <r>
    <s v="0111"/>
    <d v="2021-02-03T00:00:00"/>
    <n v="19"/>
    <s v="Company S"/>
    <x v="0"/>
    <x v="0"/>
    <s v="Arizona"/>
    <x v="0"/>
    <n v="399"/>
    <n v="6"/>
    <n v="2394"/>
    <n v="3"/>
  </r>
  <r>
    <s v="0112"/>
    <d v="2021-02-04T00:00:00"/>
    <n v="1"/>
    <s v="Company A"/>
    <x v="2"/>
    <x v="0"/>
    <s v="Texas"/>
    <x v="0"/>
    <n v="399"/>
    <n v="2"/>
    <n v="798"/>
    <n v="2"/>
  </r>
  <r>
    <s v="0113"/>
    <d v="2021-02-05T00:00:00"/>
    <n v="17"/>
    <s v="Company Q"/>
    <x v="6"/>
    <x v="0"/>
    <s v="Arizona"/>
    <x v="0"/>
    <n v="399"/>
    <n v="5"/>
    <n v="1995"/>
    <n v="5"/>
  </r>
  <r>
    <s v="0117"/>
    <d v="2021-02-05T00:00:00"/>
    <n v="14"/>
    <s v="Company N"/>
    <x v="3"/>
    <x v="2"/>
    <s v="New Mexico"/>
    <x v="0"/>
    <n v="399"/>
    <n v="7"/>
    <n v="2793"/>
    <n v="5"/>
  </r>
  <r>
    <s v="0126"/>
    <d v="2021-02-08T00:00:00"/>
    <n v="18"/>
    <s v="Company R"/>
    <x v="6"/>
    <x v="0"/>
    <s v="Arizona"/>
    <x v="0"/>
    <n v="399"/>
    <n v="4"/>
    <n v="1596"/>
    <n v="5"/>
  </r>
  <r>
    <s v="0131"/>
    <d v="2021-02-11T00:00:00"/>
    <n v="10"/>
    <s v="Company J"/>
    <x v="7"/>
    <x v="3"/>
    <s v="California"/>
    <x v="0"/>
    <n v="399"/>
    <n v="3"/>
    <n v="1197"/>
    <n v="8"/>
  </r>
  <r>
    <s v="0133"/>
    <d v="2021-02-11T00:00:00"/>
    <n v="12"/>
    <s v="Company L"/>
    <x v="3"/>
    <x v="2"/>
    <s v="New Mexico"/>
    <x v="0"/>
    <n v="399"/>
    <n v="9"/>
    <n v="3591"/>
    <n v="5"/>
  </r>
  <r>
    <s v="0137"/>
    <d v="2021-02-13T00:00:00"/>
    <n v="12"/>
    <s v="Company L"/>
    <x v="5"/>
    <x v="1"/>
    <s v="New Mexico"/>
    <x v="0"/>
    <n v="399"/>
    <n v="3"/>
    <n v="1197"/>
    <n v="6"/>
  </r>
  <r>
    <s v="0138"/>
    <d v="2021-02-13T00:00:00"/>
    <n v="14"/>
    <s v="Company N"/>
    <x v="5"/>
    <x v="1"/>
    <s v="New Mexico"/>
    <x v="0"/>
    <n v="399"/>
    <n v="3"/>
    <n v="1197"/>
    <n v="6"/>
  </r>
  <r>
    <s v="0140"/>
    <d v="2021-02-13T00:00:00"/>
    <n v="15"/>
    <s v="Company O"/>
    <x v="5"/>
    <x v="1"/>
    <s v="New Mexico"/>
    <x v="0"/>
    <n v="399"/>
    <n v="8"/>
    <n v="3192"/>
    <n v="6"/>
  </r>
  <r>
    <s v="0148"/>
    <d v="2021-02-13T00:00:00"/>
    <n v="2"/>
    <s v="Company B"/>
    <x v="4"/>
    <x v="2"/>
    <s v="Texas"/>
    <x v="0"/>
    <n v="399"/>
    <n v="2"/>
    <n v="798"/>
    <n v="2"/>
  </r>
  <r>
    <s v="0171"/>
    <d v="2021-02-19T00:00:00"/>
    <n v="8"/>
    <s v="Company H"/>
    <x v="1"/>
    <x v="1"/>
    <s v="California"/>
    <x v="0"/>
    <n v="399"/>
    <n v="6"/>
    <n v="2394"/>
    <n v="4"/>
  </r>
  <r>
    <s v="0173"/>
    <d v="2021-02-19T00:00:00"/>
    <n v="2"/>
    <s v="Company B"/>
    <x v="4"/>
    <x v="2"/>
    <s v="Texas"/>
    <x v="0"/>
    <n v="399"/>
    <n v="1"/>
    <n v="399"/>
    <n v="2"/>
  </r>
  <r>
    <s v="0174"/>
    <d v="2021-02-19T00:00:00"/>
    <n v="6"/>
    <s v="Company F"/>
    <x v="1"/>
    <x v="1"/>
    <s v="California"/>
    <x v="0"/>
    <n v="399"/>
    <n v="6"/>
    <n v="2394"/>
    <n v="4"/>
  </r>
  <r>
    <s v="0185"/>
    <d v="2021-02-23T00:00:00"/>
    <n v="4"/>
    <s v="Company D"/>
    <x v="4"/>
    <x v="2"/>
    <s v="Texas"/>
    <x v="0"/>
    <n v="399"/>
    <n v="5"/>
    <n v="1995"/>
    <n v="2"/>
  </r>
  <r>
    <s v="0187"/>
    <d v="2021-02-24T00:00:00"/>
    <n v="17"/>
    <s v="Company Q"/>
    <x v="6"/>
    <x v="0"/>
    <s v="Arizona"/>
    <x v="0"/>
    <n v="399"/>
    <n v="9"/>
    <n v="3591"/>
    <n v="5"/>
  </r>
  <r>
    <s v="0189"/>
    <d v="2021-02-25T00:00:00"/>
    <n v="20"/>
    <s v="Company T"/>
    <x v="6"/>
    <x v="0"/>
    <s v="Arizona"/>
    <x v="0"/>
    <n v="399"/>
    <n v="8"/>
    <n v="3192"/>
    <n v="5"/>
  </r>
  <r>
    <s v="0192"/>
    <d v="2021-02-26T00:00:00"/>
    <n v="12"/>
    <s v="Company L"/>
    <x v="5"/>
    <x v="1"/>
    <s v="New Mexico"/>
    <x v="0"/>
    <n v="399"/>
    <n v="0"/>
    <n v="0"/>
    <n v="6"/>
  </r>
  <r>
    <s v="0206"/>
    <d v="2021-03-08T00:00:00"/>
    <n v="5"/>
    <s v="Company E"/>
    <x v="4"/>
    <x v="2"/>
    <s v="Texas"/>
    <x v="0"/>
    <n v="399"/>
    <n v="6"/>
    <n v="2394"/>
    <n v="2"/>
  </r>
  <r>
    <s v="0210"/>
    <d v="2021-03-08T00:00:00"/>
    <n v="14"/>
    <s v="Company N"/>
    <x v="3"/>
    <x v="2"/>
    <s v="New Mexico"/>
    <x v="0"/>
    <n v="399"/>
    <n v="8"/>
    <n v="3192"/>
    <n v="5"/>
  </r>
  <r>
    <s v="0224"/>
    <d v="2021-03-11T00:00:00"/>
    <n v="9"/>
    <s v="Company I"/>
    <x v="7"/>
    <x v="3"/>
    <s v="California"/>
    <x v="0"/>
    <n v="399"/>
    <n v="6"/>
    <n v="2394"/>
    <n v="8"/>
  </r>
  <r>
    <s v="0225"/>
    <d v="2021-03-11T00:00:00"/>
    <n v="2"/>
    <s v="Company B"/>
    <x v="2"/>
    <x v="0"/>
    <s v="Texas"/>
    <x v="0"/>
    <n v="399"/>
    <n v="9"/>
    <n v="3591"/>
    <n v="2"/>
  </r>
  <r>
    <s v="0226"/>
    <d v="2021-03-12T00:00:00"/>
    <n v="14"/>
    <s v="Company N"/>
    <x v="3"/>
    <x v="2"/>
    <s v="New Mexico"/>
    <x v="0"/>
    <n v="399"/>
    <n v="1"/>
    <n v="399"/>
    <n v="5"/>
  </r>
  <r>
    <s v="0227"/>
    <d v="2021-03-13T00:00:00"/>
    <n v="14"/>
    <s v="Company N"/>
    <x v="3"/>
    <x v="2"/>
    <s v="New Mexico"/>
    <x v="0"/>
    <n v="399"/>
    <n v="1"/>
    <n v="399"/>
    <n v="5"/>
  </r>
  <r>
    <s v="0230"/>
    <d v="2021-03-15T00:00:00"/>
    <n v="3"/>
    <s v="Company C"/>
    <x v="2"/>
    <x v="0"/>
    <s v="Texas"/>
    <x v="0"/>
    <n v="399"/>
    <n v="6"/>
    <n v="2394"/>
    <n v="2"/>
  </r>
  <r>
    <s v="0232"/>
    <d v="2021-03-15T00:00:00"/>
    <n v="7"/>
    <s v="Company G"/>
    <x v="1"/>
    <x v="1"/>
    <s v="California"/>
    <x v="0"/>
    <n v="399"/>
    <n v="9"/>
    <n v="3591"/>
    <n v="4"/>
  </r>
  <r>
    <s v="0239"/>
    <d v="2021-03-16T00:00:00"/>
    <n v="16"/>
    <s v="Company P"/>
    <x v="0"/>
    <x v="0"/>
    <s v="Arizona"/>
    <x v="0"/>
    <n v="399"/>
    <n v="9"/>
    <n v="3591"/>
    <n v="3"/>
  </r>
  <r>
    <s v="0249"/>
    <d v="2021-03-18T00:00:00"/>
    <n v="19"/>
    <s v="Company S"/>
    <x v="6"/>
    <x v="0"/>
    <s v="Arizona"/>
    <x v="0"/>
    <n v="399"/>
    <n v="3"/>
    <n v="1197"/>
    <n v="5"/>
  </r>
  <r>
    <s v="0251"/>
    <d v="2021-03-18T00:00:00"/>
    <n v="2"/>
    <s v="Company B"/>
    <x v="4"/>
    <x v="2"/>
    <s v="Texas"/>
    <x v="0"/>
    <n v="399"/>
    <n v="9"/>
    <n v="3591"/>
    <n v="2"/>
  </r>
  <r>
    <s v="0253"/>
    <d v="2021-03-18T00:00:00"/>
    <n v="16"/>
    <s v="Company P"/>
    <x v="6"/>
    <x v="0"/>
    <s v="Arizona"/>
    <x v="0"/>
    <n v="399"/>
    <n v="5"/>
    <n v="1995"/>
    <n v="5"/>
  </r>
  <r>
    <s v="0258"/>
    <d v="2021-03-20T00:00:00"/>
    <n v="17"/>
    <s v="Company Q"/>
    <x v="0"/>
    <x v="0"/>
    <s v="Arizona"/>
    <x v="0"/>
    <n v="399"/>
    <n v="5"/>
    <n v="1995"/>
    <n v="3"/>
  </r>
  <r>
    <s v="0270"/>
    <d v="2021-03-25T00:00:00"/>
    <n v="14"/>
    <s v="Company N"/>
    <x v="5"/>
    <x v="1"/>
    <s v="New Mexico"/>
    <x v="0"/>
    <n v="399"/>
    <n v="9"/>
    <n v="3591"/>
    <n v="6"/>
  </r>
  <r>
    <s v="0278"/>
    <d v="2021-03-26T00:00:00"/>
    <n v="6"/>
    <s v="Company F"/>
    <x v="7"/>
    <x v="3"/>
    <s v="California"/>
    <x v="0"/>
    <n v="399"/>
    <n v="8"/>
    <n v="3192"/>
    <n v="8"/>
  </r>
  <r>
    <s v="0297"/>
    <d v="2021-03-31T00:00:00"/>
    <n v="14"/>
    <s v="Company N"/>
    <x v="3"/>
    <x v="2"/>
    <s v="New Mexico"/>
    <x v="0"/>
    <n v="399"/>
    <n v="5"/>
    <n v="1995"/>
    <n v="5"/>
  </r>
  <r>
    <s v="0301"/>
    <d v="2021-04-02T00:00:00"/>
    <n v="10"/>
    <s v="Company J"/>
    <x v="7"/>
    <x v="3"/>
    <s v="California"/>
    <x v="0"/>
    <n v="399"/>
    <n v="9"/>
    <n v="3591"/>
    <n v="8"/>
  </r>
  <r>
    <s v="0321"/>
    <d v="2021-04-12T00:00:00"/>
    <n v="9"/>
    <s v="Company I"/>
    <x v="7"/>
    <x v="3"/>
    <s v="California"/>
    <x v="0"/>
    <n v="399"/>
    <n v="1"/>
    <n v="399"/>
    <n v="8"/>
  </r>
  <r>
    <s v="0325"/>
    <d v="2021-04-14T00:00:00"/>
    <n v="14"/>
    <s v="Company N"/>
    <x v="5"/>
    <x v="1"/>
    <s v="New Mexico"/>
    <x v="0"/>
    <n v="399"/>
    <n v="3"/>
    <n v="1197"/>
    <n v="6"/>
  </r>
  <r>
    <s v="0330"/>
    <d v="2021-04-14T00:00:00"/>
    <n v="7"/>
    <s v="Company G"/>
    <x v="1"/>
    <x v="1"/>
    <s v="California"/>
    <x v="0"/>
    <n v="399"/>
    <n v="8"/>
    <n v="3192"/>
    <n v="4"/>
  </r>
  <r>
    <s v="0331"/>
    <d v="2021-04-14T00:00:00"/>
    <n v="10"/>
    <s v="Company J"/>
    <x v="1"/>
    <x v="1"/>
    <s v="California"/>
    <x v="0"/>
    <n v="399"/>
    <n v="9"/>
    <n v="3591"/>
    <n v="4"/>
  </r>
  <r>
    <s v="0333"/>
    <d v="2021-04-14T00:00:00"/>
    <n v="18"/>
    <s v="Company R"/>
    <x v="6"/>
    <x v="0"/>
    <s v="Arizona"/>
    <x v="0"/>
    <n v="399"/>
    <n v="4"/>
    <n v="1596"/>
    <n v="5"/>
  </r>
  <r>
    <s v="0338"/>
    <d v="2021-04-17T00:00:00"/>
    <n v="13"/>
    <s v="Company M"/>
    <x v="3"/>
    <x v="2"/>
    <s v="New Mexico"/>
    <x v="0"/>
    <n v="399"/>
    <n v="8"/>
    <n v="3192"/>
    <n v="5"/>
  </r>
  <r>
    <s v="0350"/>
    <d v="2021-04-19T00:00:00"/>
    <n v="3"/>
    <s v="Company C"/>
    <x v="2"/>
    <x v="0"/>
    <s v="Texas"/>
    <x v="0"/>
    <n v="399"/>
    <n v="1"/>
    <n v="399"/>
    <n v="2"/>
  </r>
  <r>
    <s v="0353"/>
    <d v="2021-04-20T00:00:00"/>
    <n v="4"/>
    <s v="Company D"/>
    <x v="2"/>
    <x v="0"/>
    <s v="Texas"/>
    <x v="0"/>
    <n v="399"/>
    <n v="1"/>
    <n v="399"/>
    <n v="2"/>
  </r>
  <r>
    <s v="0355"/>
    <d v="2021-04-20T00:00:00"/>
    <n v="17"/>
    <s v="Company Q"/>
    <x v="6"/>
    <x v="0"/>
    <s v="Arizona"/>
    <x v="0"/>
    <n v="399"/>
    <n v="6"/>
    <n v="2394"/>
    <n v="5"/>
  </r>
  <r>
    <s v="0357"/>
    <d v="2021-04-21T00:00:00"/>
    <n v="3"/>
    <s v="Company C"/>
    <x v="4"/>
    <x v="2"/>
    <s v="Texas"/>
    <x v="0"/>
    <n v="399"/>
    <n v="2"/>
    <n v="798"/>
    <n v="2"/>
  </r>
  <r>
    <s v="0359"/>
    <d v="2021-04-22T00:00:00"/>
    <n v="1"/>
    <s v="Company A"/>
    <x v="4"/>
    <x v="2"/>
    <s v="Texas"/>
    <x v="0"/>
    <n v="399"/>
    <n v="5"/>
    <n v="1995"/>
    <n v="2"/>
  </r>
  <r>
    <s v="0362"/>
    <d v="2021-04-22T00:00:00"/>
    <n v="5"/>
    <s v="Company E"/>
    <x v="2"/>
    <x v="0"/>
    <s v="Texas"/>
    <x v="0"/>
    <n v="399"/>
    <n v="2"/>
    <n v="798"/>
    <n v="2"/>
  </r>
  <r>
    <s v="0374"/>
    <d v="2021-04-25T00:00:00"/>
    <n v="5"/>
    <s v="Company E"/>
    <x v="2"/>
    <x v="0"/>
    <s v="Texas"/>
    <x v="0"/>
    <n v="399"/>
    <n v="3"/>
    <n v="1197"/>
    <n v="2"/>
  </r>
  <r>
    <s v="0378"/>
    <d v="2021-04-25T00:00:00"/>
    <n v="11"/>
    <s v="Company K"/>
    <x v="3"/>
    <x v="2"/>
    <s v="New Mexico"/>
    <x v="0"/>
    <n v="399"/>
    <n v="3"/>
    <n v="1197"/>
    <n v="5"/>
  </r>
  <r>
    <s v="0386"/>
    <d v="2021-04-28T00:00:00"/>
    <n v="3"/>
    <s v="Company C"/>
    <x v="2"/>
    <x v="0"/>
    <s v="Texas"/>
    <x v="0"/>
    <n v="399"/>
    <n v="2"/>
    <n v="798"/>
    <n v="2"/>
  </r>
  <r>
    <s v="0399"/>
    <d v="2021-05-03T00:00:00"/>
    <n v="5"/>
    <s v="Company E"/>
    <x v="4"/>
    <x v="2"/>
    <s v="Texas"/>
    <x v="0"/>
    <n v="399"/>
    <n v="7"/>
    <n v="2793"/>
    <n v="2"/>
  </r>
  <r>
    <s v="0403"/>
    <d v="2021-05-05T00:00:00"/>
    <n v="12"/>
    <s v="Company L"/>
    <x v="5"/>
    <x v="1"/>
    <s v="New Mexico"/>
    <x v="0"/>
    <n v="399"/>
    <n v="6"/>
    <n v="2394"/>
    <n v="6"/>
  </r>
  <r>
    <s v="0417"/>
    <d v="2021-05-09T00:00:00"/>
    <n v="2"/>
    <s v="Company B"/>
    <x v="2"/>
    <x v="0"/>
    <s v="Texas"/>
    <x v="0"/>
    <n v="399"/>
    <n v="1"/>
    <n v="399"/>
    <n v="2"/>
  </r>
  <r>
    <s v="0432"/>
    <d v="2021-05-15T00:00:00"/>
    <n v="2"/>
    <s v="Company B"/>
    <x v="2"/>
    <x v="0"/>
    <s v="Texas"/>
    <x v="0"/>
    <n v="399"/>
    <n v="3"/>
    <n v="1197"/>
    <n v="2"/>
  </r>
  <r>
    <s v="0442"/>
    <d v="2021-05-15T00:00:00"/>
    <n v="1"/>
    <s v="Company A"/>
    <x v="2"/>
    <x v="0"/>
    <s v="Texas"/>
    <x v="0"/>
    <n v="399"/>
    <n v="1"/>
    <n v="399"/>
    <n v="2"/>
  </r>
  <r>
    <s v="0447"/>
    <d v="2021-05-16T00:00:00"/>
    <n v="16"/>
    <s v="Company P"/>
    <x v="0"/>
    <x v="0"/>
    <s v="Arizona"/>
    <x v="0"/>
    <n v="399"/>
    <n v="5"/>
    <n v="1995"/>
    <n v="3"/>
  </r>
  <r>
    <s v="0453"/>
    <d v="2021-05-16T00:00:00"/>
    <n v="6"/>
    <s v="Company F"/>
    <x v="1"/>
    <x v="1"/>
    <s v="California"/>
    <x v="0"/>
    <n v="399"/>
    <n v="3"/>
    <n v="1197"/>
    <n v="4"/>
  </r>
  <r>
    <s v="0456"/>
    <d v="2021-05-17T00:00:00"/>
    <n v="3"/>
    <s v="Company C"/>
    <x v="2"/>
    <x v="0"/>
    <s v="Texas"/>
    <x v="0"/>
    <n v="399"/>
    <n v="7"/>
    <n v="2793"/>
    <n v="2"/>
  </r>
  <r>
    <s v="0461"/>
    <d v="2021-05-18T00:00:00"/>
    <n v="7"/>
    <s v="Company G"/>
    <x v="1"/>
    <x v="1"/>
    <s v="California"/>
    <x v="0"/>
    <n v="399"/>
    <n v="0"/>
    <n v="0"/>
    <n v="4"/>
  </r>
  <r>
    <s v="0462"/>
    <d v="2021-05-18T00:00:00"/>
    <n v="1"/>
    <s v="Company A"/>
    <x v="2"/>
    <x v="0"/>
    <s v="Texas"/>
    <x v="0"/>
    <n v="399"/>
    <n v="3"/>
    <n v="1197"/>
    <n v="2"/>
  </r>
  <r>
    <s v="0463"/>
    <d v="2021-05-19T00:00:00"/>
    <n v="10"/>
    <s v="Company J"/>
    <x v="7"/>
    <x v="3"/>
    <s v="California"/>
    <x v="0"/>
    <n v="399"/>
    <n v="9"/>
    <n v="3591"/>
    <n v="8"/>
  </r>
  <r>
    <s v="0470"/>
    <d v="2021-05-20T00:00:00"/>
    <n v="14"/>
    <s v="Company N"/>
    <x v="3"/>
    <x v="2"/>
    <s v="New Mexico"/>
    <x v="0"/>
    <n v="399"/>
    <n v="9"/>
    <n v="3591"/>
    <n v="5"/>
  </r>
  <r>
    <s v="0472"/>
    <d v="2021-05-22T00:00:00"/>
    <n v="5"/>
    <s v="Company E"/>
    <x v="2"/>
    <x v="0"/>
    <s v="Texas"/>
    <x v="0"/>
    <n v="399"/>
    <n v="3"/>
    <n v="1197"/>
    <n v="2"/>
  </r>
  <r>
    <s v="0474"/>
    <d v="2021-05-23T00:00:00"/>
    <n v="18"/>
    <s v="Company R"/>
    <x v="0"/>
    <x v="0"/>
    <s v="Arizona"/>
    <x v="0"/>
    <n v="399"/>
    <n v="3"/>
    <n v="1197"/>
    <n v="3"/>
  </r>
  <r>
    <s v="0493"/>
    <d v="2021-05-26T00:00:00"/>
    <n v="9"/>
    <s v="Company I"/>
    <x v="1"/>
    <x v="1"/>
    <s v="California"/>
    <x v="0"/>
    <n v="399"/>
    <n v="2"/>
    <n v="798"/>
    <n v="4"/>
  </r>
  <r>
    <s v="0507"/>
    <d v="2021-05-29T00:00:00"/>
    <n v="2"/>
    <s v="Company B"/>
    <x v="4"/>
    <x v="2"/>
    <s v="Texas"/>
    <x v="0"/>
    <n v="399"/>
    <n v="9"/>
    <n v="3591"/>
    <n v="2"/>
  </r>
  <r>
    <s v="0508"/>
    <d v="2021-05-29T00:00:00"/>
    <n v="19"/>
    <s v="Company S"/>
    <x v="0"/>
    <x v="0"/>
    <s v="Arizona"/>
    <x v="0"/>
    <n v="399"/>
    <n v="6"/>
    <n v="2394"/>
    <n v="3"/>
  </r>
  <r>
    <s v="0520"/>
    <d v="2021-06-03T00:00:00"/>
    <n v="18"/>
    <s v="Company R"/>
    <x v="6"/>
    <x v="0"/>
    <s v="Arizona"/>
    <x v="0"/>
    <n v="399"/>
    <n v="7"/>
    <n v="2793"/>
    <n v="5"/>
  </r>
  <r>
    <s v="0530"/>
    <d v="2021-06-03T00:00:00"/>
    <n v="16"/>
    <s v="Company P"/>
    <x v="0"/>
    <x v="0"/>
    <s v="Arizona"/>
    <x v="0"/>
    <n v="399"/>
    <n v="7"/>
    <n v="2793"/>
    <n v="3"/>
  </r>
  <r>
    <s v="0532"/>
    <d v="2021-06-04T00:00:00"/>
    <n v="11"/>
    <s v="Company K"/>
    <x v="5"/>
    <x v="1"/>
    <s v="New Mexico"/>
    <x v="0"/>
    <n v="399"/>
    <n v="8"/>
    <n v="3192"/>
    <n v="6"/>
  </r>
  <r>
    <s v="0542"/>
    <d v="2021-06-08T00:00:00"/>
    <n v="9"/>
    <s v="Company I"/>
    <x v="1"/>
    <x v="1"/>
    <s v="California"/>
    <x v="0"/>
    <n v="399"/>
    <n v="5"/>
    <n v="1995"/>
    <n v="4"/>
  </r>
  <r>
    <s v="0545"/>
    <d v="2021-06-09T00:00:00"/>
    <n v="14"/>
    <s v="Company N"/>
    <x v="5"/>
    <x v="1"/>
    <s v="New Mexico"/>
    <x v="0"/>
    <n v="399"/>
    <n v="0"/>
    <n v="0"/>
    <n v="6"/>
  </r>
  <r>
    <s v="0553"/>
    <d v="2021-06-11T00:00:00"/>
    <n v="11"/>
    <s v="Company K"/>
    <x v="3"/>
    <x v="2"/>
    <s v="New Mexico"/>
    <x v="0"/>
    <n v="399"/>
    <n v="0"/>
    <n v="0"/>
    <n v="5"/>
  </r>
  <r>
    <s v="0556"/>
    <d v="2021-06-12T00:00:00"/>
    <n v="10"/>
    <s v="Company J"/>
    <x v="1"/>
    <x v="1"/>
    <s v="California"/>
    <x v="0"/>
    <n v="399"/>
    <n v="0"/>
    <n v="0"/>
    <n v="4"/>
  </r>
  <r>
    <s v="0558"/>
    <d v="2021-06-13T00:00:00"/>
    <n v="14"/>
    <s v="Company N"/>
    <x v="5"/>
    <x v="1"/>
    <s v="New Mexico"/>
    <x v="0"/>
    <n v="399"/>
    <n v="9"/>
    <n v="3591"/>
    <n v="6"/>
  </r>
  <r>
    <s v="0563"/>
    <d v="2021-06-16T00:00:00"/>
    <n v="13"/>
    <s v="Company M"/>
    <x v="3"/>
    <x v="2"/>
    <s v="New Mexico"/>
    <x v="0"/>
    <n v="399"/>
    <n v="0"/>
    <n v="0"/>
    <n v="5"/>
  </r>
  <r>
    <s v="0564"/>
    <d v="2021-06-16T00:00:00"/>
    <n v="15"/>
    <s v="Company O"/>
    <x v="3"/>
    <x v="2"/>
    <s v="New Mexico"/>
    <x v="0"/>
    <n v="399"/>
    <n v="6"/>
    <n v="2394"/>
    <n v="5"/>
  </r>
  <r>
    <s v="0568"/>
    <d v="2021-06-16T00:00:00"/>
    <n v="14"/>
    <s v="Company N"/>
    <x v="5"/>
    <x v="1"/>
    <s v="New Mexico"/>
    <x v="0"/>
    <n v="399"/>
    <n v="0"/>
    <n v="0"/>
    <n v="6"/>
  </r>
  <r>
    <s v="0573"/>
    <d v="2021-06-19T00:00:00"/>
    <n v="20"/>
    <s v="Company T"/>
    <x v="6"/>
    <x v="0"/>
    <s v="Arizona"/>
    <x v="0"/>
    <n v="399"/>
    <n v="5"/>
    <n v="1995"/>
    <n v="5"/>
  </r>
  <r>
    <s v="0578"/>
    <d v="2021-06-21T00:00:00"/>
    <n v="14"/>
    <s v="Company N"/>
    <x v="3"/>
    <x v="2"/>
    <s v="New Mexico"/>
    <x v="0"/>
    <n v="399"/>
    <n v="9"/>
    <n v="3591"/>
    <n v="5"/>
  </r>
  <r>
    <s v="0579"/>
    <d v="2021-06-22T00:00:00"/>
    <n v="7"/>
    <s v="Company G"/>
    <x v="7"/>
    <x v="3"/>
    <s v="California"/>
    <x v="0"/>
    <n v="399"/>
    <n v="0"/>
    <n v="0"/>
    <n v="8"/>
  </r>
  <r>
    <s v="0582"/>
    <d v="2021-06-22T00:00:00"/>
    <n v="15"/>
    <s v="Company O"/>
    <x v="5"/>
    <x v="1"/>
    <s v="New Mexico"/>
    <x v="0"/>
    <n v="399"/>
    <n v="4"/>
    <n v="1596"/>
    <n v="6"/>
  </r>
  <r>
    <s v="0583"/>
    <d v="2021-06-22T00:00:00"/>
    <n v="10"/>
    <s v="Company J"/>
    <x v="1"/>
    <x v="1"/>
    <s v="California"/>
    <x v="0"/>
    <n v="399"/>
    <n v="3"/>
    <n v="1197"/>
    <n v="4"/>
  </r>
  <r>
    <s v="0589"/>
    <d v="2021-06-24T00:00:00"/>
    <n v="5"/>
    <s v="Company E"/>
    <x v="2"/>
    <x v="0"/>
    <s v="Texas"/>
    <x v="0"/>
    <n v="399"/>
    <n v="3"/>
    <n v="1197"/>
    <n v="2"/>
  </r>
  <r>
    <s v="0596"/>
    <d v="2021-06-26T00:00:00"/>
    <n v="11"/>
    <s v="Company K"/>
    <x v="5"/>
    <x v="1"/>
    <s v="New Mexico"/>
    <x v="0"/>
    <n v="399"/>
    <n v="9"/>
    <n v="3591"/>
    <n v="6"/>
  </r>
  <r>
    <s v="0598"/>
    <d v="2021-06-28T00:00:00"/>
    <n v="10"/>
    <s v="Company J"/>
    <x v="7"/>
    <x v="3"/>
    <s v="California"/>
    <x v="0"/>
    <n v="399"/>
    <n v="9"/>
    <n v="3591"/>
    <n v="8"/>
  </r>
  <r>
    <s v="0607"/>
    <d v="2021-06-30T00:00:00"/>
    <n v="20"/>
    <s v="Company T"/>
    <x v="6"/>
    <x v="0"/>
    <s v="Arizona"/>
    <x v="0"/>
    <n v="399"/>
    <n v="7"/>
    <n v="2793"/>
    <n v="5"/>
  </r>
  <r>
    <s v="0618"/>
    <d v="2021-07-06T00:00:00"/>
    <n v="19"/>
    <s v="Company S"/>
    <x v="0"/>
    <x v="0"/>
    <s v="Arizona"/>
    <x v="0"/>
    <n v="399"/>
    <n v="0"/>
    <n v="0"/>
    <n v="3"/>
  </r>
  <r>
    <s v="0625"/>
    <d v="2021-07-08T00:00:00"/>
    <n v="17"/>
    <s v="Company Q"/>
    <x v="6"/>
    <x v="0"/>
    <s v="Arizona"/>
    <x v="0"/>
    <n v="399"/>
    <n v="8"/>
    <n v="3192"/>
    <n v="5"/>
  </r>
  <r>
    <s v="0628"/>
    <d v="2021-07-08T00:00:00"/>
    <n v="14"/>
    <s v="Company N"/>
    <x v="3"/>
    <x v="2"/>
    <s v="New Mexico"/>
    <x v="0"/>
    <n v="399"/>
    <n v="5"/>
    <n v="1995"/>
    <n v="5"/>
  </r>
  <r>
    <s v="0634"/>
    <d v="2021-07-11T00:00:00"/>
    <n v="5"/>
    <s v="Company E"/>
    <x v="2"/>
    <x v="0"/>
    <s v="Texas"/>
    <x v="0"/>
    <n v="399"/>
    <n v="0"/>
    <n v="0"/>
    <n v="2"/>
  </r>
  <r>
    <s v="0639"/>
    <d v="2021-07-13T00:00:00"/>
    <n v="16"/>
    <s v="Company P"/>
    <x v="6"/>
    <x v="0"/>
    <s v="Arizona"/>
    <x v="0"/>
    <n v="399"/>
    <n v="3"/>
    <n v="1197"/>
    <n v="5"/>
  </r>
  <r>
    <s v="0641"/>
    <d v="2021-07-14T00:00:00"/>
    <n v="10"/>
    <s v="Company J"/>
    <x v="1"/>
    <x v="1"/>
    <s v="California"/>
    <x v="0"/>
    <n v="399"/>
    <n v="7"/>
    <n v="2793"/>
    <n v="4"/>
  </r>
  <r>
    <s v="0642"/>
    <d v="2021-07-15T00:00:00"/>
    <n v="10"/>
    <s v="Company J"/>
    <x v="1"/>
    <x v="1"/>
    <s v="California"/>
    <x v="0"/>
    <n v="399"/>
    <n v="9"/>
    <n v="3591"/>
    <n v="4"/>
  </r>
  <r>
    <s v="0643"/>
    <d v="2021-07-15T00:00:00"/>
    <n v="13"/>
    <s v="Company M"/>
    <x v="3"/>
    <x v="2"/>
    <s v="New Mexico"/>
    <x v="0"/>
    <n v="399"/>
    <n v="8"/>
    <n v="3192"/>
    <n v="5"/>
  </r>
  <r>
    <s v="0649"/>
    <d v="2021-07-17T00:00:00"/>
    <n v="8"/>
    <s v="Company H"/>
    <x v="1"/>
    <x v="1"/>
    <s v="California"/>
    <x v="0"/>
    <n v="399"/>
    <n v="5"/>
    <n v="1995"/>
    <n v="4"/>
  </r>
  <r>
    <s v="0664"/>
    <d v="2021-07-21T00:00:00"/>
    <n v="14"/>
    <s v="Company N"/>
    <x v="5"/>
    <x v="1"/>
    <s v="New Mexico"/>
    <x v="0"/>
    <n v="399"/>
    <n v="5"/>
    <n v="1995"/>
    <n v="6"/>
  </r>
  <r>
    <s v="0665"/>
    <d v="2021-07-22T00:00:00"/>
    <n v="1"/>
    <s v="Company A"/>
    <x v="2"/>
    <x v="0"/>
    <s v="Texas"/>
    <x v="0"/>
    <n v="399"/>
    <n v="8"/>
    <n v="3192"/>
    <n v="2"/>
  </r>
  <r>
    <s v="0669"/>
    <d v="2021-07-24T00:00:00"/>
    <n v="9"/>
    <s v="Company I"/>
    <x v="7"/>
    <x v="3"/>
    <s v="California"/>
    <x v="0"/>
    <n v="399"/>
    <n v="6"/>
    <n v="2394"/>
    <n v="8"/>
  </r>
  <r>
    <s v="0671"/>
    <d v="2021-07-24T00:00:00"/>
    <n v="13"/>
    <s v="Company M"/>
    <x v="3"/>
    <x v="2"/>
    <s v="New Mexico"/>
    <x v="0"/>
    <n v="399"/>
    <n v="1"/>
    <n v="399"/>
    <n v="5"/>
  </r>
  <r>
    <s v="0690"/>
    <d v="2021-07-27T00:00:00"/>
    <n v="5"/>
    <s v="Company E"/>
    <x v="2"/>
    <x v="0"/>
    <s v="Texas"/>
    <x v="0"/>
    <n v="399"/>
    <n v="5"/>
    <n v="1995"/>
    <n v="2"/>
  </r>
  <r>
    <s v="0723"/>
    <d v="2021-08-08T00:00:00"/>
    <n v="8"/>
    <s v="Company H"/>
    <x v="1"/>
    <x v="1"/>
    <s v="California"/>
    <x v="0"/>
    <n v="399"/>
    <n v="2"/>
    <n v="798"/>
    <n v="4"/>
  </r>
  <r>
    <s v="0730"/>
    <d v="2021-08-10T00:00:00"/>
    <n v="18"/>
    <s v="Company R"/>
    <x v="0"/>
    <x v="0"/>
    <s v="Arizona"/>
    <x v="0"/>
    <n v="399"/>
    <n v="4"/>
    <n v="1596"/>
    <n v="3"/>
  </r>
  <r>
    <s v="0731"/>
    <d v="2021-08-10T00:00:00"/>
    <n v="13"/>
    <s v="Company M"/>
    <x v="3"/>
    <x v="2"/>
    <s v="New Mexico"/>
    <x v="0"/>
    <n v="399"/>
    <n v="4"/>
    <n v="1596"/>
    <n v="5"/>
  </r>
  <r>
    <s v="0735"/>
    <d v="2021-08-11T00:00:00"/>
    <n v="3"/>
    <s v="Company C"/>
    <x v="4"/>
    <x v="2"/>
    <s v="Texas"/>
    <x v="0"/>
    <n v="399"/>
    <n v="0"/>
    <n v="0"/>
    <n v="2"/>
  </r>
  <r>
    <s v="0738"/>
    <d v="2021-08-12T00:00:00"/>
    <n v="8"/>
    <s v="Company H"/>
    <x v="7"/>
    <x v="3"/>
    <s v="California"/>
    <x v="0"/>
    <n v="399"/>
    <n v="7"/>
    <n v="2793"/>
    <n v="8"/>
  </r>
  <r>
    <s v="0745"/>
    <d v="2021-08-16T00:00:00"/>
    <n v="8"/>
    <s v="Company H"/>
    <x v="7"/>
    <x v="3"/>
    <s v="California"/>
    <x v="0"/>
    <n v="399"/>
    <n v="0"/>
    <n v="0"/>
    <n v="8"/>
  </r>
  <r>
    <s v="0752"/>
    <d v="2021-08-19T00:00:00"/>
    <n v="8"/>
    <s v="Company H"/>
    <x v="1"/>
    <x v="1"/>
    <s v="California"/>
    <x v="0"/>
    <n v="399"/>
    <n v="1"/>
    <n v="399"/>
    <n v="4"/>
  </r>
  <r>
    <s v="0753"/>
    <d v="2021-08-19T00:00:00"/>
    <n v="5"/>
    <s v="Company E"/>
    <x v="2"/>
    <x v="0"/>
    <s v="Texas"/>
    <x v="0"/>
    <n v="399"/>
    <n v="6"/>
    <n v="2394"/>
    <n v="2"/>
  </r>
  <r>
    <s v="0756"/>
    <d v="2021-08-20T00:00:00"/>
    <n v="17"/>
    <s v="Company Q"/>
    <x v="6"/>
    <x v="0"/>
    <s v="Arizona"/>
    <x v="0"/>
    <n v="399"/>
    <n v="6"/>
    <n v="2394"/>
    <n v="5"/>
  </r>
  <r>
    <s v="0758"/>
    <d v="2021-08-20T00:00:00"/>
    <n v="10"/>
    <s v="Company J"/>
    <x v="1"/>
    <x v="1"/>
    <s v="California"/>
    <x v="0"/>
    <n v="399"/>
    <n v="4"/>
    <n v="1596"/>
    <n v="4"/>
  </r>
  <r>
    <s v="0760"/>
    <d v="2021-08-21T00:00:00"/>
    <n v="19"/>
    <s v="Company S"/>
    <x v="0"/>
    <x v="0"/>
    <s v="Arizona"/>
    <x v="0"/>
    <n v="399"/>
    <n v="6"/>
    <n v="2394"/>
    <n v="3"/>
  </r>
  <r>
    <s v="0764"/>
    <d v="2021-08-22T00:00:00"/>
    <n v="8"/>
    <s v="Company H"/>
    <x v="1"/>
    <x v="1"/>
    <s v="California"/>
    <x v="0"/>
    <n v="399"/>
    <n v="2"/>
    <n v="798"/>
    <n v="4"/>
  </r>
  <r>
    <s v="0766"/>
    <d v="2021-08-22T00:00:00"/>
    <n v="14"/>
    <s v="Company N"/>
    <x v="5"/>
    <x v="1"/>
    <s v="New Mexico"/>
    <x v="0"/>
    <n v="399"/>
    <n v="9"/>
    <n v="3591"/>
    <n v="6"/>
  </r>
  <r>
    <s v="0769"/>
    <d v="2021-08-25T00:00:00"/>
    <n v="7"/>
    <s v="Company G"/>
    <x v="7"/>
    <x v="3"/>
    <s v="California"/>
    <x v="0"/>
    <n v="399"/>
    <n v="6"/>
    <n v="2394"/>
    <n v="8"/>
  </r>
  <r>
    <s v="0770"/>
    <d v="2021-08-25T00:00:00"/>
    <n v="11"/>
    <s v="Company K"/>
    <x v="3"/>
    <x v="2"/>
    <s v="New Mexico"/>
    <x v="0"/>
    <n v="399"/>
    <n v="0"/>
    <n v="0"/>
    <n v="5"/>
  </r>
  <r>
    <s v="0775"/>
    <d v="2021-08-26T00:00:00"/>
    <n v="13"/>
    <s v="Company M"/>
    <x v="5"/>
    <x v="1"/>
    <s v="New Mexico"/>
    <x v="0"/>
    <n v="399"/>
    <n v="1"/>
    <n v="399"/>
    <n v="6"/>
  </r>
  <r>
    <s v="0776"/>
    <d v="2021-08-27T00:00:00"/>
    <n v="17"/>
    <s v="Company Q"/>
    <x v="0"/>
    <x v="0"/>
    <s v="Arizona"/>
    <x v="0"/>
    <n v="399"/>
    <n v="2"/>
    <n v="798"/>
    <n v="3"/>
  </r>
  <r>
    <s v="0777"/>
    <d v="2021-08-27T00:00:00"/>
    <n v="4"/>
    <s v="Company D"/>
    <x v="4"/>
    <x v="2"/>
    <s v="Texas"/>
    <x v="0"/>
    <n v="399"/>
    <n v="3"/>
    <n v="1197"/>
    <n v="2"/>
  </r>
  <r>
    <s v="0780"/>
    <d v="2021-08-27T00:00:00"/>
    <n v="7"/>
    <s v="Company G"/>
    <x v="7"/>
    <x v="3"/>
    <s v="California"/>
    <x v="0"/>
    <n v="399"/>
    <n v="8"/>
    <n v="3192"/>
    <n v="8"/>
  </r>
  <r>
    <s v="0783"/>
    <d v="2021-08-29T00:00:00"/>
    <n v="8"/>
    <s v="Company H"/>
    <x v="7"/>
    <x v="3"/>
    <s v="California"/>
    <x v="0"/>
    <n v="399"/>
    <n v="3"/>
    <n v="1197"/>
    <n v="8"/>
  </r>
  <r>
    <s v="0785"/>
    <d v="2021-08-29T00:00:00"/>
    <n v="5"/>
    <s v="Company E"/>
    <x v="4"/>
    <x v="2"/>
    <s v="Texas"/>
    <x v="0"/>
    <n v="399"/>
    <n v="6"/>
    <n v="2394"/>
    <n v="2"/>
  </r>
  <r>
    <s v="0791"/>
    <d v="2021-08-31T00:00:00"/>
    <n v="18"/>
    <s v="Company R"/>
    <x v="6"/>
    <x v="0"/>
    <s v="Arizona"/>
    <x v="0"/>
    <n v="399"/>
    <n v="3"/>
    <n v="1197"/>
    <n v="5"/>
  </r>
  <r>
    <s v="0793"/>
    <d v="2021-09-01T00:00:00"/>
    <n v="10"/>
    <s v="Company J"/>
    <x v="1"/>
    <x v="1"/>
    <s v="California"/>
    <x v="0"/>
    <n v="399"/>
    <n v="3"/>
    <n v="1197"/>
    <n v="4"/>
  </r>
  <r>
    <s v="0799"/>
    <d v="2021-09-03T00:00:00"/>
    <n v="16"/>
    <s v="Company P"/>
    <x v="0"/>
    <x v="0"/>
    <s v="Arizona"/>
    <x v="0"/>
    <n v="399"/>
    <n v="5"/>
    <n v="1995"/>
    <n v="3"/>
  </r>
  <r>
    <s v="0802"/>
    <d v="2021-09-03T00:00:00"/>
    <n v="6"/>
    <s v="Company F"/>
    <x v="1"/>
    <x v="1"/>
    <s v="California"/>
    <x v="0"/>
    <n v="399"/>
    <n v="8"/>
    <n v="3192"/>
    <n v="4"/>
  </r>
  <r>
    <s v="0805"/>
    <d v="2021-09-05T00:00:00"/>
    <n v="19"/>
    <s v="Company S"/>
    <x v="0"/>
    <x v="0"/>
    <s v="Arizona"/>
    <x v="0"/>
    <n v="399"/>
    <n v="7"/>
    <n v="2793"/>
    <n v="3"/>
  </r>
  <r>
    <s v="0806"/>
    <d v="2021-09-05T00:00:00"/>
    <n v="5"/>
    <s v="Company E"/>
    <x v="2"/>
    <x v="0"/>
    <s v="Texas"/>
    <x v="0"/>
    <n v="399"/>
    <n v="6"/>
    <n v="2394"/>
    <n v="2"/>
  </r>
  <r>
    <s v="0812"/>
    <d v="2021-09-07T00:00:00"/>
    <n v="16"/>
    <s v="Company P"/>
    <x v="0"/>
    <x v="0"/>
    <s v="Arizona"/>
    <x v="0"/>
    <n v="399"/>
    <n v="1"/>
    <n v="399"/>
    <n v="3"/>
  </r>
  <r>
    <s v="0816"/>
    <d v="2021-09-08T00:00:00"/>
    <n v="15"/>
    <s v="Company O"/>
    <x v="5"/>
    <x v="1"/>
    <s v="New Mexico"/>
    <x v="0"/>
    <n v="399"/>
    <n v="4"/>
    <n v="1596"/>
    <n v="6"/>
  </r>
  <r>
    <s v="0818"/>
    <d v="2021-09-09T00:00:00"/>
    <n v="13"/>
    <s v="Company M"/>
    <x v="3"/>
    <x v="2"/>
    <s v="New Mexico"/>
    <x v="0"/>
    <n v="399"/>
    <n v="3"/>
    <n v="1197"/>
    <n v="5"/>
  </r>
  <r>
    <s v="0822"/>
    <d v="2021-09-10T00:00:00"/>
    <n v="19"/>
    <s v="Company S"/>
    <x v="6"/>
    <x v="0"/>
    <s v="Arizona"/>
    <x v="0"/>
    <n v="399"/>
    <n v="4"/>
    <n v="1596"/>
    <n v="5"/>
  </r>
  <r>
    <s v="0825"/>
    <d v="2021-09-11T00:00:00"/>
    <n v="20"/>
    <s v="Company T"/>
    <x v="0"/>
    <x v="0"/>
    <s v="Arizona"/>
    <x v="0"/>
    <n v="399"/>
    <n v="9"/>
    <n v="3591"/>
    <n v="3"/>
  </r>
  <r>
    <s v="0830"/>
    <d v="2021-09-13T00:00:00"/>
    <n v="1"/>
    <s v="Company A"/>
    <x v="2"/>
    <x v="0"/>
    <s v="Texas"/>
    <x v="0"/>
    <n v="399"/>
    <n v="6"/>
    <n v="2394"/>
    <n v="2"/>
  </r>
  <r>
    <s v="0833"/>
    <d v="2021-09-15T00:00:00"/>
    <n v="16"/>
    <s v="Company P"/>
    <x v="0"/>
    <x v="0"/>
    <s v="Arizona"/>
    <x v="0"/>
    <n v="399"/>
    <n v="9"/>
    <n v="3591"/>
    <n v="3"/>
  </r>
  <r>
    <s v="0835"/>
    <d v="2021-09-15T00:00:00"/>
    <n v="19"/>
    <s v="Company S"/>
    <x v="0"/>
    <x v="0"/>
    <s v="Arizona"/>
    <x v="0"/>
    <n v="399"/>
    <n v="2"/>
    <n v="798"/>
    <n v="3"/>
  </r>
  <r>
    <s v="0838"/>
    <d v="2021-09-18T00:00:00"/>
    <n v="7"/>
    <s v="Company G"/>
    <x v="1"/>
    <x v="1"/>
    <s v="California"/>
    <x v="0"/>
    <n v="399"/>
    <n v="3"/>
    <n v="1197"/>
    <n v="4"/>
  </r>
  <r>
    <s v="0852"/>
    <d v="2021-09-22T00:00:00"/>
    <n v="6"/>
    <s v="Company F"/>
    <x v="1"/>
    <x v="1"/>
    <s v="California"/>
    <x v="0"/>
    <n v="399"/>
    <n v="9"/>
    <n v="3591"/>
    <n v="4"/>
  </r>
  <r>
    <s v="0853"/>
    <d v="2021-09-22T00:00:00"/>
    <n v="14"/>
    <s v="Company N"/>
    <x v="5"/>
    <x v="1"/>
    <s v="New Mexico"/>
    <x v="0"/>
    <n v="399"/>
    <n v="4"/>
    <n v="1596"/>
    <n v="6"/>
  </r>
  <r>
    <s v="0861"/>
    <d v="2021-09-24T00:00:00"/>
    <n v="14"/>
    <s v="Company N"/>
    <x v="3"/>
    <x v="2"/>
    <s v="New Mexico"/>
    <x v="0"/>
    <n v="399"/>
    <n v="2"/>
    <n v="798"/>
    <n v="5"/>
  </r>
  <r>
    <s v="0869"/>
    <d v="2021-09-28T00:00:00"/>
    <n v="14"/>
    <s v="Company N"/>
    <x v="5"/>
    <x v="1"/>
    <s v="New Mexico"/>
    <x v="0"/>
    <n v="399"/>
    <n v="3"/>
    <n v="1197"/>
    <n v="6"/>
  </r>
  <r>
    <s v="0881"/>
    <d v="2021-10-01T00:00:00"/>
    <n v="9"/>
    <s v="Company I"/>
    <x v="7"/>
    <x v="3"/>
    <s v="California"/>
    <x v="0"/>
    <n v="399"/>
    <n v="7"/>
    <n v="2793"/>
    <n v="8"/>
  </r>
  <r>
    <s v="0897"/>
    <d v="2021-10-06T00:00:00"/>
    <n v="4"/>
    <s v="Company D"/>
    <x v="2"/>
    <x v="0"/>
    <s v="Texas"/>
    <x v="0"/>
    <n v="399"/>
    <n v="0"/>
    <n v="0"/>
    <n v="2"/>
  </r>
  <r>
    <s v="0901"/>
    <d v="2021-10-08T00:00:00"/>
    <n v="15"/>
    <s v="Company O"/>
    <x v="3"/>
    <x v="2"/>
    <s v="New Mexico"/>
    <x v="0"/>
    <n v="399"/>
    <n v="7"/>
    <n v="2793"/>
    <n v="5"/>
  </r>
  <r>
    <s v="0902"/>
    <d v="2021-10-09T00:00:00"/>
    <n v="13"/>
    <s v="Company M"/>
    <x v="3"/>
    <x v="2"/>
    <s v="New Mexico"/>
    <x v="0"/>
    <n v="399"/>
    <n v="4"/>
    <n v="1596"/>
    <n v="5"/>
  </r>
  <r>
    <s v="0919"/>
    <d v="2021-10-15T00:00:00"/>
    <n v="14"/>
    <s v="Company N"/>
    <x v="5"/>
    <x v="1"/>
    <s v="New Mexico"/>
    <x v="0"/>
    <n v="399"/>
    <n v="9"/>
    <n v="3591"/>
    <n v="6"/>
  </r>
  <r>
    <s v="0921"/>
    <d v="2021-10-16T00:00:00"/>
    <n v="17"/>
    <s v="Company Q"/>
    <x v="6"/>
    <x v="0"/>
    <s v="Arizona"/>
    <x v="0"/>
    <n v="399"/>
    <n v="6"/>
    <n v="2394"/>
    <n v="5"/>
  </r>
  <r>
    <s v="0931"/>
    <d v="2021-10-18T00:00:00"/>
    <n v="17"/>
    <s v="Company Q"/>
    <x v="0"/>
    <x v="0"/>
    <s v="Arizona"/>
    <x v="0"/>
    <n v="399"/>
    <n v="0"/>
    <n v="0"/>
    <n v="3"/>
  </r>
  <r>
    <s v="0938"/>
    <d v="2021-10-22T00:00:00"/>
    <n v="10"/>
    <s v="Company J"/>
    <x v="7"/>
    <x v="3"/>
    <s v="California"/>
    <x v="0"/>
    <n v="399"/>
    <n v="0"/>
    <n v="0"/>
    <n v="8"/>
  </r>
  <r>
    <s v="0942"/>
    <d v="2021-10-22T00:00:00"/>
    <n v="1"/>
    <s v="Company A"/>
    <x v="2"/>
    <x v="0"/>
    <s v="Texas"/>
    <x v="0"/>
    <n v="399"/>
    <n v="8"/>
    <n v="3192"/>
    <n v="2"/>
  </r>
  <r>
    <s v="0944"/>
    <d v="2021-10-23T00:00:00"/>
    <n v="4"/>
    <s v="Company D"/>
    <x v="4"/>
    <x v="2"/>
    <s v="Texas"/>
    <x v="0"/>
    <n v="399"/>
    <n v="1"/>
    <n v="399"/>
    <n v="2"/>
  </r>
  <r>
    <s v="0949"/>
    <d v="2021-10-26T00:00:00"/>
    <n v="6"/>
    <s v="Company F"/>
    <x v="1"/>
    <x v="1"/>
    <s v="California"/>
    <x v="0"/>
    <n v="399"/>
    <n v="5"/>
    <n v="1995"/>
    <n v="4"/>
  </r>
  <r>
    <s v="0952"/>
    <d v="2021-10-27T00:00:00"/>
    <n v="6"/>
    <s v="Company F"/>
    <x v="1"/>
    <x v="1"/>
    <s v="California"/>
    <x v="0"/>
    <n v="399"/>
    <n v="7"/>
    <n v="2793"/>
    <n v="4"/>
  </r>
  <r>
    <s v="0958"/>
    <d v="2021-10-29T00:00:00"/>
    <n v="9"/>
    <s v="Company I"/>
    <x v="7"/>
    <x v="3"/>
    <s v="California"/>
    <x v="0"/>
    <n v="399"/>
    <n v="2"/>
    <n v="798"/>
    <n v="8"/>
  </r>
  <r>
    <s v="0964"/>
    <d v="2021-10-29T00:00:00"/>
    <n v="7"/>
    <s v="Company G"/>
    <x v="7"/>
    <x v="3"/>
    <s v="California"/>
    <x v="0"/>
    <n v="399"/>
    <n v="2"/>
    <n v="798"/>
    <n v="8"/>
  </r>
  <r>
    <s v="0967"/>
    <d v="2021-10-30T00:00:00"/>
    <n v="14"/>
    <s v="Company N"/>
    <x v="5"/>
    <x v="1"/>
    <s v="New Mexico"/>
    <x v="0"/>
    <n v="399"/>
    <n v="1"/>
    <n v="399"/>
    <n v="6"/>
  </r>
  <r>
    <s v="0970"/>
    <d v="2021-10-31T00:00:00"/>
    <n v="7"/>
    <s v="Company G"/>
    <x v="1"/>
    <x v="1"/>
    <s v="California"/>
    <x v="0"/>
    <n v="399"/>
    <n v="0"/>
    <n v="0"/>
    <n v="4"/>
  </r>
  <r>
    <s v="0973"/>
    <d v="2021-11-03T00:00:00"/>
    <n v="13"/>
    <s v="Company M"/>
    <x v="3"/>
    <x v="2"/>
    <s v="New Mexico"/>
    <x v="0"/>
    <n v="399"/>
    <n v="0"/>
    <n v="0"/>
    <n v="5"/>
  </r>
  <r>
    <s v="0981"/>
    <d v="2021-11-07T00:00:00"/>
    <n v="2"/>
    <s v="Company B"/>
    <x v="2"/>
    <x v="0"/>
    <s v="Texas"/>
    <x v="0"/>
    <n v="399"/>
    <n v="4"/>
    <n v="1596"/>
    <n v="2"/>
  </r>
  <r>
    <s v="0983"/>
    <d v="2021-11-08T00:00:00"/>
    <n v="18"/>
    <s v="Company R"/>
    <x v="0"/>
    <x v="0"/>
    <s v="Arizona"/>
    <x v="0"/>
    <n v="399"/>
    <n v="9"/>
    <n v="3591"/>
    <n v="3"/>
  </r>
  <r>
    <s v="0991"/>
    <d v="2021-11-09T00:00:00"/>
    <n v="18"/>
    <s v="Company R"/>
    <x v="6"/>
    <x v="0"/>
    <s v="Arizona"/>
    <x v="0"/>
    <n v="399"/>
    <n v="9"/>
    <n v="3591"/>
    <n v="5"/>
  </r>
  <r>
    <s v="0993"/>
    <d v="2021-11-10T00:00:00"/>
    <n v="10"/>
    <s v="Company J"/>
    <x v="1"/>
    <x v="1"/>
    <s v="California"/>
    <x v="0"/>
    <n v="399"/>
    <n v="6"/>
    <n v="2394"/>
    <n v="4"/>
  </r>
  <r>
    <s v="1009"/>
    <d v="2021-11-16T00:00:00"/>
    <n v="8"/>
    <s v="Company H"/>
    <x v="7"/>
    <x v="3"/>
    <s v="California"/>
    <x v="0"/>
    <n v="399"/>
    <n v="0"/>
    <n v="0"/>
    <n v="8"/>
  </r>
  <r>
    <s v="1015"/>
    <d v="2021-11-19T00:00:00"/>
    <n v="5"/>
    <s v="Company E"/>
    <x v="2"/>
    <x v="0"/>
    <s v="Texas"/>
    <x v="0"/>
    <n v="399"/>
    <n v="2"/>
    <n v="798"/>
    <n v="2"/>
  </r>
  <r>
    <s v="1018"/>
    <d v="2021-11-19T00:00:00"/>
    <n v="5"/>
    <s v="Company E"/>
    <x v="4"/>
    <x v="2"/>
    <s v="Texas"/>
    <x v="0"/>
    <n v="399"/>
    <n v="1"/>
    <n v="399"/>
    <n v="2"/>
  </r>
  <r>
    <s v="1019"/>
    <d v="2021-11-20T00:00:00"/>
    <n v="5"/>
    <s v="Company E"/>
    <x v="4"/>
    <x v="2"/>
    <s v="Texas"/>
    <x v="0"/>
    <n v="399"/>
    <n v="8"/>
    <n v="3192"/>
    <n v="2"/>
  </r>
  <r>
    <s v="1021"/>
    <d v="2021-11-21T00:00:00"/>
    <n v="16"/>
    <s v="Company P"/>
    <x v="6"/>
    <x v="0"/>
    <s v="Arizona"/>
    <x v="0"/>
    <n v="399"/>
    <n v="3"/>
    <n v="1197"/>
    <n v="5"/>
  </r>
  <r>
    <s v="1023"/>
    <d v="2021-11-22T00:00:00"/>
    <n v="5"/>
    <s v="Company E"/>
    <x v="4"/>
    <x v="2"/>
    <s v="Texas"/>
    <x v="0"/>
    <n v="399"/>
    <n v="6"/>
    <n v="2394"/>
    <n v="2"/>
  </r>
  <r>
    <s v="1029"/>
    <d v="2021-11-22T00:00:00"/>
    <n v="8"/>
    <s v="Company H"/>
    <x v="7"/>
    <x v="3"/>
    <s v="California"/>
    <x v="0"/>
    <n v="399"/>
    <n v="9"/>
    <n v="3591"/>
    <n v="8"/>
  </r>
  <r>
    <s v="1030"/>
    <d v="2021-11-22T00:00:00"/>
    <n v="7"/>
    <s v="Company G"/>
    <x v="7"/>
    <x v="3"/>
    <s v="California"/>
    <x v="0"/>
    <n v="399"/>
    <n v="5"/>
    <n v="1995"/>
    <n v="8"/>
  </r>
  <r>
    <s v="1031"/>
    <d v="2021-11-22T00:00:00"/>
    <n v="10"/>
    <s v="Company J"/>
    <x v="1"/>
    <x v="1"/>
    <s v="California"/>
    <x v="0"/>
    <n v="399"/>
    <n v="0"/>
    <n v="0"/>
    <n v="4"/>
  </r>
  <r>
    <s v="1034"/>
    <d v="2021-11-23T00:00:00"/>
    <n v="3"/>
    <s v="Company C"/>
    <x v="2"/>
    <x v="0"/>
    <s v="Texas"/>
    <x v="0"/>
    <n v="399"/>
    <n v="2"/>
    <n v="798"/>
    <n v="2"/>
  </r>
  <r>
    <s v="1035"/>
    <d v="2021-11-23T00:00:00"/>
    <n v="4"/>
    <s v="Company D"/>
    <x v="2"/>
    <x v="0"/>
    <s v="Texas"/>
    <x v="0"/>
    <n v="399"/>
    <n v="6"/>
    <n v="2394"/>
    <n v="2"/>
  </r>
  <r>
    <s v="1036"/>
    <d v="2021-11-23T00:00:00"/>
    <n v="13"/>
    <s v="Company M"/>
    <x v="3"/>
    <x v="2"/>
    <s v="New Mexico"/>
    <x v="0"/>
    <n v="399"/>
    <n v="9"/>
    <n v="3591"/>
    <n v="5"/>
  </r>
  <r>
    <s v="1044"/>
    <d v="2021-11-24T00:00:00"/>
    <n v="9"/>
    <s v="Company I"/>
    <x v="1"/>
    <x v="1"/>
    <s v="California"/>
    <x v="0"/>
    <n v="399"/>
    <n v="1"/>
    <n v="399"/>
    <n v="4"/>
  </r>
  <r>
    <s v="1045"/>
    <d v="2021-11-24T00:00:00"/>
    <n v="11"/>
    <s v="Company K"/>
    <x v="5"/>
    <x v="1"/>
    <s v="New Mexico"/>
    <x v="0"/>
    <n v="399"/>
    <n v="3"/>
    <n v="1197"/>
    <n v="6"/>
  </r>
  <r>
    <s v="1046"/>
    <d v="2021-11-25T00:00:00"/>
    <n v="4"/>
    <s v="Company D"/>
    <x v="4"/>
    <x v="2"/>
    <s v="Texas"/>
    <x v="0"/>
    <n v="399"/>
    <n v="5"/>
    <n v="1995"/>
    <n v="2"/>
  </r>
  <r>
    <s v="1049"/>
    <d v="2021-11-27T00:00:00"/>
    <n v="2"/>
    <s v="Company B"/>
    <x v="2"/>
    <x v="0"/>
    <s v="Texas"/>
    <x v="0"/>
    <n v="399"/>
    <n v="8"/>
    <n v="3192"/>
    <n v="2"/>
  </r>
  <r>
    <s v="1050"/>
    <d v="2021-11-27T00:00:00"/>
    <n v="4"/>
    <s v="Company D"/>
    <x v="4"/>
    <x v="2"/>
    <s v="Texas"/>
    <x v="0"/>
    <n v="399"/>
    <n v="6"/>
    <n v="2394"/>
    <n v="2"/>
  </r>
  <r>
    <s v="1058"/>
    <d v="2021-11-29T00:00:00"/>
    <n v="9"/>
    <s v="Company I"/>
    <x v="1"/>
    <x v="1"/>
    <s v="California"/>
    <x v="0"/>
    <n v="399"/>
    <n v="6"/>
    <n v="2394"/>
    <n v="4"/>
  </r>
  <r>
    <s v="1061"/>
    <d v="2021-12-01T00:00:00"/>
    <n v="8"/>
    <s v="Company H"/>
    <x v="1"/>
    <x v="1"/>
    <s v="California"/>
    <x v="0"/>
    <n v="399"/>
    <n v="5"/>
    <n v="1995"/>
    <n v="4"/>
  </r>
  <r>
    <s v="1063"/>
    <d v="2021-12-02T00:00:00"/>
    <n v="7"/>
    <s v="Company G"/>
    <x v="1"/>
    <x v="1"/>
    <s v="California"/>
    <x v="0"/>
    <n v="399"/>
    <n v="3"/>
    <n v="1197"/>
    <n v="4"/>
  </r>
  <r>
    <s v="1067"/>
    <d v="2021-12-04T00:00:00"/>
    <n v="16"/>
    <s v="Company P"/>
    <x v="0"/>
    <x v="0"/>
    <s v="Arizona"/>
    <x v="0"/>
    <n v="399"/>
    <n v="0"/>
    <n v="0"/>
    <n v="3"/>
  </r>
  <r>
    <s v="1068"/>
    <d v="2021-12-05T00:00:00"/>
    <n v="5"/>
    <s v="Company E"/>
    <x v="4"/>
    <x v="2"/>
    <s v="Texas"/>
    <x v="0"/>
    <n v="399"/>
    <n v="4"/>
    <n v="1596"/>
    <n v="2"/>
  </r>
  <r>
    <s v="1089"/>
    <d v="2021-12-13T00:00:00"/>
    <n v="1"/>
    <s v="Company A"/>
    <x v="2"/>
    <x v="0"/>
    <s v="Texas"/>
    <x v="0"/>
    <n v="399"/>
    <n v="1"/>
    <n v="399"/>
    <n v="2"/>
  </r>
  <r>
    <s v="1096"/>
    <d v="2021-12-17T00:00:00"/>
    <n v="12"/>
    <s v="Company L"/>
    <x v="3"/>
    <x v="2"/>
    <s v="New Mexico"/>
    <x v="0"/>
    <n v="399"/>
    <n v="5"/>
    <n v="1995"/>
    <n v="5"/>
  </r>
  <r>
    <s v="1102"/>
    <d v="2021-12-18T00:00:00"/>
    <n v="12"/>
    <s v="Company L"/>
    <x v="3"/>
    <x v="2"/>
    <s v="New Mexico"/>
    <x v="0"/>
    <n v="399"/>
    <n v="3"/>
    <n v="1197"/>
    <n v="5"/>
  </r>
  <r>
    <s v="1103"/>
    <d v="2021-12-18T00:00:00"/>
    <n v="5"/>
    <s v="Company E"/>
    <x v="4"/>
    <x v="2"/>
    <s v="Texas"/>
    <x v="0"/>
    <n v="399"/>
    <n v="0"/>
    <n v="0"/>
    <n v="2"/>
  </r>
  <r>
    <s v="1108"/>
    <d v="2021-12-18T00:00:00"/>
    <n v="14"/>
    <s v="Company N"/>
    <x v="3"/>
    <x v="2"/>
    <s v="New Mexico"/>
    <x v="0"/>
    <n v="399"/>
    <n v="5"/>
    <n v="1995"/>
    <n v="5"/>
  </r>
  <r>
    <s v="1111"/>
    <d v="2021-12-20T00:00:00"/>
    <n v="4"/>
    <s v="Company D"/>
    <x v="2"/>
    <x v="0"/>
    <s v="Texas"/>
    <x v="0"/>
    <n v="399"/>
    <n v="8"/>
    <n v="3192"/>
    <n v="2"/>
  </r>
  <r>
    <s v="1118"/>
    <d v="2021-12-20T00:00:00"/>
    <n v="18"/>
    <s v="Company R"/>
    <x v="6"/>
    <x v="0"/>
    <s v="Arizona"/>
    <x v="0"/>
    <n v="399"/>
    <n v="7"/>
    <n v="2793"/>
    <n v="5"/>
  </r>
  <r>
    <s v="1121"/>
    <d v="2021-12-22T00:00:00"/>
    <n v="14"/>
    <s v="Company N"/>
    <x v="5"/>
    <x v="1"/>
    <s v="New Mexico"/>
    <x v="0"/>
    <n v="399"/>
    <n v="7"/>
    <n v="2793"/>
    <n v="6"/>
  </r>
  <r>
    <s v="1128"/>
    <d v="2021-12-24T00:00:00"/>
    <n v="9"/>
    <s v="Company I"/>
    <x v="1"/>
    <x v="1"/>
    <s v="California"/>
    <x v="0"/>
    <n v="399"/>
    <n v="2"/>
    <n v="798"/>
    <n v="4"/>
  </r>
  <r>
    <s v="1142"/>
    <d v="2021-12-27T00:00:00"/>
    <n v="16"/>
    <s v="Company P"/>
    <x v="6"/>
    <x v="0"/>
    <s v="Arizona"/>
    <x v="0"/>
    <n v="399"/>
    <n v="8"/>
    <n v="3192"/>
    <n v="5"/>
  </r>
  <r>
    <s v="1144"/>
    <d v="2021-12-29T00:00:00"/>
    <n v="11"/>
    <s v="Company K"/>
    <x v="3"/>
    <x v="2"/>
    <s v="New Mexico"/>
    <x v="0"/>
    <n v="399"/>
    <n v="2"/>
    <n v="798"/>
    <n v="5"/>
  </r>
  <r>
    <s v="1145"/>
    <d v="2021-12-30T00:00:00"/>
    <n v="12"/>
    <s v="Company L"/>
    <x v="3"/>
    <x v="2"/>
    <s v="New Mexico"/>
    <x v="0"/>
    <n v="399"/>
    <n v="8"/>
    <n v="3192"/>
    <n v="5"/>
  </r>
  <r>
    <s v="1147"/>
    <d v="2022-01-01T00:00:00"/>
    <n v="20"/>
    <s v="Company T"/>
    <x v="0"/>
    <x v="0"/>
    <s v="Arizona"/>
    <x v="0"/>
    <n v="399"/>
    <n v="4"/>
    <n v="1596"/>
    <n v="3"/>
  </r>
  <r>
    <s v="1178"/>
    <d v="2022-01-12T00:00:00"/>
    <n v="19"/>
    <s v="Company S"/>
    <x v="6"/>
    <x v="0"/>
    <s v="Arizona"/>
    <x v="0"/>
    <n v="399"/>
    <n v="5"/>
    <n v="1995"/>
    <n v="5"/>
  </r>
  <r>
    <s v="1179"/>
    <d v="2022-01-12T00:00:00"/>
    <n v="10"/>
    <s v="Company J"/>
    <x v="1"/>
    <x v="1"/>
    <s v="California"/>
    <x v="0"/>
    <n v="399"/>
    <n v="7"/>
    <n v="2793"/>
    <n v="4"/>
  </r>
  <r>
    <s v="1181"/>
    <d v="2022-01-12T00:00:00"/>
    <n v="11"/>
    <s v="Company K"/>
    <x v="5"/>
    <x v="1"/>
    <s v="New Mexico"/>
    <x v="0"/>
    <n v="399"/>
    <n v="4"/>
    <n v="1596"/>
    <n v="6"/>
  </r>
  <r>
    <s v="1183"/>
    <d v="2022-01-13T00:00:00"/>
    <n v="3"/>
    <s v="Company C"/>
    <x v="4"/>
    <x v="2"/>
    <s v="Texas"/>
    <x v="0"/>
    <n v="399"/>
    <n v="7"/>
    <n v="2793"/>
    <n v="2"/>
  </r>
  <r>
    <s v="1187"/>
    <d v="2022-01-13T00:00:00"/>
    <n v="4"/>
    <s v="Company D"/>
    <x v="4"/>
    <x v="2"/>
    <s v="Texas"/>
    <x v="0"/>
    <n v="399"/>
    <n v="2"/>
    <n v="798"/>
    <n v="2"/>
  </r>
  <r>
    <s v="1190"/>
    <d v="2022-01-13T00:00:00"/>
    <n v="2"/>
    <s v="Company B"/>
    <x v="2"/>
    <x v="0"/>
    <s v="Texas"/>
    <x v="0"/>
    <n v="399"/>
    <n v="4"/>
    <n v="1596"/>
    <n v="2"/>
  </r>
  <r>
    <s v="1191"/>
    <d v="2022-01-13T00:00:00"/>
    <n v="18"/>
    <s v="Company R"/>
    <x v="0"/>
    <x v="0"/>
    <s v="Arizona"/>
    <x v="0"/>
    <n v="399"/>
    <n v="1"/>
    <n v="399"/>
    <n v="3"/>
  </r>
  <r>
    <s v="1195"/>
    <d v="2022-01-14T00:00:00"/>
    <n v="19"/>
    <s v="Company S"/>
    <x v="6"/>
    <x v="0"/>
    <s v="Arizona"/>
    <x v="0"/>
    <n v="399"/>
    <n v="8"/>
    <n v="3192"/>
    <n v="5"/>
  </r>
  <r>
    <s v="1203"/>
    <d v="2022-01-17T00:00:00"/>
    <n v="14"/>
    <s v="Company N"/>
    <x v="3"/>
    <x v="2"/>
    <s v="New Mexico"/>
    <x v="0"/>
    <n v="399"/>
    <n v="2"/>
    <n v="798"/>
    <n v="5"/>
  </r>
  <r>
    <s v="1208"/>
    <d v="2022-01-18T00:00:00"/>
    <n v="7"/>
    <s v="Company G"/>
    <x v="7"/>
    <x v="3"/>
    <s v="California"/>
    <x v="0"/>
    <n v="399"/>
    <n v="6"/>
    <n v="2394"/>
    <n v="8"/>
  </r>
  <r>
    <s v="1209"/>
    <d v="2022-01-18T00:00:00"/>
    <n v="12"/>
    <s v="Company L"/>
    <x v="5"/>
    <x v="1"/>
    <s v="New Mexico"/>
    <x v="0"/>
    <n v="399"/>
    <n v="3"/>
    <n v="1197"/>
    <n v="6"/>
  </r>
  <r>
    <s v="1223"/>
    <d v="2022-01-25T00:00:00"/>
    <n v="18"/>
    <s v="Company R"/>
    <x v="0"/>
    <x v="0"/>
    <s v="Arizona"/>
    <x v="0"/>
    <n v="399"/>
    <n v="9"/>
    <n v="3591"/>
    <n v="3"/>
  </r>
  <r>
    <s v="1225"/>
    <d v="2022-01-26T00:00:00"/>
    <n v="7"/>
    <s v="Company G"/>
    <x v="1"/>
    <x v="1"/>
    <s v="California"/>
    <x v="0"/>
    <n v="399"/>
    <n v="8"/>
    <n v="3192"/>
    <n v="4"/>
  </r>
  <r>
    <s v="1226"/>
    <d v="2022-01-26T00:00:00"/>
    <n v="1"/>
    <s v="Company A"/>
    <x v="4"/>
    <x v="2"/>
    <s v="Texas"/>
    <x v="0"/>
    <n v="399"/>
    <n v="4"/>
    <n v="1596"/>
    <n v="2"/>
  </r>
  <r>
    <s v="1227"/>
    <d v="2022-01-26T00:00:00"/>
    <n v="10"/>
    <s v="Company J"/>
    <x v="7"/>
    <x v="3"/>
    <s v="California"/>
    <x v="0"/>
    <n v="399"/>
    <n v="4"/>
    <n v="1596"/>
    <n v="8"/>
  </r>
  <r>
    <s v="1230"/>
    <d v="2022-01-28T00:00:00"/>
    <n v="3"/>
    <s v="Company C"/>
    <x v="2"/>
    <x v="0"/>
    <s v="Texas"/>
    <x v="0"/>
    <n v="399"/>
    <n v="5"/>
    <n v="1995"/>
    <n v="2"/>
  </r>
  <r>
    <s v="1237"/>
    <d v="2022-01-31T00:00:00"/>
    <n v="2"/>
    <s v="Company B"/>
    <x v="4"/>
    <x v="2"/>
    <s v="Texas"/>
    <x v="0"/>
    <n v="399"/>
    <n v="7"/>
    <n v="2793"/>
    <n v="2"/>
  </r>
  <r>
    <s v="1249"/>
    <d v="2022-02-05T00:00:00"/>
    <n v="9"/>
    <s v="Company I"/>
    <x v="1"/>
    <x v="1"/>
    <s v="California"/>
    <x v="0"/>
    <n v="399"/>
    <n v="7"/>
    <n v="2793"/>
    <n v="4"/>
  </r>
  <r>
    <s v="1255"/>
    <d v="2022-02-07T00:00:00"/>
    <n v="14"/>
    <s v="Company N"/>
    <x v="3"/>
    <x v="2"/>
    <s v="New Mexico"/>
    <x v="0"/>
    <n v="399"/>
    <n v="4"/>
    <n v="1596"/>
    <n v="5"/>
  </r>
  <r>
    <s v="1256"/>
    <d v="2022-02-07T00:00:00"/>
    <n v="8"/>
    <s v="Company H"/>
    <x v="7"/>
    <x v="3"/>
    <s v="California"/>
    <x v="0"/>
    <n v="399"/>
    <n v="9"/>
    <n v="3591"/>
    <n v="8"/>
  </r>
  <r>
    <s v="1259"/>
    <d v="2022-02-09T00:00:00"/>
    <n v="7"/>
    <s v="Company G"/>
    <x v="7"/>
    <x v="3"/>
    <s v="California"/>
    <x v="0"/>
    <n v="399"/>
    <n v="5"/>
    <n v="1995"/>
    <n v="8"/>
  </r>
  <r>
    <s v="1263"/>
    <d v="2022-02-11T00:00:00"/>
    <n v="20"/>
    <s v="Company T"/>
    <x v="6"/>
    <x v="0"/>
    <s v="Arizona"/>
    <x v="0"/>
    <n v="399"/>
    <n v="2"/>
    <n v="798"/>
    <n v="5"/>
  </r>
  <r>
    <s v="1264"/>
    <d v="2022-02-12T00:00:00"/>
    <n v="10"/>
    <s v="Company J"/>
    <x v="7"/>
    <x v="3"/>
    <s v="California"/>
    <x v="0"/>
    <n v="399"/>
    <n v="5"/>
    <n v="1995"/>
    <n v="8"/>
  </r>
  <r>
    <s v="1269"/>
    <d v="2022-02-14T00:00:00"/>
    <n v="13"/>
    <s v="Company M"/>
    <x v="3"/>
    <x v="2"/>
    <s v="New Mexico"/>
    <x v="0"/>
    <n v="399"/>
    <n v="6"/>
    <n v="2394"/>
    <n v="5"/>
  </r>
  <r>
    <s v="1275"/>
    <d v="2022-02-18T00:00:00"/>
    <n v="8"/>
    <s v="Company H"/>
    <x v="1"/>
    <x v="1"/>
    <s v="California"/>
    <x v="0"/>
    <n v="399"/>
    <n v="7"/>
    <n v="2793"/>
    <n v="4"/>
  </r>
  <r>
    <s v="1276"/>
    <d v="2022-02-18T00:00:00"/>
    <n v="14"/>
    <s v="Company N"/>
    <x v="5"/>
    <x v="1"/>
    <s v="New Mexico"/>
    <x v="0"/>
    <n v="399"/>
    <n v="9"/>
    <n v="3591"/>
    <n v="6"/>
  </r>
  <r>
    <s v="1277"/>
    <d v="2022-02-19T00:00:00"/>
    <n v="9"/>
    <s v="Company I"/>
    <x v="7"/>
    <x v="3"/>
    <s v="California"/>
    <x v="0"/>
    <n v="399"/>
    <n v="5"/>
    <n v="1995"/>
    <n v="8"/>
  </r>
  <r>
    <s v="1278"/>
    <d v="2022-02-19T00:00:00"/>
    <n v="3"/>
    <s v="Company C"/>
    <x v="4"/>
    <x v="2"/>
    <s v="Texas"/>
    <x v="0"/>
    <n v="399"/>
    <n v="7"/>
    <n v="2793"/>
    <n v="2"/>
  </r>
  <r>
    <s v="1283"/>
    <d v="2022-02-19T00:00:00"/>
    <n v="7"/>
    <s v="Company G"/>
    <x v="7"/>
    <x v="3"/>
    <s v="California"/>
    <x v="0"/>
    <n v="399"/>
    <n v="3"/>
    <n v="1197"/>
    <n v="8"/>
  </r>
  <r>
    <s v="1287"/>
    <d v="2022-02-19T00:00:00"/>
    <n v="16"/>
    <s v="Company P"/>
    <x v="6"/>
    <x v="0"/>
    <s v="Arizona"/>
    <x v="0"/>
    <n v="399"/>
    <n v="7"/>
    <n v="2793"/>
    <n v="5"/>
  </r>
  <r>
    <s v="1295"/>
    <d v="2022-02-21T00:00:00"/>
    <n v="18"/>
    <s v="Company R"/>
    <x v="6"/>
    <x v="0"/>
    <s v="Arizona"/>
    <x v="0"/>
    <n v="399"/>
    <n v="3"/>
    <n v="1197"/>
    <n v="5"/>
  </r>
  <r>
    <s v="1298"/>
    <d v="2022-02-22T00:00:00"/>
    <n v="3"/>
    <s v="Company C"/>
    <x v="4"/>
    <x v="2"/>
    <s v="Texas"/>
    <x v="0"/>
    <n v="399"/>
    <n v="3"/>
    <n v="1197"/>
    <n v="2"/>
  </r>
  <r>
    <s v="1304"/>
    <d v="2022-02-23T00:00:00"/>
    <n v="8"/>
    <s v="Company H"/>
    <x v="7"/>
    <x v="3"/>
    <s v="California"/>
    <x v="0"/>
    <n v="399"/>
    <n v="5"/>
    <n v="1995"/>
    <n v="8"/>
  </r>
  <r>
    <s v="1307"/>
    <d v="2022-02-23T00:00:00"/>
    <n v="3"/>
    <s v="Company C"/>
    <x v="4"/>
    <x v="2"/>
    <s v="Texas"/>
    <x v="0"/>
    <n v="399"/>
    <n v="8"/>
    <n v="3192"/>
    <n v="2"/>
  </r>
  <r>
    <s v="1308"/>
    <d v="2022-02-24T00:00:00"/>
    <n v="4"/>
    <s v="Company D"/>
    <x v="2"/>
    <x v="0"/>
    <s v="Texas"/>
    <x v="0"/>
    <n v="399"/>
    <n v="2"/>
    <n v="798"/>
    <n v="2"/>
  </r>
  <r>
    <s v="1309"/>
    <d v="2022-02-24T00:00:00"/>
    <n v="2"/>
    <s v="Company B"/>
    <x v="4"/>
    <x v="2"/>
    <s v="Texas"/>
    <x v="0"/>
    <n v="399"/>
    <n v="6"/>
    <n v="2394"/>
    <n v="2"/>
  </r>
  <r>
    <s v="1318"/>
    <d v="2022-02-26T00:00:00"/>
    <n v="14"/>
    <s v="Company N"/>
    <x v="3"/>
    <x v="2"/>
    <s v="New Mexico"/>
    <x v="0"/>
    <n v="399"/>
    <n v="2"/>
    <n v="798"/>
    <n v="5"/>
  </r>
  <r>
    <s v="1322"/>
    <d v="2022-02-28T00:00:00"/>
    <n v="19"/>
    <s v="Company S"/>
    <x v="6"/>
    <x v="0"/>
    <s v="Arizona"/>
    <x v="0"/>
    <n v="399"/>
    <n v="9"/>
    <n v="3591"/>
    <n v="5"/>
  </r>
  <r>
    <s v="1325"/>
    <d v="2022-03-01T00:00:00"/>
    <n v="8"/>
    <s v="Company H"/>
    <x v="7"/>
    <x v="3"/>
    <s v="California"/>
    <x v="0"/>
    <n v="399"/>
    <n v="3"/>
    <n v="1197"/>
    <n v="8"/>
  </r>
  <r>
    <s v="1330"/>
    <d v="2022-03-02T00:00:00"/>
    <n v="7"/>
    <s v="Company G"/>
    <x v="7"/>
    <x v="3"/>
    <s v="California"/>
    <x v="0"/>
    <n v="399"/>
    <n v="7"/>
    <n v="2793"/>
    <n v="8"/>
  </r>
  <r>
    <s v="1334"/>
    <d v="2022-03-05T00:00:00"/>
    <n v="12"/>
    <s v="Company L"/>
    <x v="3"/>
    <x v="2"/>
    <s v="New Mexico"/>
    <x v="0"/>
    <n v="399"/>
    <n v="1"/>
    <n v="399"/>
    <n v="5"/>
  </r>
  <r>
    <s v="1338"/>
    <d v="2022-03-07T00:00:00"/>
    <n v="9"/>
    <s v="Company I"/>
    <x v="1"/>
    <x v="1"/>
    <s v="California"/>
    <x v="0"/>
    <n v="399"/>
    <n v="0"/>
    <n v="0"/>
    <n v="4"/>
  </r>
  <r>
    <s v="1354"/>
    <d v="2022-03-10T00:00:00"/>
    <n v="19"/>
    <s v="Company S"/>
    <x v="6"/>
    <x v="0"/>
    <s v="Arizona"/>
    <x v="0"/>
    <n v="399"/>
    <n v="3"/>
    <n v="1197"/>
    <n v="5"/>
  </r>
  <r>
    <s v="1360"/>
    <d v="2022-03-11T00:00:00"/>
    <n v="17"/>
    <s v="Company Q"/>
    <x v="6"/>
    <x v="0"/>
    <s v="Arizona"/>
    <x v="0"/>
    <n v="399"/>
    <n v="6"/>
    <n v="2394"/>
    <n v="5"/>
  </r>
  <r>
    <s v="1362"/>
    <d v="2022-03-11T00:00:00"/>
    <n v="9"/>
    <s v="Company I"/>
    <x v="7"/>
    <x v="3"/>
    <s v="California"/>
    <x v="0"/>
    <n v="399"/>
    <n v="5"/>
    <n v="1995"/>
    <n v="8"/>
  </r>
  <r>
    <s v="1368"/>
    <d v="2022-03-12T00:00:00"/>
    <n v="19"/>
    <s v="Company S"/>
    <x v="0"/>
    <x v="0"/>
    <s v="Arizona"/>
    <x v="0"/>
    <n v="399"/>
    <n v="9"/>
    <n v="3591"/>
    <n v="3"/>
  </r>
  <r>
    <s v="1370"/>
    <d v="2022-03-13T00:00:00"/>
    <n v="19"/>
    <s v="Company S"/>
    <x v="6"/>
    <x v="0"/>
    <s v="Arizona"/>
    <x v="0"/>
    <n v="399"/>
    <n v="2"/>
    <n v="798"/>
    <n v="5"/>
  </r>
  <r>
    <s v="1371"/>
    <d v="2022-03-13T00:00:00"/>
    <n v="15"/>
    <s v="Company O"/>
    <x v="3"/>
    <x v="2"/>
    <s v="New Mexico"/>
    <x v="0"/>
    <n v="399"/>
    <n v="9"/>
    <n v="3591"/>
    <n v="5"/>
  </r>
  <r>
    <s v="1376"/>
    <d v="2022-03-17T00:00:00"/>
    <n v="7"/>
    <s v="Company G"/>
    <x v="1"/>
    <x v="1"/>
    <s v="California"/>
    <x v="0"/>
    <n v="399"/>
    <n v="6"/>
    <n v="2394"/>
    <n v="4"/>
  </r>
  <r>
    <s v="1378"/>
    <d v="2022-03-17T00:00:00"/>
    <n v="14"/>
    <s v="Company N"/>
    <x v="3"/>
    <x v="2"/>
    <s v="New Mexico"/>
    <x v="0"/>
    <n v="399"/>
    <n v="7"/>
    <n v="2793"/>
    <n v="5"/>
  </r>
  <r>
    <s v="1383"/>
    <d v="2022-03-19T00:00:00"/>
    <n v="14"/>
    <s v="Company N"/>
    <x v="5"/>
    <x v="1"/>
    <s v="New Mexico"/>
    <x v="0"/>
    <n v="399"/>
    <n v="8"/>
    <n v="3192"/>
    <n v="6"/>
  </r>
  <r>
    <s v="1385"/>
    <d v="2022-03-19T00:00:00"/>
    <n v="17"/>
    <s v="Company Q"/>
    <x v="6"/>
    <x v="0"/>
    <s v="Arizona"/>
    <x v="0"/>
    <n v="399"/>
    <n v="5"/>
    <n v="1995"/>
    <n v="5"/>
  </r>
  <r>
    <s v="1388"/>
    <d v="2022-03-19T00:00:00"/>
    <n v="9"/>
    <s v="Company I"/>
    <x v="1"/>
    <x v="1"/>
    <s v="California"/>
    <x v="0"/>
    <n v="399"/>
    <n v="9"/>
    <n v="3591"/>
    <n v="4"/>
  </r>
  <r>
    <s v="1391"/>
    <d v="2022-03-19T00:00:00"/>
    <n v="10"/>
    <s v="Company J"/>
    <x v="1"/>
    <x v="1"/>
    <s v="California"/>
    <x v="0"/>
    <n v="399"/>
    <n v="0"/>
    <n v="0"/>
    <n v="4"/>
  </r>
  <r>
    <s v="1396"/>
    <d v="2022-03-22T00:00:00"/>
    <n v="11"/>
    <s v="Company K"/>
    <x v="3"/>
    <x v="2"/>
    <s v="New Mexico"/>
    <x v="0"/>
    <n v="399"/>
    <n v="9"/>
    <n v="3591"/>
    <n v="5"/>
  </r>
  <r>
    <s v="1400"/>
    <d v="2022-03-23T00:00:00"/>
    <n v="5"/>
    <s v="Company E"/>
    <x v="4"/>
    <x v="2"/>
    <s v="Texas"/>
    <x v="0"/>
    <n v="399"/>
    <n v="1"/>
    <n v="399"/>
    <n v="2"/>
  </r>
  <r>
    <s v="1403"/>
    <d v="2022-03-23T00:00:00"/>
    <n v="9"/>
    <s v="Company I"/>
    <x v="7"/>
    <x v="3"/>
    <s v="California"/>
    <x v="0"/>
    <n v="399"/>
    <n v="9"/>
    <n v="3591"/>
    <n v="8"/>
  </r>
  <r>
    <s v="1407"/>
    <d v="2022-03-24T00:00:00"/>
    <n v="12"/>
    <s v="Company L"/>
    <x v="5"/>
    <x v="1"/>
    <s v="New Mexico"/>
    <x v="0"/>
    <n v="399"/>
    <n v="8"/>
    <n v="3192"/>
    <n v="6"/>
  </r>
  <r>
    <s v="1408"/>
    <d v="2022-03-25T00:00:00"/>
    <n v="3"/>
    <s v="Company C"/>
    <x v="2"/>
    <x v="0"/>
    <s v="Texas"/>
    <x v="0"/>
    <n v="399"/>
    <n v="9"/>
    <n v="3591"/>
    <n v="2"/>
  </r>
  <r>
    <s v="1409"/>
    <d v="2022-03-25T00:00:00"/>
    <n v="18"/>
    <s v="Company R"/>
    <x v="0"/>
    <x v="0"/>
    <s v="Arizona"/>
    <x v="0"/>
    <n v="399"/>
    <n v="3"/>
    <n v="1197"/>
    <n v="3"/>
  </r>
  <r>
    <s v="1413"/>
    <d v="2022-03-27T00:00:00"/>
    <n v="4"/>
    <s v="Company D"/>
    <x v="2"/>
    <x v="0"/>
    <s v="Texas"/>
    <x v="0"/>
    <n v="399"/>
    <n v="6"/>
    <n v="2394"/>
    <n v="2"/>
  </r>
  <r>
    <s v="1423"/>
    <d v="2022-03-30T00:00:00"/>
    <n v="7"/>
    <s v="Company G"/>
    <x v="7"/>
    <x v="3"/>
    <s v="California"/>
    <x v="0"/>
    <n v="399"/>
    <n v="2"/>
    <n v="798"/>
    <n v="8"/>
  </r>
  <r>
    <s v="1426"/>
    <d v="2022-03-31T00:00:00"/>
    <n v="13"/>
    <s v="Company M"/>
    <x v="5"/>
    <x v="1"/>
    <s v="New Mexico"/>
    <x v="0"/>
    <n v="399"/>
    <n v="0"/>
    <n v="0"/>
    <n v="6"/>
  </r>
  <r>
    <s v="1427"/>
    <d v="2022-03-31T00:00:00"/>
    <n v="10"/>
    <s v="Company J"/>
    <x v="1"/>
    <x v="1"/>
    <s v="California"/>
    <x v="0"/>
    <n v="399"/>
    <n v="8"/>
    <n v="3192"/>
    <n v="4"/>
  </r>
  <r>
    <s v="1429"/>
    <d v="2022-04-01T00:00:00"/>
    <n v="1"/>
    <s v="Company A"/>
    <x v="4"/>
    <x v="2"/>
    <s v="Texas"/>
    <x v="0"/>
    <n v="399"/>
    <n v="4"/>
    <n v="1596"/>
    <n v="2"/>
  </r>
  <r>
    <s v="1431"/>
    <d v="2022-04-02T00:00:00"/>
    <n v="8"/>
    <s v="Company H"/>
    <x v="7"/>
    <x v="3"/>
    <s v="California"/>
    <x v="0"/>
    <n v="399"/>
    <n v="0"/>
    <n v="0"/>
    <n v="8"/>
  </r>
  <r>
    <s v="1446"/>
    <d v="2022-04-07T00:00:00"/>
    <n v="12"/>
    <s v="Company L"/>
    <x v="5"/>
    <x v="1"/>
    <s v="New Mexico"/>
    <x v="0"/>
    <n v="399"/>
    <n v="5"/>
    <n v="1995"/>
    <n v="6"/>
  </r>
  <r>
    <s v="1452"/>
    <d v="2022-04-09T00:00:00"/>
    <n v="9"/>
    <s v="Company I"/>
    <x v="1"/>
    <x v="1"/>
    <s v="California"/>
    <x v="0"/>
    <n v="399"/>
    <n v="5"/>
    <n v="1995"/>
    <n v="4"/>
  </r>
  <r>
    <s v="1465"/>
    <d v="2022-04-13T00:00:00"/>
    <n v="13"/>
    <s v="Company M"/>
    <x v="5"/>
    <x v="1"/>
    <s v="New Mexico"/>
    <x v="0"/>
    <n v="399"/>
    <n v="0"/>
    <n v="0"/>
    <n v="6"/>
  </r>
  <r>
    <s v="1466"/>
    <d v="2022-04-14T00:00:00"/>
    <n v="9"/>
    <s v="Company I"/>
    <x v="7"/>
    <x v="3"/>
    <s v="California"/>
    <x v="0"/>
    <n v="399"/>
    <n v="7"/>
    <n v="2793"/>
    <n v="8"/>
  </r>
  <r>
    <s v="1468"/>
    <d v="2022-04-15T00:00:00"/>
    <n v="6"/>
    <s v="Company F"/>
    <x v="7"/>
    <x v="3"/>
    <s v="California"/>
    <x v="0"/>
    <n v="399"/>
    <n v="0"/>
    <n v="0"/>
    <n v="8"/>
  </r>
  <r>
    <s v="1471"/>
    <d v="2022-04-18T00:00:00"/>
    <n v="5"/>
    <s v="Company E"/>
    <x v="4"/>
    <x v="2"/>
    <s v="Texas"/>
    <x v="0"/>
    <n v="399"/>
    <n v="8"/>
    <n v="3192"/>
    <n v="2"/>
  </r>
  <r>
    <s v="1475"/>
    <d v="2022-04-18T00:00:00"/>
    <n v="13"/>
    <s v="Company M"/>
    <x v="3"/>
    <x v="2"/>
    <s v="New Mexico"/>
    <x v="0"/>
    <n v="399"/>
    <n v="5"/>
    <n v="1995"/>
    <n v="5"/>
  </r>
  <r>
    <s v="1477"/>
    <d v="2022-04-19T00:00:00"/>
    <n v="4"/>
    <s v="Company D"/>
    <x v="2"/>
    <x v="0"/>
    <s v="Texas"/>
    <x v="0"/>
    <n v="399"/>
    <n v="7"/>
    <n v="2793"/>
    <n v="2"/>
  </r>
  <r>
    <s v="1478"/>
    <d v="2022-04-19T00:00:00"/>
    <n v="4"/>
    <s v="Company D"/>
    <x v="4"/>
    <x v="2"/>
    <s v="Texas"/>
    <x v="0"/>
    <n v="399"/>
    <n v="9"/>
    <n v="3591"/>
    <n v="2"/>
  </r>
  <r>
    <s v="1479"/>
    <d v="2022-04-19T00:00:00"/>
    <n v="10"/>
    <s v="Company J"/>
    <x v="7"/>
    <x v="3"/>
    <s v="California"/>
    <x v="0"/>
    <n v="399"/>
    <n v="4"/>
    <n v="1596"/>
    <n v="8"/>
  </r>
  <r>
    <s v="1480"/>
    <d v="2022-04-20T00:00:00"/>
    <n v="6"/>
    <s v="Company F"/>
    <x v="7"/>
    <x v="3"/>
    <s v="California"/>
    <x v="0"/>
    <n v="399"/>
    <n v="6"/>
    <n v="2394"/>
    <n v="8"/>
  </r>
  <r>
    <s v="1483"/>
    <d v="2022-04-20T00:00:00"/>
    <n v="20"/>
    <s v="Company T"/>
    <x v="0"/>
    <x v="0"/>
    <s v="Arizona"/>
    <x v="0"/>
    <n v="399"/>
    <n v="9"/>
    <n v="3591"/>
    <n v="3"/>
  </r>
  <r>
    <s v="1490"/>
    <d v="2022-04-23T00:00:00"/>
    <n v="19"/>
    <s v="Company S"/>
    <x v="6"/>
    <x v="0"/>
    <s v="Arizona"/>
    <x v="0"/>
    <n v="399"/>
    <n v="1"/>
    <n v="399"/>
    <n v="5"/>
  </r>
  <r>
    <s v="1491"/>
    <d v="2022-04-23T00:00:00"/>
    <n v="5"/>
    <s v="Company E"/>
    <x v="2"/>
    <x v="0"/>
    <s v="Texas"/>
    <x v="0"/>
    <n v="399"/>
    <n v="8"/>
    <n v="3192"/>
    <n v="2"/>
  </r>
  <r>
    <s v="1492"/>
    <d v="2022-04-23T00:00:00"/>
    <n v="11"/>
    <s v="Company K"/>
    <x v="5"/>
    <x v="1"/>
    <s v="New Mexico"/>
    <x v="0"/>
    <n v="399"/>
    <n v="6"/>
    <n v="2394"/>
    <n v="6"/>
  </r>
  <r>
    <s v="1493"/>
    <d v="2022-04-23T00:00:00"/>
    <n v="8"/>
    <s v="Company H"/>
    <x v="1"/>
    <x v="1"/>
    <s v="California"/>
    <x v="0"/>
    <n v="399"/>
    <n v="2"/>
    <n v="798"/>
    <n v="4"/>
  </r>
  <r>
    <s v="1496"/>
    <d v="2022-04-25T00:00:00"/>
    <n v="10"/>
    <s v="Company J"/>
    <x v="7"/>
    <x v="3"/>
    <s v="California"/>
    <x v="0"/>
    <n v="399"/>
    <n v="5"/>
    <n v="1995"/>
    <n v="8"/>
  </r>
  <r>
    <s v="1504"/>
    <d v="2022-04-30T00:00:00"/>
    <n v="11"/>
    <s v="Company K"/>
    <x v="3"/>
    <x v="2"/>
    <s v="New Mexico"/>
    <x v="0"/>
    <n v="399"/>
    <n v="5"/>
    <n v="1995"/>
    <n v="5"/>
  </r>
  <r>
    <s v="1511"/>
    <d v="2022-05-03T00:00:00"/>
    <n v="16"/>
    <s v="Company P"/>
    <x v="0"/>
    <x v="0"/>
    <s v="Arizona"/>
    <x v="0"/>
    <n v="399"/>
    <n v="3"/>
    <n v="1197"/>
    <n v="3"/>
  </r>
  <r>
    <s v="1515"/>
    <d v="2022-05-03T00:00:00"/>
    <n v="18"/>
    <s v="Company R"/>
    <x v="6"/>
    <x v="0"/>
    <s v="Arizona"/>
    <x v="0"/>
    <n v="399"/>
    <n v="6"/>
    <n v="2394"/>
    <n v="5"/>
  </r>
  <r>
    <s v="1521"/>
    <d v="2022-05-05T00:00:00"/>
    <n v="19"/>
    <s v="Company S"/>
    <x v="6"/>
    <x v="0"/>
    <s v="Arizona"/>
    <x v="0"/>
    <n v="399"/>
    <n v="5"/>
    <n v="1995"/>
    <n v="5"/>
  </r>
  <r>
    <s v="1530"/>
    <d v="2022-05-07T00:00:00"/>
    <n v="15"/>
    <s v="Company O"/>
    <x v="3"/>
    <x v="2"/>
    <s v="New Mexico"/>
    <x v="0"/>
    <n v="399"/>
    <n v="0"/>
    <n v="0"/>
    <n v="5"/>
  </r>
  <r>
    <s v="1537"/>
    <d v="2022-05-10T00:00:00"/>
    <n v="17"/>
    <s v="Company Q"/>
    <x v="6"/>
    <x v="0"/>
    <s v="Arizona"/>
    <x v="0"/>
    <n v="399"/>
    <n v="1"/>
    <n v="399"/>
    <n v="5"/>
  </r>
  <r>
    <s v="1543"/>
    <d v="2022-05-13T00:00:00"/>
    <n v="11"/>
    <s v="Company K"/>
    <x v="5"/>
    <x v="1"/>
    <s v="New Mexico"/>
    <x v="0"/>
    <n v="399"/>
    <n v="2"/>
    <n v="798"/>
    <n v="6"/>
  </r>
  <r>
    <s v="1545"/>
    <d v="2022-05-14T00:00:00"/>
    <n v="11"/>
    <s v="Company K"/>
    <x v="3"/>
    <x v="2"/>
    <s v="New Mexico"/>
    <x v="0"/>
    <n v="399"/>
    <n v="6"/>
    <n v="2394"/>
    <n v="5"/>
  </r>
  <r>
    <s v="1551"/>
    <d v="2022-05-17T00:00:00"/>
    <n v="1"/>
    <s v="Company A"/>
    <x v="4"/>
    <x v="2"/>
    <s v="Texas"/>
    <x v="0"/>
    <n v="399"/>
    <n v="7"/>
    <n v="2793"/>
    <n v="2"/>
  </r>
  <r>
    <s v="1558"/>
    <d v="2022-05-18T00:00:00"/>
    <n v="2"/>
    <s v="Company B"/>
    <x v="4"/>
    <x v="2"/>
    <s v="Texas"/>
    <x v="0"/>
    <n v="399"/>
    <n v="4"/>
    <n v="1596"/>
    <n v="2"/>
  </r>
  <r>
    <s v="1559"/>
    <d v="2022-05-19T00:00:00"/>
    <n v="10"/>
    <s v="Company J"/>
    <x v="7"/>
    <x v="3"/>
    <s v="California"/>
    <x v="0"/>
    <n v="399"/>
    <n v="1"/>
    <n v="399"/>
    <n v="8"/>
  </r>
  <r>
    <s v="1563"/>
    <d v="2022-05-20T00:00:00"/>
    <n v="19"/>
    <s v="Company S"/>
    <x v="0"/>
    <x v="0"/>
    <s v="Arizona"/>
    <x v="0"/>
    <n v="399"/>
    <n v="8"/>
    <n v="3192"/>
    <n v="3"/>
  </r>
  <r>
    <s v="1572"/>
    <d v="2022-05-24T00:00:00"/>
    <n v="14"/>
    <s v="Company N"/>
    <x v="5"/>
    <x v="1"/>
    <s v="New Mexico"/>
    <x v="0"/>
    <n v="399"/>
    <n v="4"/>
    <n v="1596"/>
    <n v="6"/>
  </r>
  <r>
    <s v="1576"/>
    <d v="2022-05-25T00:00:00"/>
    <n v="12"/>
    <s v="Company L"/>
    <x v="5"/>
    <x v="1"/>
    <s v="New Mexico"/>
    <x v="0"/>
    <n v="399"/>
    <n v="2"/>
    <n v="798"/>
    <n v="6"/>
  </r>
  <r>
    <s v="1594"/>
    <d v="2022-05-27T00:00:00"/>
    <n v="11"/>
    <s v="Company K"/>
    <x v="5"/>
    <x v="1"/>
    <s v="New Mexico"/>
    <x v="0"/>
    <n v="399"/>
    <n v="0"/>
    <n v="0"/>
    <n v="6"/>
  </r>
  <r>
    <s v="1601"/>
    <d v="2022-05-29T00:00:00"/>
    <n v="17"/>
    <s v="Company Q"/>
    <x v="6"/>
    <x v="0"/>
    <s v="Arizona"/>
    <x v="0"/>
    <n v="399"/>
    <n v="2"/>
    <n v="798"/>
    <n v="5"/>
  </r>
  <r>
    <s v="1620"/>
    <d v="2022-06-05T00:00:00"/>
    <n v="9"/>
    <s v="Company I"/>
    <x v="1"/>
    <x v="1"/>
    <s v="California"/>
    <x v="0"/>
    <n v="399"/>
    <n v="0"/>
    <n v="0"/>
    <n v="4"/>
  </r>
  <r>
    <s v="1627"/>
    <d v="2022-06-06T00:00:00"/>
    <n v="5"/>
    <s v="Company E"/>
    <x v="4"/>
    <x v="2"/>
    <s v="Texas"/>
    <x v="0"/>
    <n v="399"/>
    <n v="6"/>
    <n v="2394"/>
    <n v="2"/>
  </r>
  <r>
    <s v="1629"/>
    <d v="2022-06-06T00:00:00"/>
    <n v="9"/>
    <s v="Company I"/>
    <x v="1"/>
    <x v="1"/>
    <s v="California"/>
    <x v="0"/>
    <n v="399"/>
    <n v="0"/>
    <n v="0"/>
    <n v="4"/>
  </r>
  <r>
    <s v="1632"/>
    <d v="2022-06-06T00:00:00"/>
    <n v="1"/>
    <s v="Company A"/>
    <x v="4"/>
    <x v="2"/>
    <s v="Texas"/>
    <x v="0"/>
    <n v="399"/>
    <n v="0"/>
    <n v="0"/>
    <n v="2"/>
  </r>
  <r>
    <s v="1637"/>
    <d v="2022-06-08T00:00:00"/>
    <n v="10"/>
    <s v="Company J"/>
    <x v="1"/>
    <x v="1"/>
    <s v="California"/>
    <x v="0"/>
    <n v="399"/>
    <n v="5"/>
    <n v="1995"/>
    <n v="4"/>
  </r>
  <r>
    <s v="1639"/>
    <d v="2022-06-08T00:00:00"/>
    <n v="20"/>
    <s v="Company T"/>
    <x v="6"/>
    <x v="0"/>
    <s v="Arizona"/>
    <x v="0"/>
    <n v="399"/>
    <n v="6"/>
    <n v="2394"/>
    <n v="5"/>
  </r>
  <r>
    <s v="1642"/>
    <d v="2022-06-08T00:00:00"/>
    <n v="17"/>
    <s v="Company Q"/>
    <x v="6"/>
    <x v="0"/>
    <s v="Arizona"/>
    <x v="0"/>
    <n v="399"/>
    <n v="9"/>
    <n v="3591"/>
    <n v="5"/>
  </r>
  <r>
    <s v="1644"/>
    <d v="2022-06-09T00:00:00"/>
    <n v="4"/>
    <s v="Company D"/>
    <x v="2"/>
    <x v="0"/>
    <s v="Texas"/>
    <x v="0"/>
    <n v="399"/>
    <n v="6"/>
    <n v="2394"/>
    <n v="2"/>
  </r>
  <r>
    <s v="1645"/>
    <d v="2022-06-09T00:00:00"/>
    <n v="11"/>
    <s v="Company K"/>
    <x v="3"/>
    <x v="2"/>
    <s v="New Mexico"/>
    <x v="0"/>
    <n v="399"/>
    <n v="3"/>
    <n v="1197"/>
    <n v="5"/>
  </r>
  <r>
    <s v="1648"/>
    <d v="2022-06-10T00:00:00"/>
    <n v="1"/>
    <s v="Company A"/>
    <x v="4"/>
    <x v="2"/>
    <s v="Texas"/>
    <x v="0"/>
    <n v="399"/>
    <n v="2"/>
    <n v="798"/>
    <n v="2"/>
  </r>
  <r>
    <s v="1650"/>
    <d v="2022-06-11T00:00:00"/>
    <n v="9"/>
    <s v="Company I"/>
    <x v="7"/>
    <x v="3"/>
    <s v="California"/>
    <x v="0"/>
    <n v="399"/>
    <n v="3"/>
    <n v="1197"/>
    <n v="8"/>
  </r>
  <r>
    <s v="1654"/>
    <d v="2022-06-13T00:00:00"/>
    <n v="3"/>
    <s v="Company C"/>
    <x v="2"/>
    <x v="0"/>
    <s v="Texas"/>
    <x v="0"/>
    <n v="399"/>
    <n v="5"/>
    <n v="1995"/>
    <n v="2"/>
  </r>
  <r>
    <s v="1657"/>
    <d v="2022-06-14T00:00:00"/>
    <n v="10"/>
    <s v="Company J"/>
    <x v="1"/>
    <x v="1"/>
    <s v="California"/>
    <x v="0"/>
    <n v="399"/>
    <n v="8"/>
    <n v="3192"/>
    <n v="4"/>
  </r>
  <r>
    <s v="1658"/>
    <d v="2022-06-14T00:00:00"/>
    <n v="3"/>
    <s v="Company C"/>
    <x v="2"/>
    <x v="0"/>
    <s v="Texas"/>
    <x v="0"/>
    <n v="399"/>
    <n v="8"/>
    <n v="3192"/>
    <n v="2"/>
  </r>
  <r>
    <s v="1664"/>
    <d v="2022-06-15T00:00:00"/>
    <n v="13"/>
    <s v="Company M"/>
    <x v="5"/>
    <x v="1"/>
    <s v="New Mexico"/>
    <x v="0"/>
    <n v="399"/>
    <n v="7"/>
    <n v="2793"/>
    <n v="6"/>
  </r>
  <r>
    <s v="1667"/>
    <d v="2022-06-16T00:00:00"/>
    <n v="8"/>
    <s v="Company H"/>
    <x v="1"/>
    <x v="1"/>
    <s v="California"/>
    <x v="0"/>
    <n v="399"/>
    <n v="2"/>
    <n v="798"/>
    <n v="4"/>
  </r>
  <r>
    <s v="1674"/>
    <d v="2022-06-18T00:00:00"/>
    <n v="17"/>
    <s v="Company Q"/>
    <x v="0"/>
    <x v="0"/>
    <s v="Arizona"/>
    <x v="0"/>
    <n v="399"/>
    <n v="3"/>
    <n v="1197"/>
    <n v="3"/>
  </r>
  <r>
    <s v="1688"/>
    <d v="2022-06-24T00:00:00"/>
    <n v="13"/>
    <s v="Company M"/>
    <x v="3"/>
    <x v="2"/>
    <s v="New Mexico"/>
    <x v="0"/>
    <n v="399"/>
    <n v="5"/>
    <n v="1995"/>
    <n v="5"/>
  </r>
  <r>
    <s v="1689"/>
    <d v="2022-06-25T00:00:00"/>
    <n v="16"/>
    <s v="Company P"/>
    <x v="0"/>
    <x v="0"/>
    <s v="Arizona"/>
    <x v="0"/>
    <n v="399"/>
    <n v="6"/>
    <n v="2394"/>
    <n v="3"/>
  </r>
  <r>
    <s v="1690"/>
    <d v="2022-06-26T00:00:00"/>
    <n v="7"/>
    <s v="Company G"/>
    <x v="1"/>
    <x v="1"/>
    <s v="California"/>
    <x v="0"/>
    <n v="399"/>
    <n v="4"/>
    <n v="1596"/>
    <n v="4"/>
  </r>
  <r>
    <s v="1694"/>
    <d v="2022-06-29T00:00:00"/>
    <n v="9"/>
    <s v="Company I"/>
    <x v="7"/>
    <x v="3"/>
    <s v="California"/>
    <x v="0"/>
    <n v="399"/>
    <n v="5"/>
    <n v="1995"/>
    <n v="8"/>
  </r>
  <r>
    <s v="1701"/>
    <d v="2022-07-04T00:00:00"/>
    <n v="16"/>
    <s v="Company P"/>
    <x v="0"/>
    <x v="0"/>
    <s v="Arizona"/>
    <x v="0"/>
    <n v="399"/>
    <n v="4"/>
    <n v="1596"/>
    <n v="3"/>
  </r>
  <r>
    <s v="1703"/>
    <d v="2022-07-05T00:00:00"/>
    <n v="5"/>
    <s v="Company E"/>
    <x v="2"/>
    <x v="0"/>
    <s v="Texas"/>
    <x v="0"/>
    <n v="399"/>
    <n v="7"/>
    <n v="2793"/>
    <n v="2"/>
  </r>
  <r>
    <s v="1710"/>
    <d v="2022-07-10T00:00:00"/>
    <n v="14"/>
    <s v="Company N"/>
    <x v="3"/>
    <x v="2"/>
    <s v="New Mexico"/>
    <x v="0"/>
    <n v="399"/>
    <n v="0"/>
    <n v="0"/>
    <n v="5"/>
  </r>
  <r>
    <s v="1713"/>
    <d v="2022-07-11T00:00:00"/>
    <n v="19"/>
    <s v="Company S"/>
    <x v="6"/>
    <x v="0"/>
    <s v="Arizona"/>
    <x v="0"/>
    <n v="399"/>
    <n v="9"/>
    <n v="3591"/>
    <n v="5"/>
  </r>
  <r>
    <s v="1716"/>
    <d v="2022-07-12T00:00:00"/>
    <n v="14"/>
    <s v="Company N"/>
    <x v="3"/>
    <x v="2"/>
    <s v="New Mexico"/>
    <x v="0"/>
    <n v="399"/>
    <n v="1"/>
    <n v="399"/>
    <n v="5"/>
  </r>
  <r>
    <s v="1726"/>
    <d v="2022-07-14T00:00:00"/>
    <n v="10"/>
    <s v="Company J"/>
    <x v="1"/>
    <x v="1"/>
    <s v="California"/>
    <x v="0"/>
    <n v="399"/>
    <n v="9"/>
    <n v="3591"/>
    <n v="4"/>
  </r>
  <r>
    <s v="1730"/>
    <d v="2022-07-15T00:00:00"/>
    <n v="18"/>
    <s v="Company R"/>
    <x v="0"/>
    <x v="0"/>
    <s v="Arizona"/>
    <x v="0"/>
    <n v="399"/>
    <n v="5"/>
    <n v="1995"/>
    <n v="3"/>
  </r>
  <r>
    <s v="1731"/>
    <d v="2022-07-16T00:00:00"/>
    <n v="9"/>
    <s v="Company I"/>
    <x v="1"/>
    <x v="1"/>
    <s v="California"/>
    <x v="0"/>
    <n v="399"/>
    <n v="0"/>
    <n v="0"/>
    <n v="4"/>
  </r>
  <r>
    <s v="1732"/>
    <d v="2022-07-17T00:00:00"/>
    <n v="4"/>
    <s v="Company D"/>
    <x v="2"/>
    <x v="0"/>
    <s v="Texas"/>
    <x v="0"/>
    <n v="399"/>
    <n v="8"/>
    <n v="3192"/>
    <n v="2"/>
  </r>
  <r>
    <s v="1734"/>
    <d v="2022-07-18T00:00:00"/>
    <n v="5"/>
    <s v="Company E"/>
    <x v="2"/>
    <x v="0"/>
    <s v="Texas"/>
    <x v="0"/>
    <n v="399"/>
    <n v="2"/>
    <n v="798"/>
    <n v="2"/>
  </r>
  <r>
    <s v="1735"/>
    <d v="2022-07-18T00:00:00"/>
    <n v="12"/>
    <s v="Company L"/>
    <x v="5"/>
    <x v="1"/>
    <s v="New Mexico"/>
    <x v="0"/>
    <n v="399"/>
    <n v="7"/>
    <n v="2793"/>
    <n v="6"/>
  </r>
  <r>
    <s v="1749"/>
    <d v="2022-07-23T00:00:00"/>
    <n v="2"/>
    <s v="Company B"/>
    <x v="4"/>
    <x v="2"/>
    <s v="Texas"/>
    <x v="0"/>
    <n v="399"/>
    <n v="9"/>
    <n v="3591"/>
    <n v="2"/>
  </r>
  <r>
    <s v="1756"/>
    <d v="2022-07-25T00:00:00"/>
    <n v="2"/>
    <s v="Company B"/>
    <x v="2"/>
    <x v="0"/>
    <s v="Texas"/>
    <x v="0"/>
    <n v="399"/>
    <n v="9"/>
    <n v="3591"/>
    <n v="2"/>
  </r>
  <r>
    <s v="1766"/>
    <d v="2022-07-31T00:00:00"/>
    <n v="13"/>
    <s v="Company M"/>
    <x v="3"/>
    <x v="2"/>
    <s v="New Mexico"/>
    <x v="0"/>
    <n v="399"/>
    <n v="8"/>
    <n v="3192"/>
    <n v="5"/>
  </r>
  <r>
    <s v="1767"/>
    <d v="2022-07-31T00:00:00"/>
    <n v="6"/>
    <s v="Company F"/>
    <x v="7"/>
    <x v="3"/>
    <s v="California"/>
    <x v="0"/>
    <n v="399"/>
    <n v="9"/>
    <n v="3591"/>
    <n v="8"/>
  </r>
  <r>
    <s v="1769"/>
    <d v="2022-08-02T00:00:00"/>
    <n v="6"/>
    <s v="Company F"/>
    <x v="1"/>
    <x v="1"/>
    <s v="California"/>
    <x v="0"/>
    <n v="399"/>
    <n v="2"/>
    <n v="798"/>
    <n v="4"/>
  </r>
  <r>
    <s v="1777"/>
    <d v="2022-08-06T00:00:00"/>
    <n v="7"/>
    <s v="Company G"/>
    <x v="7"/>
    <x v="3"/>
    <s v="California"/>
    <x v="0"/>
    <n v="399"/>
    <n v="6"/>
    <n v="2394"/>
    <n v="8"/>
  </r>
  <r>
    <s v="1783"/>
    <d v="2022-08-08T00:00:00"/>
    <n v="5"/>
    <s v="Company E"/>
    <x v="2"/>
    <x v="0"/>
    <s v="Texas"/>
    <x v="0"/>
    <n v="399"/>
    <n v="1"/>
    <n v="399"/>
    <n v="2"/>
  </r>
  <r>
    <s v="1786"/>
    <d v="2022-08-08T00:00:00"/>
    <n v="15"/>
    <s v="Company O"/>
    <x v="3"/>
    <x v="2"/>
    <s v="New Mexico"/>
    <x v="0"/>
    <n v="399"/>
    <n v="2"/>
    <n v="798"/>
    <n v="5"/>
  </r>
  <r>
    <s v="1788"/>
    <d v="2022-08-09T00:00:00"/>
    <n v="11"/>
    <s v="Company K"/>
    <x v="5"/>
    <x v="1"/>
    <s v="New Mexico"/>
    <x v="0"/>
    <n v="399"/>
    <n v="5"/>
    <n v="1995"/>
    <n v="6"/>
  </r>
  <r>
    <s v="1791"/>
    <d v="2022-08-11T00:00:00"/>
    <n v="17"/>
    <s v="Company Q"/>
    <x v="6"/>
    <x v="0"/>
    <s v="Arizona"/>
    <x v="0"/>
    <n v="399"/>
    <n v="8"/>
    <n v="3192"/>
    <n v="5"/>
  </r>
  <r>
    <s v="1792"/>
    <d v="2022-08-11T00:00:00"/>
    <n v="3"/>
    <s v="Company C"/>
    <x v="2"/>
    <x v="0"/>
    <s v="Texas"/>
    <x v="0"/>
    <n v="399"/>
    <n v="2"/>
    <n v="798"/>
    <n v="2"/>
  </r>
  <r>
    <s v="1799"/>
    <d v="2022-08-12T00:00:00"/>
    <n v="15"/>
    <s v="Company O"/>
    <x v="3"/>
    <x v="2"/>
    <s v="New Mexico"/>
    <x v="0"/>
    <n v="399"/>
    <n v="4"/>
    <n v="1596"/>
    <n v="5"/>
  </r>
  <r>
    <s v="1801"/>
    <d v="2022-08-12T00:00:00"/>
    <n v="17"/>
    <s v="Company Q"/>
    <x v="0"/>
    <x v="0"/>
    <s v="Arizona"/>
    <x v="0"/>
    <n v="399"/>
    <n v="1"/>
    <n v="399"/>
    <n v="3"/>
  </r>
  <r>
    <s v="1803"/>
    <d v="2022-08-12T00:00:00"/>
    <n v="18"/>
    <s v="Company R"/>
    <x v="6"/>
    <x v="0"/>
    <s v="Arizona"/>
    <x v="0"/>
    <n v="399"/>
    <n v="5"/>
    <n v="1995"/>
    <n v="5"/>
  </r>
  <r>
    <s v="1838"/>
    <d v="2022-08-22T00:00:00"/>
    <n v="20"/>
    <s v="Company T"/>
    <x v="0"/>
    <x v="0"/>
    <s v="Arizona"/>
    <x v="0"/>
    <n v="399"/>
    <n v="9"/>
    <n v="3591"/>
    <n v="3"/>
  </r>
  <r>
    <s v="1849"/>
    <d v="2022-08-24T00:00:00"/>
    <n v="4"/>
    <s v="Company D"/>
    <x v="2"/>
    <x v="0"/>
    <s v="Texas"/>
    <x v="0"/>
    <n v="399"/>
    <n v="7"/>
    <n v="2793"/>
    <n v="2"/>
  </r>
  <r>
    <s v="1858"/>
    <d v="2022-08-30T00:00:00"/>
    <n v="17"/>
    <s v="Company Q"/>
    <x v="0"/>
    <x v="0"/>
    <s v="Arizona"/>
    <x v="0"/>
    <n v="399"/>
    <n v="1"/>
    <n v="399"/>
    <n v="3"/>
  </r>
  <r>
    <s v="1860"/>
    <d v="2022-08-30T00:00:00"/>
    <n v="14"/>
    <s v="Company N"/>
    <x v="5"/>
    <x v="1"/>
    <s v="New Mexico"/>
    <x v="0"/>
    <n v="399"/>
    <n v="4"/>
    <n v="1596"/>
    <n v="6"/>
  </r>
  <r>
    <s v="1861"/>
    <d v="2022-08-30T00:00:00"/>
    <n v="20"/>
    <s v="Company T"/>
    <x v="6"/>
    <x v="0"/>
    <s v="Arizona"/>
    <x v="0"/>
    <n v="399"/>
    <n v="8"/>
    <n v="3192"/>
    <n v="5"/>
  </r>
  <r>
    <s v="1863"/>
    <d v="2022-08-31T00:00:00"/>
    <n v="11"/>
    <s v="Company K"/>
    <x v="3"/>
    <x v="2"/>
    <s v="New Mexico"/>
    <x v="0"/>
    <n v="399"/>
    <n v="5"/>
    <n v="1995"/>
    <n v="5"/>
  </r>
  <r>
    <s v="1865"/>
    <d v="2022-09-01T00:00:00"/>
    <n v="11"/>
    <s v="Company K"/>
    <x v="5"/>
    <x v="1"/>
    <s v="New Mexico"/>
    <x v="0"/>
    <n v="399"/>
    <n v="4"/>
    <n v="1596"/>
    <n v="6"/>
  </r>
  <r>
    <s v="1869"/>
    <d v="2022-09-03T00:00:00"/>
    <n v="7"/>
    <s v="Company G"/>
    <x v="7"/>
    <x v="3"/>
    <s v="California"/>
    <x v="0"/>
    <n v="399"/>
    <n v="1"/>
    <n v="399"/>
    <n v="8"/>
  </r>
  <r>
    <s v="1870"/>
    <d v="2022-09-04T00:00:00"/>
    <n v="19"/>
    <s v="Company S"/>
    <x v="0"/>
    <x v="0"/>
    <s v="Arizona"/>
    <x v="0"/>
    <n v="399"/>
    <n v="9"/>
    <n v="3591"/>
    <n v="3"/>
  </r>
  <r>
    <s v="1877"/>
    <d v="2022-09-06T00:00:00"/>
    <n v="1"/>
    <s v="Company A"/>
    <x v="2"/>
    <x v="0"/>
    <s v="Texas"/>
    <x v="0"/>
    <n v="399"/>
    <n v="3"/>
    <n v="1197"/>
    <n v="2"/>
  </r>
  <r>
    <s v="1879"/>
    <d v="2022-09-06T00:00:00"/>
    <n v="4"/>
    <s v="Company D"/>
    <x v="4"/>
    <x v="2"/>
    <s v="Texas"/>
    <x v="0"/>
    <n v="399"/>
    <n v="4"/>
    <n v="1596"/>
    <n v="2"/>
  </r>
  <r>
    <s v="1884"/>
    <d v="2022-09-08T00:00:00"/>
    <n v="13"/>
    <s v="Company M"/>
    <x v="3"/>
    <x v="2"/>
    <s v="New Mexico"/>
    <x v="0"/>
    <n v="399"/>
    <n v="4"/>
    <n v="1596"/>
    <n v="5"/>
  </r>
  <r>
    <s v="1887"/>
    <d v="2022-09-08T00:00:00"/>
    <n v="8"/>
    <s v="Company H"/>
    <x v="1"/>
    <x v="1"/>
    <s v="California"/>
    <x v="0"/>
    <n v="399"/>
    <n v="1"/>
    <n v="399"/>
    <n v="4"/>
  </r>
  <r>
    <s v="1892"/>
    <d v="2022-09-11T00:00:00"/>
    <n v="5"/>
    <s v="Company E"/>
    <x v="2"/>
    <x v="0"/>
    <s v="Texas"/>
    <x v="0"/>
    <n v="399"/>
    <n v="9"/>
    <n v="3591"/>
    <n v="2"/>
  </r>
  <r>
    <s v="1895"/>
    <d v="2022-09-12T00:00:00"/>
    <n v="15"/>
    <s v="Company O"/>
    <x v="5"/>
    <x v="1"/>
    <s v="New Mexico"/>
    <x v="0"/>
    <n v="399"/>
    <n v="1"/>
    <n v="399"/>
    <n v="6"/>
  </r>
  <r>
    <s v="1901"/>
    <d v="2022-09-16T00:00:00"/>
    <n v="18"/>
    <s v="Company R"/>
    <x v="0"/>
    <x v="0"/>
    <s v="Arizona"/>
    <x v="0"/>
    <n v="399"/>
    <n v="3"/>
    <n v="1197"/>
    <n v="3"/>
  </r>
  <r>
    <s v="1902"/>
    <d v="2022-09-16T00:00:00"/>
    <n v="14"/>
    <s v="Company N"/>
    <x v="3"/>
    <x v="2"/>
    <s v="New Mexico"/>
    <x v="0"/>
    <n v="399"/>
    <n v="8"/>
    <n v="3192"/>
    <n v="5"/>
  </r>
  <r>
    <s v="1903"/>
    <d v="2022-09-16T00:00:00"/>
    <n v="15"/>
    <s v="Company O"/>
    <x v="5"/>
    <x v="1"/>
    <s v="New Mexico"/>
    <x v="0"/>
    <n v="399"/>
    <n v="0"/>
    <n v="0"/>
    <n v="6"/>
  </r>
  <r>
    <s v="1904"/>
    <d v="2022-09-17T00:00:00"/>
    <n v="15"/>
    <s v="Company O"/>
    <x v="5"/>
    <x v="1"/>
    <s v="New Mexico"/>
    <x v="0"/>
    <n v="399"/>
    <n v="2"/>
    <n v="798"/>
    <n v="6"/>
  </r>
  <r>
    <s v="1911"/>
    <d v="2022-09-18T00:00:00"/>
    <n v="1"/>
    <s v="Company A"/>
    <x v="4"/>
    <x v="2"/>
    <s v="Texas"/>
    <x v="0"/>
    <n v="399"/>
    <n v="6"/>
    <n v="2394"/>
    <n v="2"/>
  </r>
  <r>
    <s v="1916"/>
    <d v="2022-09-20T00:00:00"/>
    <n v="5"/>
    <s v="Company E"/>
    <x v="2"/>
    <x v="0"/>
    <s v="Texas"/>
    <x v="0"/>
    <n v="399"/>
    <n v="4"/>
    <n v="1596"/>
    <n v="2"/>
  </r>
  <r>
    <s v="1918"/>
    <d v="2022-09-20T00:00:00"/>
    <n v="1"/>
    <s v="Company A"/>
    <x v="2"/>
    <x v="0"/>
    <s v="Texas"/>
    <x v="0"/>
    <n v="399"/>
    <n v="1"/>
    <n v="399"/>
    <n v="2"/>
  </r>
  <r>
    <s v="1921"/>
    <d v="2022-09-20T00:00:00"/>
    <n v="17"/>
    <s v="Company Q"/>
    <x v="6"/>
    <x v="0"/>
    <s v="Arizona"/>
    <x v="0"/>
    <n v="399"/>
    <n v="1"/>
    <n v="399"/>
    <n v="5"/>
  </r>
  <r>
    <s v="1922"/>
    <d v="2022-09-20T00:00:00"/>
    <n v="8"/>
    <s v="Company H"/>
    <x v="7"/>
    <x v="3"/>
    <s v="California"/>
    <x v="0"/>
    <n v="399"/>
    <n v="3"/>
    <n v="1197"/>
    <n v="8"/>
  </r>
  <r>
    <s v="1928"/>
    <d v="2022-09-22T00:00:00"/>
    <n v="13"/>
    <s v="Company M"/>
    <x v="5"/>
    <x v="1"/>
    <s v="New Mexico"/>
    <x v="0"/>
    <n v="399"/>
    <n v="6"/>
    <n v="2394"/>
    <n v="6"/>
  </r>
  <r>
    <s v="1930"/>
    <d v="2022-09-23T00:00:00"/>
    <n v="4"/>
    <s v="Company D"/>
    <x v="2"/>
    <x v="0"/>
    <s v="Texas"/>
    <x v="0"/>
    <n v="399"/>
    <n v="7"/>
    <n v="2793"/>
    <n v="2"/>
  </r>
  <r>
    <s v="1931"/>
    <d v="2022-09-23T00:00:00"/>
    <n v="2"/>
    <s v="Company B"/>
    <x v="2"/>
    <x v="0"/>
    <s v="Texas"/>
    <x v="0"/>
    <n v="399"/>
    <n v="0"/>
    <n v="0"/>
    <n v="2"/>
  </r>
  <r>
    <s v="1939"/>
    <d v="2022-09-27T00:00:00"/>
    <n v="13"/>
    <s v="Company M"/>
    <x v="5"/>
    <x v="1"/>
    <s v="New Mexico"/>
    <x v="0"/>
    <n v="399"/>
    <n v="6"/>
    <n v="2394"/>
    <n v="6"/>
  </r>
  <r>
    <s v="1949"/>
    <d v="2022-09-29T00:00:00"/>
    <n v="9"/>
    <s v="Company I"/>
    <x v="7"/>
    <x v="3"/>
    <s v="California"/>
    <x v="0"/>
    <n v="399"/>
    <n v="4"/>
    <n v="1596"/>
    <n v="8"/>
  </r>
  <r>
    <s v="1954"/>
    <d v="2022-10-01T00:00:00"/>
    <n v="2"/>
    <s v="Company B"/>
    <x v="2"/>
    <x v="0"/>
    <s v="Texas"/>
    <x v="0"/>
    <n v="399"/>
    <n v="2"/>
    <n v="798"/>
    <n v="2"/>
  </r>
  <r>
    <s v="1958"/>
    <d v="2022-10-03T00:00:00"/>
    <n v="8"/>
    <s v="Company H"/>
    <x v="1"/>
    <x v="1"/>
    <s v="California"/>
    <x v="0"/>
    <n v="399"/>
    <n v="3"/>
    <n v="1197"/>
    <n v="4"/>
  </r>
  <r>
    <s v="1962"/>
    <d v="2022-10-04T00:00:00"/>
    <n v="20"/>
    <s v="Company T"/>
    <x v="6"/>
    <x v="0"/>
    <s v="Arizona"/>
    <x v="0"/>
    <n v="399"/>
    <n v="3"/>
    <n v="1197"/>
    <n v="5"/>
  </r>
  <r>
    <s v="1966"/>
    <d v="2022-10-05T00:00:00"/>
    <n v="15"/>
    <s v="Company O"/>
    <x v="3"/>
    <x v="2"/>
    <s v="New Mexico"/>
    <x v="0"/>
    <n v="399"/>
    <n v="0"/>
    <n v="0"/>
    <n v="5"/>
  </r>
  <r>
    <s v="1967"/>
    <d v="2022-10-05T00:00:00"/>
    <n v="20"/>
    <s v="Company T"/>
    <x v="0"/>
    <x v="0"/>
    <s v="Arizona"/>
    <x v="0"/>
    <n v="399"/>
    <n v="9"/>
    <n v="3591"/>
    <n v="3"/>
  </r>
  <r>
    <s v="1970"/>
    <d v="2022-10-05T00:00:00"/>
    <n v="11"/>
    <s v="Company K"/>
    <x v="5"/>
    <x v="1"/>
    <s v="New Mexico"/>
    <x v="0"/>
    <n v="399"/>
    <n v="2"/>
    <n v="798"/>
    <n v="6"/>
  </r>
  <r>
    <s v="1973"/>
    <d v="2022-10-05T00:00:00"/>
    <n v="12"/>
    <s v="Company L"/>
    <x v="3"/>
    <x v="2"/>
    <s v="New Mexico"/>
    <x v="0"/>
    <n v="399"/>
    <n v="6"/>
    <n v="2394"/>
    <n v="5"/>
  </r>
  <r>
    <s v="1983"/>
    <d v="2022-10-10T00:00:00"/>
    <n v="3"/>
    <s v="Company C"/>
    <x v="4"/>
    <x v="2"/>
    <s v="Texas"/>
    <x v="0"/>
    <n v="399"/>
    <n v="1"/>
    <n v="399"/>
    <n v="2"/>
  </r>
  <r>
    <s v="1985"/>
    <d v="2022-10-12T00:00:00"/>
    <n v="13"/>
    <s v="Company M"/>
    <x v="3"/>
    <x v="2"/>
    <s v="New Mexico"/>
    <x v="0"/>
    <n v="399"/>
    <n v="3"/>
    <n v="1197"/>
    <n v="5"/>
  </r>
  <r>
    <s v="1998"/>
    <d v="2022-10-16T00:00:00"/>
    <n v="3"/>
    <s v="Company C"/>
    <x v="4"/>
    <x v="2"/>
    <s v="Texas"/>
    <x v="0"/>
    <n v="399"/>
    <n v="6"/>
    <n v="2394"/>
    <n v="2"/>
  </r>
  <r>
    <s v="0002"/>
    <d v="2021-01-02T00:00:00"/>
    <n v="1"/>
    <s v="Company A"/>
    <x v="2"/>
    <x v="0"/>
    <s v="Texas"/>
    <x v="1"/>
    <n v="289"/>
    <n v="7"/>
    <n v="2023"/>
    <n v="2"/>
  </r>
  <r>
    <s v="0004"/>
    <d v="2021-01-03T00:00:00"/>
    <n v="18"/>
    <s v="Company R"/>
    <x v="6"/>
    <x v="0"/>
    <s v="Arizona"/>
    <x v="1"/>
    <n v="289"/>
    <n v="3"/>
    <n v="867"/>
    <n v="5"/>
  </r>
  <r>
    <s v="0007"/>
    <d v="2021-01-04T00:00:00"/>
    <n v="17"/>
    <s v="Company Q"/>
    <x v="0"/>
    <x v="0"/>
    <s v="Arizona"/>
    <x v="1"/>
    <n v="289"/>
    <n v="9"/>
    <n v="2601"/>
    <n v="3"/>
  </r>
  <r>
    <s v="0011"/>
    <d v="2021-01-05T00:00:00"/>
    <n v="8"/>
    <s v="Company H"/>
    <x v="1"/>
    <x v="1"/>
    <s v="California"/>
    <x v="1"/>
    <n v="289"/>
    <n v="9"/>
    <n v="2601"/>
    <n v="4"/>
  </r>
  <r>
    <s v="0017"/>
    <d v="2021-01-07T00:00:00"/>
    <n v="14"/>
    <s v="Company N"/>
    <x v="3"/>
    <x v="2"/>
    <s v="New Mexico"/>
    <x v="1"/>
    <n v="289"/>
    <n v="0"/>
    <n v="0"/>
    <n v="5"/>
  </r>
  <r>
    <s v="0022"/>
    <d v="2021-01-07T00:00:00"/>
    <n v="11"/>
    <s v="Company K"/>
    <x v="5"/>
    <x v="1"/>
    <s v="New Mexico"/>
    <x v="1"/>
    <n v="289"/>
    <n v="6"/>
    <n v="1734"/>
    <n v="6"/>
  </r>
  <r>
    <s v="0026"/>
    <d v="2021-01-08T00:00:00"/>
    <n v="14"/>
    <s v="Company N"/>
    <x v="3"/>
    <x v="2"/>
    <s v="New Mexico"/>
    <x v="1"/>
    <n v="289"/>
    <n v="0"/>
    <n v="0"/>
    <n v="5"/>
  </r>
  <r>
    <s v="0030"/>
    <d v="2021-01-09T00:00:00"/>
    <n v="12"/>
    <s v="Company L"/>
    <x v="5"/>
    <x v="1"/>
    <s v="New Mexico"/>
    <x v="1"/>
    <n v="289"/>
    <n v="0"/>
    <n v="0"/>
    <n v="6"/>
  </r>
  <r>
    <s v="0036"/>
    <d v="2021-01-11T00:00:00"/>
    <n v="13"/>
    <s v="Company M"/>
    <x v="5"/>
    <x v="1"/>
    <s v="New Mexico"/>
    <x v="1"/>
    <n v="289"/>
    <n v="1"/>
    <n v="289"/>
    <n v="6"/>
  </r>
  <r>
    <s v="0040"/>
    <d v="2021-01-12T00:00:00"/>
    <n v="14"/>
    <s v="Company N"/>
    <x v="3"/>
    <x v="2"/>
    <s v="New Mexico"/>
    <x v="1"/>
    <n v="289"/>
    <n v="3"/>
    <n v="867"/>
    <n v="5"/>
  </r>
  <r>
    <s v="0045"/>
    <d v="2021-01-13T00:00:00"/>
    <n v="12"/>
    <s v="Company L"/>
    <x v="5"/>
    <x v="1"/>
    <s v="New Mexico"/>
    <x v="1"/>
    <n v="289"/>
    <n v="4"/>
    <n v="1156"/>
    <n v="6"/>
  </r>
  <r>
    <s v="0047"/>
    <d v="2021-01-13T00:00:00"/>
    <n v="17"/>
    <s v="Company Q"/>
    <x v="6"/>
    <x v="0"/>
    <s v="Arizona"/>
    <x v="1"/>
    <n v="289"/>
    <n v="0"/>
    <n v="0"/>
    <n v="5"/>
  </r>
  <r>
    <s v="0054"/>
    <d v="2021-01-15T00:00:00"/>
    <n v="8"/>
    <s v="Company H"/>
    <x v="1"/>
    <x v="1"/>
    <s v="California"/>
    <x v="1"/>
    <n v="289"/>
    <n v="1"/>
    <n v="289"/>
    <n v="4"/>
  </r>
  <r>
    <s v="0063"/>
    <d v="2021-01-17T00:00:00"/>
    <n v="9"/>
    <s v="Company I"/>
    <x v="1"/>
    <x v="1"/>
    <s v="California"/>
    <x v="1"/>
    <n v="289"/>
    <n v="7"/>
    <n v="2023"/>
    <n v="4"/>
  </r>
  <r>
    <s v="0066"/>
    <d v="2021-01-19T00:00:00"/>
    <n v="10"/>
    <s v="Company J"/>
    <x v="1"/>
    <x v="1"/>
    <s v="California"/>
    <x v="1"/>
    <n v="289"/>
    <n v="3"/>
    <n v="867"/>
    <n v="4"/>
  </r>
  <r>
    <s v="0074"/>
    <d v="2021-01-23T00:00:00"/>
    <n v="20"/>
    <s v="Company T"/>
    <x v="6"/>
    <x v="0"/>
    <s v="Arizona"/>
    <x v="1"/>
    <n v="289"/>
    <n v="1"/>
    <n v="289"/>
    <n v="5"/>
  </r>
  <r>
    <s v="0075"/>
    <d v="2021-01-23T00:00:00"/>
    <n v="13"/>
    <s v="Company M"/>
    <x v="3"/>
    <x v="2"/>
    <s v="New Mexico"/>
    <x v="1"/>
    <n v="289"/>
    <n v="5"/>
    <n v="1445"/>
    <n v="5"/>
  </r>
  <r>
    <s v="0078"/>
    <d v="2021-01-24T00:00:00"/>
    <n v="5"/>
    <s v="Company E"/>
    <x v="4"/>
    <x v="2"/>
    <s v="Texas"/>
    <x v="1"/>
    <n v="289"/>
    <n v="1"/>
    <n v="289"/>
    <n v="2"/>
  </r>
  <r>
    <s v="0079"/>
    <d v="2021-01-24T00:00:00"/>
    <n v="19"/>
    <s v="Company S"/>
    <x v="6"/>
    <x v="0"/>
    <s v="Arizona"/>
    <x v="1"/>
    <n v="289"/>
    <n v="8"/>
    <n v="2312"/>
    <n v="5"/>
  </r>
  <r>
    <s v="0080"/>
    <d v="2021-01-24T00:00:00"/>
    <n v="10"/>
    <s v="Company J"/>
    <x v="7"/>
    <x v="3"/>
    <s v="California"/>
    <x v="1"/>
    <n v="289"/>
    <n v="3"/>
    <n v="867"/>
    <n v="8"/>
  </r>
  <r>
    <s v="0091"/>
    <d v="2021-01-27T00:00:00"/>
    <n v="19"/>
    <s v="Company S"/>
    <x v="0"/>
    <x v="0"/>
    <s v="Arizona"/>
    <x v="1"/>
    <n v="289"/>
    <n v="4"/>
    <n v="1156"/>
    <n v="3"/>
  </r>
  <r>
    <s v="0118"/>
    <d v="2021-02-06T00:00:00"/>
    <n v="5"/>
    <s v="Company E"/>
    <x v="2"/>
    <x v="0"/>
    <s v="Texas"/>
    <x v="1"/>
    <n v="289"/>
    <n v="2"/>
    <n v="578"/>
    <n v="2"/>
  </r>
  <r>
    <s v="0123"/>
    <d v="2021-02-08T00:00:00"/>
    <n v="2"/>
    <s v="Company B"/>
    <x v="2"/>
    <x v="0"/>
    <s v="Texas"/>
    <x v="1"/>
    <n v="289"/>
    <n v="6"/>
    <n v="1734"/>
    <n v="2"/>
  </r>
  <r>
    <s v="0124"/>
    <d v="2021-02-08T00:00:00"/>
    <n v="4"/>
    <s v="Company D"/>
    <x v="4"/>
    <x v="2"/>
    <s v="Texas"/>
    <x v="1"/>
    <n v="289"/>
    <n v="7"/>
    <n v="2023"/>
    <n v="2"/>
  </r>
  <r>
    <s v="0142"/>
    <d v="2021-02-13T00:00:00"/>
    <n v="10"/>
    <s v="Company J"/>
    <x v="7"/>
    <x v="3"/>
    <s v="California"/>
    <x v="1"/>
    <n v="289"/>
    <n v="4"/>
    <n v="1156"/>
    <n v="8"/>
  </r>
  <r>
    <s v="0143"/>
    <d v="2021-02-13T00:00:00"/>
    <n v="7"/>
    <s v="Company G"/>
    <x v="1"/>
    <x v="1"/>
    <s v="California"/>
    <x v="1"/>
    <n v="289"/>
    <n v="5"/>
    <n v="1445"/>
    <n v="4"/>
  </r>
  <r>
    <s v="0149"/>
    <d v="2021-02-13T00:00:00"/>
    <n v="12"/>
    <s v="Company L"/>
    <x v="5"/>
    <x v="1"/>
    <s v="New Mexico"/>
    <x v="1"/>
    <n v="289"/>
    <n v="8"/>
    <n v="2312"/>
    <n v="6"/>
  </r>
  <r>
    <s v="0153"/>
    <d v="2021-02-13T00:00:00"/>
    <n v="2"/>
    <s v="Company B"/>
    <x v="4"/>
    <x v="2"/>
    <s v="Texas"/>
    <x v="1"/>
    <n v="289"/>
    <n v="2"/>
    <n v="578"/>
    <n v="2"/>
  </r>
  <r>
    <s v="0157"/>
    <d v="2021-02-16T00:00:00"/>
    <n v="13"/>
    <s v="Company M"/>
    <x v="3"/>
    <x v="2"/>
    <s v="New Mexico"/>
    <x v="1"/>
    <n v="289"/>
    <n v="3"/>
    <n v="867"/>
    <n v="5"/>
  </r>
  <r>
    <s v="0163"/>
    <d v="2021-02-16T00:00:00"/>
    <n v="19"/>
    <s v="Company S"/>
    <x v="6"/>
    <x v="0"/>
    <s v="Arizona"/>
    <x v="1"/>
    <n v="289"/>
    <n v="7"/>
    <n v="2023"/>
    <n v="5"/>
  </r>
  <r>
    <s v="0175"/>
    <d v="2021-02-20T00:00:00"/>
    <n v="11"/>
    <s v="Company K"/>
    <x v="3"/>
    <x v="2"/>
    <s v="New Mexico"/>
    <x v="1"/>
    <n v="289"/>
    <n v="5"/>
    <n v="1445"/>
    <n v="5"/>
  </r>
  <r>
    <s v="0177"/>
    <d v="2021-02-21T00:00:00"/>
    <n v="8"/>
    <s v="Company H"/>
    <x v="1"/>
    <x v="1"/>
    <s v="California"/>
    <x v="1"/>
    <n v="289"/>
    <n v="1"/>
    <n v="289"/>
    <n v="4"/>
  </r>
  <r>
    <s v="0179"/>
    <d v="2021-02-21T00:00:00"/>
    <n v="1"/>
    <s v="Company A"/>
    <x v="2"/>
    <x v="0"/>
    <s v="Texas"/>
    <x v="1"/>
    <n v="289"/>
    <n v="2"/>
    <n v="578"/>
    <n v="2"/>
  </r>
  <r>
    <s v="0186"/>
    <d v="2021-02-23T00:00:00"/>
    <n v="5"/>
    <s v="Company E"/>
    <x v="4"/>
    <x v="2"/>
    <s v="Texas"/>
    <x v="1"/>
    <n v="289"/>
    <n v="4"/>
    <n v="1156"/>
    <n v="2"/>
  </r>
  <r>
    <s v="0196"/>
    <d v="2021-02-28T00:00:00"/>
    <n v="6"/>
    <s v="Company F"/>
    <x v="1"/>
    <x v="1"/>
    <s v="California"/>
    <x v="1"/>
    <n v="289"/>
    <n v="9"/>
    <n v="2601"/>
    <n v="4"/>
  </r>
  <r>
    <s v="0201"/>
    <d v="2021-03-04T00:00:00"/>
    <n v="18"/>
    <s v="Company R"/>
    <x v="6"/>
    <x v="0"/>
    <s v="Arizona"/>
    <x v="1"/>
    <n v="289"/>
    <n v="5"/>
    <n v="1445"/>
    <n v="5"/>
  </r>
  <r>
    <s v="0203"/>
    <d v="2021-03-06T00:00:00"/>
    <n v="12"/>
    <s v="Company L"/>
    <x v="3"/>
    <x v="2"/>
    <s v="New Mexico"/>
    <x v="1"/>
    <n v="289"/>
    <n v="7"/>
    <n v="2023"/>
    <n v="5"/>
  </r>
  <r>
    <s v="0217"/>
    <d v="2021-03-11T00:00:00"/>
    <n v="12"/>
    <s v="Company L"/>
    <x v="5"/>
    <x v="1"/>
    <s v="New Mexico"/>
    <x v="1"/>
    <n v="289"/>
    <n v="4"/>
    <n v="1156"/>
    <n v="6"/>
  </r>
  <r>
    <s v="0228"/>
    <d v="2021-03-14T00:00:00"/>
    <n v="1"/>
    <s v="Company A"/>
    <x v="4"/>
    <x v="2"/>
    <s v="Texas"/>
    <x v="1"/>
    <n v="289"/>
    <n v="2"/>
    <n v="578"/>
    <n v="2"/>
  </r>
  <r>
    <s v="0229"/>
    <d v="2021-03-14T00:00:00"/>
    <n v="17"/>
    <s v="Company Q"/>
    <x v="6"/>
    <x v="0"/>
    <s v="Arizona"/>
    <x v="1"/>
    <n v="289"/>
    <n v="8"/>
    <n v="2312"/>
    <n v="5"/>
  </r>
  <r>
    <s v="0235"/>
    <d v="2021-03-16T00:00:00"/>
    <n v="2"/>
    <s v="Company B"/>
    <x v="2"/>
    <x v="0"/>
    <s v="Texas"/>
    <x v="1"/>
    <n v="289"/>
    <n v="3"/>
    <n v="867"/>
    <n v="2"/>
  </r>
  <r>
    <s v="0242"/>
    <d v="2021-03-17T00:00:00"/>
    <n v="2"/>
    <s v="Company B"/>
    <x v="2"/>
    <x v="0"/>
    <s v="Texas"/>
    <x v="1"/>
    <n v="289"/>
    <n v="0"/>
    <n v="0"/>
    <n v="2"/>
  </r>
  <r>
    <s v="0246"/>
    <d v="2021-03-18T00:00:00"/>
    <n v="20"/>
    <s v="Company T"/>
    <x v="6"/>
    <x v="0"/>
    <s v="Arizona"/>
    <x v="1"/>
    <n v="289"/>
    <n v="4"/>
    <n v="1156"/>
    <n v="5"/>
  </r>
  <r>
    <s v="0247"/>
    <d v="2021-03-18T00:00:00"/>
    <n v="6"/>
    <s v="Company F"/>
    <x v="7"/>
    <x v="3"/>
    <s v="California"/>
    <x v="1"/>
    <n v="289"/>
    <n v="2"/>
    <n v="578"/>
    <n v="8"/>
  </r>
  <r>
    <s v="0259"/>
    <d v="2021-03-20T00:00:00"/>
    <n v="16"/>
    <s v="Company P"/>
    <x v="6"/>
    <x v="0"/>
    <s v="Arizona"/>
    <x v="1"/>
    <n v="289"/>
    <n v="1"/>
    <n v="289"/>
    <n v="5"/>
  </r>
  <r>
    <s v="0265"/>
    <d v="2021-03-24T00:00:00"/>
    <n v="17"/>
    <s v="Company Q"/>
    <x v="6"/>
    <x v="0"/>
    <s v="Arizona"/>
    <x v="1"/>
    <n v="289"/>
    <n v="7"/>
    <n v="2023"/>
    <n v="5"/>
  </r>
  <r>
    <s v="0272"/>
    <d v="2021-03-25T00:00:00"/>
    <n v="15"/>
    <s v="Company O"/>
    <x v="5"/>
    <x v="1"/>
    <s v="New Mexico"/>
    <x v="1"/>
    <n v="289"/>
    <n v="7"/>
    <n v="2023"/>
    <n v="6"/>
  </r>
  <r>
    <s v="0275"/>
    <d v="2021-03-25T00:00:00"/>
    <n v="7"/>
    <s v="Company G"/>
    <x v="1"/>
    <x v="1"/>
    <s v="California"/>
    <x v="1"/>
    <n v="289"/>
    <n v="0"/>
    <n v="0"/>
    <n v="4"/>
  </r>
  <r>
    <s v="0277"/>
    <d v="2021-03-26T00:00:00"/>
    <n v="16"/>
    <s v="Company P"/>
    <x v="6"/>
    <x v="0"/>
    <s v="Arizona"/>
    <x v="1"/>
    <n v="289"/>
    <n v="3"/>
    <n v="867"/>
    <n v="5"/>
  </r>
  <r>
    <s v="0285"/>
    <d v="2021-03-27T00:00:00"/>
    <n v="11"/>
    <s v="Company K"/>
    <x v="3"/>
    <x v="2"/>
    <s v="New Mexico"/>
    <x v="1"/>
    <n v="289"/>
    <n v="3"/>
    <n v="867"/>
    <n v="5"/>
  </r>
  <r>
    <s v="0287"/>
    <d v="2021-03-27T00:00:00"/>
    <n v="4"/>
    <s v="Company D"/>
    <x v="2"/>
    <x v="0"/>
    <s v="Texas"/>
    <x v="1"/>
    <n v="289"/>
    <n v="7"/>
    <n v="2023"/>
    <n v="2"/>
  </r>
  <r>
    <s v="0289"/>
    <d v="2021-03-28T00:00:00"/>
    <n v="20"/>
    <s v="Company T"/>
    <x v="0"/>
    <x v="0"/>
    <s v="Arizona"/>
    <x v="1"/>
    <n v="289"/>
    <n v="1"/>
    <n v="289"/>
    <n v="3"/>
  </r>
  <r>
    <s v="0305"/>
    <d v="2021-04-05T00:00:00"/>
    <n v="8"/>
    <s v="Company H"/>
    <x v="1"/>
    <x v="1"/>
    <s v="California"/>
    <x v="1"/>
    <n v="289"/>
    <n v="9"/>
    <n v="2601"/>
    <n v="4"/>
  </r>
  <r>
    <s v="0309"/>
    <d v="2021-04-06T00:00:00"/>
    <n v="15"/>
    <s v="Company O"/>
    <x v="3"/>
    <x v="2"/>
    <s v="New Mexico"/>
    <x v="1"/>
    <n v="289"/>
    <n v="8"/>
    <n v="2312"/>
    <n v="5"/>
  </r>
  <r>
    <s v="0311"/>
    <d v="2021-04-07T00:00:00"/>
    <n v="19"/>
    <s v="Company S"/>
    <x v="6"/>
    <x v="0"/>
    <s v="Arizona"/>
    <x v="1"/>
    <n v="289"/>
    <n v="5"/>
    <n v="1445"/>
    <n v="5"/>
  </r>
  <r>
    <s v="0322"/>
    <d v="2021-04-13T00:00:00"/>
    <n v="2"/>
    <s v="Company B"/>
    <x v="2"/>
    <x v="0"/>
    <s v="Texas"/>
    <x v="1"/>
    <n v="289"/>
    <n v="8"/>
    <n v="2312"/>
    <n v="2"/>
  </r>
  <r>
    <s v="0323"/>
    <d v="2021-04-13T00:00:00"/>
    <n v="19"/>
    <s v="Company S"/>
    <x v="6"/>
    <x v="0"/>
    <s v="Arizona"/>
    <x v="1"/>
    <n v="289"/>
    <n v="3"/>
    <n v="867"/>
    <n v="5"/>
  </r>
  <r>
    <s v="0329"/>
    <d v="2021-04-14T00:00:00"/>
    <n v="14"/>
    <s v="Company N"/>
    <x v="3"/>
    <x v="2"/>
    <s v="New Mexico"/>
    <x v="1"/>
    <n v="289"/>
    <n v="4"/>
    <n v="1156"/>
    <n v="5"/>
  </r>
  <r>
    <s v="0334"/>
    <d v="2021-04-15T00:00:00"/>
    <n v="4"/>
    <s v="Company D"/>
    <x v="4"/>
    <x v="2"/>
    <s v="Texas"/>
    <x v="1"/>
    <n v="289"/>
    <n v="6"/>
    <n v="1734"/>
    <n v="2"/>
  </r>
  <r>
    <s v="0341"/>
    <d v="2021-04-19T00:00:00"/>
    <n v="1"/>
    <s v="Company A"/>
    <x v="2"/>
    <x v="0"/>
    <s v="Texas"/>
    <x v="1"/>
    <n v="289"/>
    <n v="3"/>
    <n v="867"/>
    <n v="2"/>
  </r>
  <r>
    <s v="0348"/>
    <d v="2021-04-19T00:00:00"/>
    <n v="19"/>
    <s v="Company S"/>
    <x v="6"/>
    <x v="0"/>
    <s v="Arizona"/>
    <x v="1"/>
    <n v="289"/>
    <n v="1"/>
    <n v="289"/>
    <n v="5"/>
  </r>
  <r>
    <s v="0365"/>
    <d v="2021-04-23T00:00:00"/>
    <n v="7"/>
    <s v="Company G"/>
    <x v="7"/>
    <x v="3"/>
    <s v="California"/>
    <x v="1"/>
    <n v="289"/>
    <n v="9"/>
    <n v="2601"/>
    <n v="8"/>
  </r>
  <r>
    <s v="0367"/>
    <d v="2021-04-24T00:00:00"/>
    <n v="7"/>
    <s v="Company G"/>
    <x v="7"/>
    <x v="3"/>
    <s v="California"/>
    <x v="1"/>
    <n v="289"/>
    <n v="2"/>
    <n v="578"/>
    <n v="8"/>
  </r>
  <r>
    <s v="0368"/>
    <d v="2021-04-24T00:00:00"/>
    <n v="8"/>
    <s v="Company H"/>
    <x v="7"/>
    <x v="3"/>
    <s v="California"/>
    <x v="1"/>
    <n v="289"/>
    <n v="6"/>
    <n v="1734"/>
    <n v="8"/>
  </r>
  <r>
    <s v="0372"/>
    <d v="2021-04-24T00:00:00"/>
    <n v="7"/>
    <s v="Company G"/>
    <x v="7"/>
    <x v="3"/>
    <s v="California"/>
    <x v="1"/>
    <n v="289"/>
    <n v="8"/>
    <n v="2312"/>
    <n v="8"/>
  </r>
  <r>
    <s v="0385"/>
    <d v="2021-04-28T00:00:00"/>
    <n v="17"/>
    <s v="Company Q"/>
    <x v="0"/>
    <x v="0"/>
    <s v="Arizona"/>
    <x v="1"/>
    <n v="289"/>
    <n v="3"/>
    <n v="867"/>
    <n v="3"/>
  </r>
  <r>
    <s v="0389"/>
    <d v="2021-04-28T00:00:00"/>
    <n v="13"/>
    <s v="Company M"/>
    <x v="5"/>
    <x v="1"/>
    <s v="New Mexico"/>
    <x v="1"/>
    <n v="289"/>
    <n v="3"/>
    <n v="867"/>
    <n v="6"/>
  </r>
  <r>
    <s v="0390"/>
    <d v="2021-04-28T00:00:00"/>
    <n v="1"/>
    <s v="Company A"/>
    <x v="4"/>
    <x v="2"/>
    <s v="Texas"/>
    <x v="1"/>
    <n v="289"/>
    <n v="4"/>
    <n v="1156"/>
    <n v="2"/>
  </r>
  <r>
    <s v="0392"/>
    <d v="2021-04-29T00:00:00"/>
    <n v="8"/>
    <s v="Company H"/>
    <x v="7"/>
    <x v="3"/>
    <s v="California"/>
    <x v="1"/>
    <n v="289"/>
    <n v="0"/>
    <n v="0"/>
    <n v="8"/>
  </r>
  <r>
    <s v="0397"/>
    <d v="2021-05-02T00:00:00"/>
    <n v="19"/>
    <s v="Company S"/>
    <x v="0"/>
    <x v="0"/>
    <s v="Arizona"/>
    <x v="1"/>
    <n v="289"/>
    <n v="1"/>
    <n v="289"/>
    <n v="3"/>
  </r>
  <r>
    <s v="0400"/>
    <d v="2021-05-03T00:00:00"/>
    <n v="19"/>
    <s v="Company S"/>
    <x v="6"/>
    <x v="0"/>
    <s v="Arizona"/>
    <x v="1"/>
    <n v="289"/>
    <n v="6"/>
    <n v="1734"/>
    <n v="5"/>
  </r>
  <r>
    <s v="0402"/>
    <d v="2021-05-05T00:00:00"/>
    <n v="16"/>
    <s v="Company P"/>
    <x v="0"/>
    <x v="0"/>
    <s v="Arizona"/>
    <x v="1"/>
    <n v="289"/>
    <n v="8"/>
    <n v="2312"/>
    <n v="3"/>
  </r>
  <r>
    <s v="0408"/>
    <d v="2021-05-06T00:00:00"/>
    <n v="4"/>
    <s v="Company D"/>
    <x v="4"/>
    <x v="2"/>
    <s v="Texas"/>
    <x v="1"/>
    <n v="289"/>
    <n v="6"/>
    <n v="1734"/>
    <n v="2"/>
  </r>
  <r>
    <s v="0425"/>
    <d v="2021-05-12T00:00:00"/>
    <n v="1"/>
    <s v="Company A"/>
    <x v="4"/>
    <x v="2"/>
    <s v="Texas"/>
    <x v="1"/>
    <n v="289"/>
    <n v="7"/>
    <n v="2023"/>
    <n v="2"/>
  </r>
  <r>
    <s v="0430"/>
    <d v="2021-05-15T00:00:00"/>
    <n v="16"/>
    <s v="Company P"/>
    <x v="0"/>
    <x v="0"/>
    <s v="Arizona"/>
    <x v="1"/>
    <n v="289"/>
    <n v="7"/>
    <n v="2023"/>
    <n v="3"/>
  </r>
  <r>
    <s v="0431"/>
    <d v="2021-05-15T00:00:00"/>
    <n v="4"/>
    <s v="Company D"/>
    <x v="4"/>
    <x v="2"/>
    <s v="Texas"/>
    <x v="1"/>
    <n v="289"/>
    <n v="6"/>
    <n v="1734"/>
    <n v="2"/>
  </r>
  <r>
    <s v="0433"/>
    <d v="2021-05-15T00:00:00"/>
    <n v="3"/>
    <s v="Company C"/>
    <x v="2"/>
    <x v="0"/>
    <s v="Texas"/>
    <x v="1"/>
    <n v="289"/>
    <n v="0"/>
    <n v="0"/>
    <n v="2"/>
  </r>
  <r>
    <s v="0434"/>
    <d v="2021-05-15T00:00:00"/>
    <n v="9"/>
    <s v="Company I"/>
    <x v="7"/>
    <x v="3"/>
    <s v="California"/>
    <x v="1"/>
    <n v="289"/>
    <n v="5"/>
    <n v="1445"/>
    <n v="8"/>
  </r>
  <r>
    <s v="0435"/>
    <d v="2021-05-15T00:00:00"/>
    <n v="8"/>
    <s v="Company H"/>
    <x v="1"/>
    <x v="1"/>
    <s v="California"/>
    <x v="1"/>
    <n v="289"/>
    <n v="5"/>
    <n v="1445"/>
    <n v="4"/>
  </r>
  <r>
    <s v="0449"/>
    <d v="2021-05-16T00:00:00"/>
    <n v="10"/>
    <s v="Company J"/>
    <x v="7"/>
    <x v="3"/>
    <s v="California"/>
    <x v="1"/>
    <n v="289"/>
    <n v="6"/>
    <n v="1734"/>
    <n v="8"/>
  </r>
  <r>
    <s v="0450"/>
    <d v="2021-05-16T00:00:00"/>
    <n v="5"/>
    <s v="Company E"/>
    <x v="4"/>
    <x v="2"/>
    <s v="Texas"/>
    <x v="1"/>
    <n v="289"/>
    <n v="8"/>
    <n v="2312"/>
    <n v="2"/>
  </r>
  <r>
    <s v="0464"/>
    <d v="2021-05-19T00:00:00"/>
    <n v="4"/>
    <s v="Company D"/>
    <x v="4"/>
    <x v="2"/>
    <s v="Texas"/>
    <x v="1"/>
    <n v="289"/>
    <n v="2"/>
    <n v="578"/>
    <n v="2"/>
  </r>
  <r>
    <s v="0469"/>
    <d v="2021-05-20T00:00:00"/>
    <n v="2"/>
    <s v="Company B"/>
    <x v="2"/>
    <x v="0"/>
    <s v="Texas"/>
    <x v="1"/>
    <n v="289"/>
    <n v="1"/>
    <n v="289"/>
    <n v="2"/>
  </r>
  <r>
    <s v="0471"/>
    <d v="2021-05-21T00:00:00"/>
    <n v="5"/>
    <s v="Company E"/>
    <x v="4"/>
    <x v="2"/>
    <s v="Texas"/>
    <x v="1"/>
    <n v="289"/>
    <n v="4"/>
    <n v="1156"/>
    <n v="2"/>
  </r>
  <r>
    <s v="0473"/>
    <d v="2021-05-23T00:00:00"/>
    <n v="13"/>
    <s v="Company M"/>
    <x v="3"/>
    <x v="2"/>
    <s v="New Mexico"/>
    <x v="1"/>
    <n v="289"/>
    <n v="8"/>
    <n v="2312"/>
    <n v="5"/>
  </r>
  <r>
    <s v="0477"/>
    <d v="2021-05-23T00:00:00"/>
    <n v="7"/>
    <s v="Company G"/>
    <x v="7"/>
    <x v="3"/>
    <s v="California"/>
    <x v="1"/>
    <n v="289"/>
    <n v="5"/>
    <n v="1445"/>
    <n v="8"/>
  </r>
  <r>
    <s v="0481"/>
    <d v="2021-05-24T00:00:00"/>
    <n v="17"/>
    <s v="Company Q"/>
    <x v="6"/>
    <x v="0"/>
    <s v="Arizona"/>
    <x v="1"/>
    <n v="289"/>
    <n v="3"/>
    <n v="867"/>
    <n v="5"/>
  </r>
  <r>
    <s v="0487"/>
    <d v="2021-05-25T00:00:00"/>
    <n v="4"/>
    <s v="Company D"/>
    <x v="4"/>
    <x v="2"/>
    <s v="Texas"/>
    <x v="1"/>
    <n v="289"/>
    <n v="4"/>
    <n v="1156"/>
    <n v="2"/>
  </r>
  <r>
    <s v="0492"/>
    <d v="2021-05-25T00:00:00"/>
    <n v="3"/>
    <s v="Company C"/>
    <x v="2"/>
    <x v="0"/>
    <s v="Texas"/>
    <x v="1"/>
    <n v="289"/>
    <n v="6"/>
    <n v="1734"/>
    <n v="2"/>
  </r>
  <r>
    <s v="0496"/>
    <d v="2021-05-26T00:00:00"/>
    <n v="9"/>
    <s v="Company I"/>
    <x v="7"/>
    <x v="3"/>
    <s v="California"/>
    <x v="1"/>
    <n v="289"/>
    <n v="6"/>
    <n v="1734"/>
    <n v="8"/>
  </r>
  <r>
    <s v="0497"/>
    <d v="2021-05-26T00:00:00"/>
    <n v="4"/>
    <s v="Company D"/>
    <x v="4"/>
    <x v="2"/>
    <s v="Texas"/>
    <x v="1"/>
    <n v="289"/>
    <n v="1"/>
    <n v="289"/>
    <n v="2"/>
  </r>
  <r>
    <s v="0500"/>
    <d v="2021-05-26T00:00:00"/>
    <n v="4"/>
    <s v="Company D"/>
    <x v="2"/>
    <x v="0"/>
    <s v="Texas"/>
    <x v="1"/>
    <n v="289"/>
    <n v="6"/>
    <n v="1734"/>
    <n v="2"/>
  </r>
  <r>
    <s v="0503"/>
    <d v="2021-05-27T00:00:00"/>
    <n v="10"/>
    <s v="Company J"/>
    <x v="1"/>
    <x v="1"/>
    <s v="California"/>
    <x v="1"/>
    <n v="289"/>
    <n v="8"/>
    <n v="2312"/>
    <n v="4"/>
  </r>
  <r>
    <s v="0511"/>
    <d v="2021-05-30T00:00:00"/>
    <n v="19"/>
    <s v="Company S"/>
    <x v="6"/>
    <x v="0"/>
    <s v="Arizona"/>
    <x v="1"/>
    <n v="289"/>
    <n v="9"/>
    <n v="2601"/>
    <n v="5"/>
  </r>
  <r>
    <s v="0515"/>
    <d v="2021-06-01T00:00:00"/>
    <n v="8"/>
    <s v="Company H"/>
    <x v="1"/>
    <x v="1"/>
    <s v="California"/>
    <x v="1"/>
    <n v="289"/>
    <n v="4"/>
    <n v="1156"/>
    <n v="4"/>
  </r>
  <r>
    <s v="0516"/>
    <d v="2021-06-01T00:00:00"/>
    <n v="4"/>
    <s v="Company D"/>
    <x v="4"/>
    <x v="2"/>
    <s v="Texas"/>
    <x v="1"/>
    <n v="289"/>
    <n v="3"/>
    <n v="867"/>
    <n v="2"/>
  </r>
  <r>
    <s v="0517"/>
    <d v="2021-06-02T00:00:00"/>
    <n v="19"/>
    <s v="Company S"/>
    <x v="6"/>
    <x v="0"/>
    <s v="Arizona"/>
    <x v="1"/>
    <n v="289"/>
    <n v="4"/>
    <n v="1156"/>
    <n v="5"/>
  </r>
  <r>
    <s v="0521"/>
    <d v="2021-06-03T00:00:00"/>
    <n v="5"/>
    <s v="Company E"/>
    <x v="4"/>
    <x v="2"/>
    <s v="Texas"/>
    <x v="1"/>
    <n v="289"/>
    <n v="3"/>
    <n v="867"/>
    <n v="2"/>
  </r>
  <r>
    <s v="0523"/>
    <d v="2021-06-03T00:00:00"/>
    <n v="18"/>
    <s v="Company R"/>
    <x v="6"/>
    <x v="0"/>
    <s v="Arizona"/>
    <x v="1"/>
    <n v="289"/>
    <n v="7"/>
    <n v="2023"/>
    <n v="5"/>
  </r>
  <r>
    <s v="0526"/>
    <d v="2021-06-03T00:00:00"/>
    <n v="20"/>
    <s v="Company T"/>
    <x v="0"/>
    <x v="0"/>
    <s v="Arizona"/>
    <x v="1"/>
    <n v="289"/>
    <n v="7"/>
    <n v="2023"/>
    <n v="3"/>
  </r>
  <r>
    <s v="0527"/>
    <d v="2021-06-03T00:00:00"/>
    <n v="1"/>
    <s v="Company A"/>
    <x v="4"/>
    <x v="2"/>
    <s v="Texas"/>
    <x v="1"/>
    <n v="289"/>
    <n v="7"/>
    <n v="2023"/>
    <n v="2"/>
  </r>
  <r>
    <s v="0528"/>
    <d v="2021-06-03T00:00:00"/>
    <n v="4"/>
    <s v="Company D"/>
    <x v="2"/>
    <x v="0"/>
    <s v="Texas"/>
    <x v="1"/>
    <n v="289"/>
    <n v="9"/>
    <n v="2601"/>
    <n v="2"/>
  </r>
  <r>
    <s v="0541"/>
    <d v="2021-06-08T00:00:00"/>
    <n v="9"/>
    <s v="Company I"/>
    <x v="1"/>
    <x v="1"/>
    <s v="California"/>
    <x v="1"/>
    <n v="289"/>
    <n v="9"/>
    <n v="2601"/>
    <n v="4"/>
  </r>
  <r>
    <s v="0544"/>
    <d v="2021-06-09T00:00:00"/>
    <n v="9"/>
    <s v="Company I"/>
    <x v="1"/>
    <x v="1"/>
    <s v="California"/>
    <x v="1"/>
    <n v="289"/>
    <n v="6"/>
    <n v="1734"/>
    <n v="4"/>
  </r>
  <r>
    <s v="0552"/>
    <d v="2021-06-11T00:00:00"/>
    <n v="2"/>
    <s v="Company B"/>
    <x v="4"/>
    <x v="2"/>
    <s v="Texas"/>
    <x v="1"/>
    <n v="289"/>
    <n v="5"/>
    <n v="1445"/>
    <n v="2"/>
  </r>
  <r>
    <s v="0559"/>
    <d v="2021-06-13T00:00:00"/>
    <n v="2"/>
    <s v="Company B"/>
    <x v="4"/>
    <x v="2"/>
    <s v="Texas"/>
    <x v="1"/>
    <n v="289"/>
    <n v="2"/>
    <n v="578"/>
    <n v="2"/>
  </r>
  <r>
    <s v="0560"/>
    <d v="2021-06-13T00:00:00"/>
    <n v="15"/>
    <s v="Company O"/>
    <x v="5"/>
    <x v="1"/>
    <s v="New Mexico"/>
    <x v="1"/>
    <n v="289"/>
    <n v="5"/>
    <n v="1445"/>
    <n v="6"/>
  </r>
  <r>
    <s v="0561"/>
    <d v="2021-06-14T00:00:00"/>
    <n v="13"/>
    <s v="Company M"/>
    <x v="3"/>
    <x v="2"/>
    <s v="New Mexico"/>
    <x v="1"/>
    <n v="289"/>
    <n v="3"/>
    <n v="867"/>
    <n v="5"/>
  </r>
  <r>
    <s v="0562"/>
    <d v="2021-06-15T00:00:00"/>
    <n v="17"/>
    <s v="Company Q"/>
    <x v="0"/>
    <x v="0"/>
    <s v="Arizona"/>
    <x v="1"/>
    <n v="289"/>
    <n v="6"/>
    <n v="1734"/>
    <n v="3"/>
  </r>
  <r>
    <s v="0570"/>
    <d v="2021-06-18T00:00:00"/>
    <n v="3"/>
    <s v="Company C"/>
    <x v="4"/>
    <x v="2"/>
    <s v="Texas"/>
    <x v="1"/>
    <n v="289"/>
    <n v="3"/>
    <n v="867"/>
    <n v="2"/>
  </r>
  <r>
    <s v="0571"/>
    <d v="2021-06-18T00:00:00"/>
    <n v="3"/>
    <s v="Company C"/>
    <x v="4"/>
    <x v="2"/>
    <s v="Texas"/>
    <x v="1"/>
    <n v="289"/>
    <n v="1"/>
    <n v="289"/>
    <n v="2"/>
  </r>
  <r>
    <s v="0586"/>
    <d v="2021-06-22T00:00:00"/>
    <n v="4"/>
    <s v="Company D"/>
    <x v="2"/>
    <x v="0"/>
    <s v="Texas"/>
    <x v="1"/>
    <n v="289"/>
    <n v="5"/>
    <n v="1445"/>
    <n v="2"/>
  </r>
  <r>
    <s v="0591"/>
    <d v="2021-06-25T00:00:00"/>
    <n v="4"/>
    <s v="Company D"/>
    <x v="4"/>
    <x v="2"/>
    <s v="Texas"/>
    <x v="1"/>
    <n v="289"/>
    <n v="3"/>
    <n v="867"/>
    <n v="2"/>
  </r>
  <r>
    <s v="0592"/>
    <d v="2021-06-26T00:00:00"/>
    <n v="6"/>
    <s v="Company F"/>
    <x v="1"/>
    <x v="1"/>
    <s v="California"/>
    <x v="1"/>
    <n v="289"/>
    <n v="9"/>
    <n v="2601"/>
    <n v="4"/>
  </r>
  <r>
    <s v="0594"/>
    <d v="2021-06-26T00:00:00"/>
    <n v="2"/>
    <s v="Company B"/>
    <x v="4"/>
    <x v="2"/>
    <s v="Texas"/>
    <x v="1"/>
    <n v="289"/>
    <n v="1"/>
    <n v="289"/>
    <n v="2"/>
  </r>
  <r>
    <s v="0600"/>
    <d v="2021-06-28T00:00:00"/>
    <n v="5"/>
    <s v="Company E"/>
    <x v="2"/>
    <x v="0"/>
    <s v="Texas"/>
    <x v="1"/>
    <n v="289"/>
    <n v="0"/>
    <n v="0"/>
    <n v="2"/>
  </r>
  <r>
    <s v="0603"/>
    <d v="2021-06-28T00:00:00"/>
    <n v="11"/>
    <s v="Company K"/>
    <x v="3"/>
    <x v="2"/>
    <s v="New Mexico"/>
    <x v="1"/>
    <n v="289"/>
    <n v="7"/>
    <n v="2023"/>
    <n v="5"/>
  </r>
  <r>
    <s v="0604"/>
    <d v="2021-06-28T00:00:00"/>
    <n v="1"/>
    <s v="Company A"/>
    <x v="4"/>
    <x v="2"/>
    <s v="Texas"/>
    <x v="1"/>
    <n v="289"/>
    <n v="8"/>
    <n v="2312"/>
    <n v="2"/>
  </r>
  <r>
    <s v="0606"/>
    <d v="2021-06-30T00:00:00"/>
    <n v="12"/>
    <s v="Company L"/>
    <x v="3"/>
    <x v="2"/>
    <s v="New Mexico"/>
    <x v="1"/>
    <n v="289"/>
    <n v="3"/>
    <n v="867"/>
    <n v="5"/>
  </r>
  <r>
    <s v="0611"/>
    <d v="2021-07-01T00:00:00"/>
    <n v="10"/>
    <s v="Company J"/>
    <x v="1"/>
    <x v="1"/>
    <s v="California"/>
    <x v="1"/>
    <n v="289"/>
    <n v="9"/>
    <n v="2601"/>
    <n v="4"/>
  </r>
  <r>
    <s v="0612"/>
    <d v="2021-07-01T00:00:00"/>
    <n v="17"/>
    <s v="Company Q"/>
    <x v="6"/>
    <x v="0"/>
    <s v="Arizona"/>
    <x v="1"/>
    <n v="289"/>
    <n v="9"/>
    <n v="2601"/>
    <n v="5"/>
  </r>
  <r>
    <s v="0614"/>
    <d v="2021-07-03T00:00:00"/>
    <n v="20"/>
    <s v="Company T"/>
    <x v="0"/>
    <x v="0"/>
    <s v="Arizona"/>
    <x v="1"/>
    <n v="289"/>
    <n v="0"/>
    <n v="0"/>
    <n v="3"/>
  </r>
  <r>
    <s v="0619"/>
    <d v="2021-07-07T00:00:00"/>
    <n v="17"/>
    <s v="Company Q"/>
    <x v="0"/>
    <x v="0"/>
    <s v="Arizona"/>
    <x v="1"/>
    <n v="289"/>
    <n v="6"/>
    <n v="1734"/>
    <n v="3"/>
  </r>
  <r>
    <s v="0626"/>
    <d v="2021-07-08T00:00:00"/>
    <n v="1"/>
    <s v="Company A"/>
    <x v="2"/>
    <x v="0"/>
    <s v="Texas"/>
    <x v="1"/>
    <n v="289"/>
    <n v="0"/>
    <n v="0"/>
    <n v="2"/>
  </r>
  <r>
    <s v="0640"/>
    <d v="2021-07-14T00:00:00"/>
    <n v="20"/>
    <s v="Company T"/>
    <x v="0"/>
    <x v="0"/>
    <s v="Arizona"/>
    <x v="1"/>
    <n v="289"/>
    <n v="4"/>
    <n v="1156"/>
    <n v="3"/>
  </r>
  <r>
    <s v="0647"/>
    <d v="2021-07-16T00:00:00"/>
    <n v="13"/>
    <s v="Company M"/>
    <x v="3"/>
    <x v="2"/>
    <s v="New Mexico"/>
    <x v="1"/>
    <n v="289"/>
    <n v="3"/>
    <n v="867"/>
    <n v="5"/>
  </r>
  <r>
    <s v="0650"/>
    <d v="2021-07-17T00:00:00"/>
    <n v="13"/>
    <s v="Company M"/>
    <x v="5"/>
    <x v="1"/>
    <s v="New Mexico"/>
    <x v="1"/>
    <n v="289"/>
    <n v="3"/>
    <n v="867"/>
    <n v="6"/>
  </r>
  <r>
    <s v="0655"/>
    <d v="2021-07-18T00:00:00"/>
    <n v="2"/>
    <s v="Company B"/>
    <x v="2"/>
    <x v="0"/>
    <s v="Texas"/>
    <x v="1"/>
    <n v="289"/>
    <n v="2"/>
    <n v="578"/>
    <n v="2"/>
  </r>
  <r>
    <s v="0660"/>
    <d v="2021-07-19T00:00:00"/>
    <n v="1"/>
    <s v="Company A"/>
    <x v="2"/>
    <x v="0"/>
    <s v="Texas"/>
    <x v="1"/>
    <n v="289"/>
    <n v="4"/>
    <n v="1156"/>
    <n v="2"/>
  </r>
  <r>
    <s v="0674"/>
    <d v="2021-07-26T00:00:00"/>
    <n v="18"/>
    <s v="Company R"/>
    <x v="0"/>
    <x v="0"/>
    <s v="Arizona"/>
    <x v="1"/>
    <n v="289"/>
    <n v="8"/>
    <n v="2312"/>
    <n v="3"/>
  </r>
  <r>
    <s v="0682"/>
    <d v="2021-07-27T00:00:00"/>
    <n v="18"/>
    <s v="Company R"/>
    <x v="6"/>
    <x v="0"/>
    <s v="Arizona"/>
    <x v="1"/>
    <n v="289"/>
    <n v="3"/>
    <n v="867"/>
    <n v="5"/>
  </r>
  <r>
    <s v="0683"/>
    <d v="2021-07-27T00:00:00"/>
    <n v="16"/>
    <s v="Company P"/>
    <x v="0"/>
    <x v="0"/>
    <s v="Arizona"/>
    <x v="1"/>
    <n v="289"/>
    <n v="6"/>
    <n v="1734"/>
    <n v="3"/>
  </r>
  <r>
    <s v="0691"/>
    <d v="2021-07-27T00:00:00"/>
    <n v="19"/>
    <s v="Company S"/>
    <x v="6"/>
    <x v="0"/>
    <s v="Arizona"/>
    <x v="1"/>
    <n v="289"/>
    <n v="2"/>
    <n v="578"/>
    <n v="5"/>
  </r>
  <r>
    <s v="0692"/>
    <d v="2021-07-27T00:00:00"/>
    <n v="7"/>
    <s v="Company G"/>
    <x v="1"/>
    <x v="1"/>
    <s v="California"/>
    <x v="1"/>
    <n v="289"/>
    <n v="4"/>
    <n v="1156"/>
    <n v="4"/>
  </r>
  <r>
    <s v="0695"/>
    <d v="2021-07-28T00:00:00"/>
    <n v="12"/>
    <s v="Company L"/>
    <x v="5"/>
    <x v="1"/>
    <s v="New Mexico"/>
    <x v="1"/>
    <n v="289"/>
    <n v="7"/>
    <n v="2023"/>
    <n v="6"/>
  </r>
  <r>
    <s v="0698"/>
    <d v="2021-07-30T00:00:00"/>
    <n v="8"/>
    <s v="Company H"/>
    <x v="1"/>
    <x v="1"/>
    <s v="California"/>
    <x v="1"/>
    <n v="289"/>
    <n v="9"/>
    <n v="2601"/>
    <n v="4"/>
  </r>
  <r>
    <s v="0700"/>
    <d v="2021-08-01T00:00:00"/>
    <n v="20"/>
    <s v="Company T"/>
    <x v="0"/>
    <x v="0"/>
    <s v="Arizona"/>
    <x v="1"/>
    <n v="289"/>
    <n v="0"/>
    <n v="0"/>
    <n v="3"/>
  </r>
  <r>
    <s v="0701"/>
    <d v="2021-08-02T00:00:00"/>
    <n v="15"/>
    <s v="Company O"/>
    <x v="3"/>
    <x v="2"/>
    <s v="New Mexico"/>
    <x v="1"/>
    <n v="289"/>
    <n v="2"/>
    <n v="578"/>
    <n v="5"/>
  </r>
  <r>
    <s v="0703"/>
    <d v="2021-08-03T00:00:00"/>
    <n v="19"/>
    <s v="Company S"/>
    <x v="0"/>
    <x v="0"/>
    <s v="Arizona"/>
    <x v="1"/>
    <n v="289"/>
    <n v="9"/>
    <n v="2601"/>
    <n v="3"/>
  </r>
  <r>
    <s v="0704"/>
    <d v="2021-08-03T00:00:00"/>
    <n v="15"/>
    <s v="Company O"/>
    <x v="3"/>
    <x v="2"/>
    <s v="New Mexico"/>
    <x v="1"/>
    <n v="289"/>
    <n v="6"/>
    <n v="1734"/>
    <n v="5"/>
  </r>
  <r>
    <s v="0705"/>
    <d v="2021-08-03T00:00:00"/>
    <n v="14"/>
    <s v="Company N"/>
    <x v="3"/>
    <x v="2"/>
    <s v="New Mexico"/>
    <x v="1"/>
    <n v="289"/>
    <n v="0"/>
    <n v="0"/>
    <n v="5"/>
  </r>
  <r>
    <s v="0708"/>
    <d v="2021-08-03T00:00:00"/>
    <n v="1"/>
    <s v="Company A"/>
    <x v="2"/>
    <x v="0"/>
    <s v="Texas"/>
    <x v="1"/>
    <n v="289"/>
    <n v="4"/>
    <n v="1156"/>
    <n v="2"/>
  </r>
  <r>
    <s v="0710"/>
    <d v="2021-08-03T00:00:00"/>
    <n v="13"/>
    <s v="Company M"/>
    <x v="3"/>
    <x v="2"/>
    <s v="New Mexico"/>
    <x v="1"/>
    <n v="289"/>
    <n v="8"/>
    <n v="2312"/>
    <n v="5"/>
  </r>
  <r>
    <s v="0714"/>
    <d v="2021-08-05T00:00:00"/>
    <n v="4"/>
    <s v="Company D"/>
    <x v="2"/>
    <x v="0"/>
    <s v="Texas"/>
    <x v="1"/>
    <n v="289"/>
    <n v="6"/>
    <n v="1734"/>
    <n v="2"/>
  </r>
  <r>
    <s v="0720"/>
    <d v="2021-08-07T00:00:00"/>
    <n v="9"/>
    <s v="Company I"/>
    <x v="1"/>
    <x v="1"/>
    <s v="California"/>
    <x v="1"/>
    <n v="289"/>
    <n v="9"/>
    <n v="2601"/>
    <n v="4"/>
  </r>
  <r>
    <s v="0724"/>
    <d v="2021-08-08T00:00:00"/>
    <n v="7"/>
    <s v="Company G"/>
    <x v="1"/>
    <x v="1"/>
    <s v="California"/>
    <x v="1"/>
    <n v="289"/>
    <n v="5"/>
    <n v="1445"/>
    <n v="4"/>
  </r>
  <r>
    <s v="0725"/>
    <d v="2021-08-08T00:00:00"/>
    <n v="8"/>
    <s v="Company H"/>
    <x v="7"/>
    <x v="3"/>
    <s v="California"/>
    <x v="1"/>
    <n v="289"/>
    <n v="2"/>
    <n v="578"/>
    <n v="8"/>
  </r>
  <r>
    <s v="0726"/>
    <d v="2021-08-08T00:00:00"/>
    <n v="8"/>
    <s v="Company H"/>
    <x v="1"/>
    <x v="1"/>
    <s v="California"/>
    <x v="1"/>
    <n v="289"/>
    <n v="1"/>
    <n v="289"/>
    <n v="4"/>
  </r>
  <r>
    <s v="0728"/>
    <d v="2021-08-09T00:00:00"/>
    <n v="10"/>
    <s v="Company J"/>
    <x v="7"/>
    <x v="3"/>
    <s v="California"/>
    <x v="1"/>
    <n v="289"/>
    <n v="7"/>
    <n v="2023"/>
    <n v="8"/>
  </r>
  <r>
    <s v="0732"/>
    <d v="2021-08-10T00:00:00"/>
    <n v="1"/>
    <s v="Company A"/>
    <x v="4"/>
    <x v="2"/>
    <s v="Texas"/>
    <x v="1"/>
    <n v="289"/>
    <n v="6"/>
    <n v="1734"/>
    <n v="2"/>
  </r>
  <r>
    <s v="0734"/>
    <d v="2021-08-10T00:00:00"/>
    <n v="3"/>
    <s v="Company C"/>
    <x v="2"/>
    <x v="0"/>
    <s v="Texas"/>
    <x v="1"/>
    <n v="289"/>
    <n v="2"/>
    <n v="578"/>
    <n v="2"/>
  </r>
  <r>
    <s v="0741"/>
    <d v="2021-08-14T00:00:00"/>
    <n v="1"/>
    <s v="Company A"/>
    <x v="4"/>
    <x v="2"/>
    <s v="Texas"/>
    <x v="1"/>
    <n v="289"/>
    <n v="7"/>
    <n v="2023"/>
    <n v="2"/>
  </r>
  <r>
    <s v="0742"/>
    <d v="2021-08-14T00:00:00"/>
    <n v="18"/>
    <s v="Company R"/>
    <x v="0"/>
    <x v="0"/>
    <s v="Arizona"/>
    <x v="1"/>
    <n v="289"/>
    <n v="0"/>
    <n v="0"/>
    <n v="3"/>
  </r>
  <r>
    <s v="0749"/>
    <d v="2021-08-18T00:00:00"/>
    <n v="11"/>
    <s v="Company K"/>
    <x v="5"/>
    <x v="1"/>
    <s v="New Mexico"/>
    <x v="1"/>
    <n v="289"/>
    <n v="3"/>
    <n v="867"/>
    <n v="6"/>
  </r>
  <r>
    <s v="0751"/>
    <d v="2021-08-18T00:00:00"/>
    <n v="10"/>
    <s v="Company J"/>
    <x v="7"/>
    <x v="3"/>
    <s v="California"/>
    <x v="1"/>
    <n v="289"/>
    <n v="5"/>
    <n v="1445"/>
    <n v="8"/>
  </r>
  <r>
    <s v="0757"/>
    <d v="2021-08-20T00:00:00"/>
    <n v="13"/>
    <s v="Company M"/>
    <x v="5"/>
    <x v="1"/>
    <s v="New Mexico"/>
    <x v="1"/>
    <n v="289"/>
    <n v="0"/>
    <n v="0"/>
    <n v="6"/>
  </r>
  <r>
    <s v="0759"/>
    <d v="2021-08-20T00:00:00"/>
    <n v="3"/>
    <s v="Company C"/>
    <x v="4"/>
    <x v="2"/>
    <s v="Texas"/>
    <x v="1"/>
    <n v="289"/>
    <n v="1"/>
    <n v="289"/>
    <n v="2"/>
  </r>
  <r>
    <s v="0762"/>
    <d v="2021-08-21T00:00:00"/>
    <n v="16"/>
    <s v="Company P"/>
    <x v="0"/>
    <x v="0"/>
    <s v="Arizona"/>
    <x v="1"/>
    <n v="289"/>
    <n v="2"/>
    <n v="578"/>
    <n v="3"/>
  </r>
  <r>
    <s v="0771"/>
    <d v="2021-08-26T00:00:00"/>
    <n v="4"/>
    <s v="Company D"/>
    <x v="2"/>
    <x v="0"/>
    <s v="Texas"/>
    <x v="1"/>
    <n v="289"/>
    <n v="2"/>
    <n v="578"/>
    <n v="2"/>
  </r>
  <r>
    <s v="0772"/>
    <d v="2021-08-26T00:00:00"/>
    <n v="6"/>
    <s v="Company F"/>
    <x v="1"/>
    <x v="1"/>
    <s v="California"/>
    <x v="1"/>
    <n v="289"/>
    <n v="3"/>
    <n v="867"/>
    <n v="4"/>
  </r>
  <r>
    <s v="0778"/>
    <d v="2021-08-27T00:00:00"/>
    <n v="2"/>
    <s v="Company B"/>
    <x v="2"/>
    <x v="0"/>
    <s v="Texas"/>
    <x v="1"/>
    <n v="289"/>
    <n v="5"/>
    <n v="1445"/>
    <n v="2"/>
  </r>
  <r>
    <s v="0779"/>
    <d v="2021-08-27T00:00:00"/>
    <n v="14"/>
    <s v="Company N"/>
    <x v="5"/>
    <x v="1"/>
    <s v="New Mexico"/>
    <x v="1"/>
    <n v="289"/>
    <n v="6"/>
    <n v="1734"/>
    <n v="6"/>
  </r>
  <r>
    <s v="0786"/>
    <d v="2021-08-29T00:00:00"/>
    <n v="4"/>
    <s v="Company D"/>
    <x v="4"/>
    <x v="2"/>
    <s v="Texas"/>
    <x v="1"/>
    <n v="289"/>
    <n v="6"/>
    <n v="1734"/>
    <n v="2"/>
  </r>
  <r>
    <s v="0796"/>
    <d v="2021-09-01T00:00:00"/>
    <n v="18"/>
    <s v="Company R"/>
    <x v="0"/>
    <x v="0"/>
    <s v="Arizona"/>
    <x v="1"/>
    <n v="289"/>
    <n v="4"/>
    <n v="1156"/>
    <n v="3"/>
  </r>
  <r>
    <s v="0801"/>
    <d v="2021-09-03T00:00:00"/>
    <n v="10"/>
    <s v="Company J"/>
    <x v="1"/>
    <x v="1"/>
    <s v="California"/>
    <x v="1"/>
    <n v="289"/>
    <n v="7"/>
    <n v="2023"/>
    <n v="4"/>
  </r>
  <r>
    <s v="0819"/>
    <d v="2021-09-09T00:00:00"/>
    <n v="6"/>
    <s v="Company F"/>
    <x v="7"/>
    <x v="3"/>
    <s v="California"/>
    <x v="1"/>
    <n v="289"/>
    <n v="0"/>
    <n v="0"/>
    <n v="8"/>
  </r>
  <r>
    <s v="0824"/>
    <d v="2021-09-10T00:00:00"/>
    <n v="8"/>
    <s v="Company H"/>
    <x v="7"/>
    <x v="3"/>
    <s v="California"/>
    <x v="1"/>
    <n v="289"/>
    <n v="0"/>
    <n v="0"/>
    <n v="8"/>
  </r>
  <r>
    <s v="0826"/>
    <d v="2021-09-11T00:00:00"/>
    <n v="15"/>
    <s v="Company O"/>
    <x v="5"/>
    <x v="1"/>
    <s v="New Mexico"/>
    <x v="1"/>
    <n v="289"/>
    <n v="1"/>
    <n v="289"/>
    <n v="6"/>
  </r>
  <r>
    <s v="0832"/>
    <d v="2021-09-14T00:00:00"/>
    <n v="3"/>
    <s v="Company C"/>
    <x v="4"/>
    <x v="2"/>
    <s v="Texas"/>
    <x v="1"/>
    <n v="289"/>
    <n v="1"/>
    <n v="289"/>
    <n v="2"/>
  </r>
  <r>
    <s v="0839"/>
    <d v="2021-09-19T00:00:00"/>
    <n v="20"/>
    <s v="Company T"/>
    <x v="0"/>
    <x v="0"/>
    <s v="Arizona"/>
    <x v="1"/>
    <n v="289"/>
    <n v="4"/>
    <n v="1156"/>
    <n v="3"/>
  </r>
  <r>
    <s v="0841"/>
    <d v="2021-09-20T00:00:00"/>
    <n v="7"/>
    <s v="Company G"/>
    <x v="7"/>
    <x v="3"/>
    <s v="California"/>
    <x v="1"/>
    <n v="289"/>
    <n v="2"/>
    <n v="578"/>
    <n v="8"/>
  </r>
  <r>
    <s v="0844"/>
    <d v="2021-09-21T00:00:00"/>
    <n v="11"/>
    <s v="Company K"/>
    <x v="3"/>
    <x v="2"/>
    <s v="New Mexico"/>
    <x v="1"/>
    <n v="289"/>
    <n v="6"/>
    <n v="1734"/>
    <n v="5"/>
  </r>
  <r>
    <s v="0848"/>
    <d v="2021-09-22T00:00:00"/>
    <n v="15"/>
    <s v="Company O"/>
    <x v="3"/>
    <x v="2"/>
    <s v="New Mexico"/>
    <x v="1"/>
    <n v="289"/>
    <n v="3"/>
    <n v="867"/>
    <n v="5"/>
  </r>
  <r>
    <s v="0850"/>
    <d v="2021-09-22T00:00:00"/>
    <n v="10"/>
    <s v="Company J"/>
    <x v="1"/>
    <x v="1"/>
    <s v="California"/>
    <x v="1"/>
    <n v="289"/>
    <n v="0"/>
    <n v="0"/>
    <n v="4"/>
  </r>
  <r>
    <s v="0851"/>
    <d v="2021-09-22T00:00:00"/>
    <n v="17"/>
    <s v="Company Q"/>
    <x v="6"/>
    <x v="0"/>
    <s v="Arizona"/>
    <x v="1"/>
    <n v="289"/>
    <n v="0"/>
    <n v="0"/>
    <n v="5"/>
  </r>
  <r>
    <s v="0855"/>
    <d v="2021-09-22T00:00:00"/>
    <n v="9"/>
    <s v="Company I"/>
    <x v="7"/>
    <x v="3"/>
    <s v="California"/>
    <x v="1"/>
    <n v="289"/>
    <n v="7"/>
    <n v="2023"/>
    <n v="8"/>
  </r>
  <r>
    <s v="0857"/>
    <d v="2021-09-23T00:00:00"/>
    <n v="19"/>
    <s v="Company S"/>
    <x v="6"/>
    <x v="0"/>
    <s v="Arizona"/>
    <x v="1"/>
    <n v="289"/>
    <n v="8"/>
    <n v="2312"/>
    <n v="5"/>
  </r>
  <r>
    <s v="0859"/>
    <d v="2021-09-24T00:00:00"/>
    <n v="19"/>
    <s v="Company S"/>
    <x v="0"/>
    <x v="0"/>
    <s v="Arizona"/>
    <x v="1"/>
    <n v="289"/>
    <n v="4"/>
    <n v="1156"/>
    <n v="3"/>
  </r>
  <r>
    <s v="0864"/>
    <d v="2021-09-25T00:00:00"/>
    <n v="3"/>
    <s v="Company C"/>
    <x v="4"/>
    <x v="2"/>
    <s v="Texas"/>
    <x v="1"/>
    <n v="289"/>
    <n v="4"/>
    <n v="1156"/>
    <n v="2"/>
  </r>
  <r>
    <s v="0874"/>
    <d v="2021-09-29T00:00:00"/>
    <n v="3"/>
    <s v="Company C"/>
    <x v="4"/>
    <x v="2"/>
    <s v="Texas"/>
    <x v="1"/>
    <n v="289"/>
    <n v="8"/>
    <n v="2312"/>
    <n v="2"/>
  </r>
  <r>
    <s v="0876"/>
    <d v="2021-09-29T00:00:00"/>
    <n v="7"/>
    <s v="Company G"/>
    <x v="1"/>
    <x v="1"/>
    <s v="California"/>
    <x v="1"/>
    <n v="289"/>
    <n v="0"/>
    <n v="0"/>
    <n v="4"/>
  </r>
  <r>
    <s v="0877"/>
    <d v="2021-09-30T00:00:00"/>
    <n v="11"/>
    <s v="Company K"/>
    <x v="3"/>
    <x v="2"/>
    <s v="New Mexico"/>
    <x v="1"/>
    <n v="289"/>
    <n v="1"/>
    <n v="289"/>
    <n v="5"/>
  </r>
  <r>
    <s v="0884"/>
    <d v="2021-10-02T00:00:00"/>
    <n v="14"/>
    <s v="Company N"/>
    <x v="5"/>
    <x v="1"/>
    <s v="New Mexico"/>
    <x v="1"/>
    <n v="289"/>
    <n v="9"/>
    <n v="2601"/>
    <n v="6"/>
  </r>
  <r>
    <s v="0887"/>
    <d v="2021-10-04T00:00:00"/>
    <n v="20"/>
    <s v="Company T"/>
    <x v="0"/>
    <x v="0"/>
    <s v="Arizona"/>
    <x v="1"/>
    <n v="289"/>
    <n v="1"/>
    <n v="289"/>
    <n v="3"/>
  </r>
  <r>
    <s v="0890"/>
    <d v="2021-10-05T00:00:00"/>
    <n v="9"/>
    <s v="Company I"/>
    <x v="1"/>
    <x v="1"/>
    <s v="California"/>
    <x v="1"/>
    <n v="289"/>
    <n v="9"/>
    <n v="2601"/>
    <n v="4"/>
  </r>
  <r>
    <s v="0903"/>
    <d v="2021-10-10T00:00:00"/>
    <n v="6"/>
    <s v="Company F"/>
    <x v="7"/>
    <x v="3"/>
    <s v="California"/>
    <x v="1"/>
    <n v="289"/>
    <n v="3"/>
    <n v="867"/>
    <n v="8"/>
  </r>
  <r>
    <s v="0904"/>
    <d v="2021-10-10T00:00:00"/>
    <n v="5"/>
    <s v="Company E"/>
    <x v="2"/>
    <x v="0"/>
    <s v="Texas"/>
    <x v="1"/>
    <n v="289"/>
    <n v="1"/>
    <n v="289"/>
    <n v="2"/>
  </r>
  <r>
    <s v="0905"/>
    <d v="2021-10-11T00:00:00"/>
    <n v="13"/>
    <s v="Company M"/>
    <x v="3"/>
    <x v="2"/>
    <s v="New Mexico"/>
    <x v="1"/>
    <n v="289"/>
    <n v="7"/>
    <n v="2023"/>
    <n v="5"/>
  </r>
  <r>
    <s v="0908"/>
    <d v="2021-10-12T00:00:00"/>
    <n v="20"/>
    <s v="Company T"/>
    <x v="6"/>
    <x v="0"/>
    <s v="Arizona"/>
    <x v="1"/>
    <n v="289"/>
    <n v="3"/>
    <n v="867"/>
    <n v="5"/>
  </r>
  <r>
    <s v="0912"/>
    <d v="2021-10-13T00:00:00"/>
    <n v="13"/>
    <s v="Company M"/>
    <x v="3"/>
    <x v="2"/>
    <s v="New Mexico"/>
    <x v="1"/>
    <n v="289"/>
    <n v="8"/>
    <n v="2312"/>
    <n v="5"/>
  </r>
  <r>
    <s v="0916"/>
    <d v="2021-10-14T00:00:00"/>
    <n v="10"/>
    <s v="Company J"/>
    <x v="1"/>
    <x v="1"/>
    <s v="California"/>
    <x v="1"/>
    <n v="289"/>
    <n v="5"/>
    <n v="1445"/>
    <n v="4"/>
  </r>
  <r>
    <s v="0922"/>
    <d v="2021-10-16T00:00:00"/>
    <n v="1"/>
    <s v="Company A"/>
    <x v="2"/>
    <x v="0"/>
    <s v="Texas"/>
    <x v="1"/>
    <n v="289"/>
    <n v="7"/>
    <n v="2023"/>
    <n v="2"/>
  </r>
  <r>
    <s v="0924"/>
    <d v="2021-10-16T00:00:00"/>
    <n v="11"/>
    <s v="Company K"/>
    <x v="3"/>
    <x v="2"/>
    <s v="New Mexico"/>
    <x v="1"/>
    <n v="289"/>
    <n v="9"/>
    <n v="2601"/>
    <n v="5"/>
  </r>
  <r>
    <s v="0935"/>
    <d v="2021-10-20T00:00:00"/>
    <n v="18"/>
    <s v="Company R"/>
    <x v="6"/>
    <x v="0"/>
    <s v="Arizona"/>
    <x v="1"/>
    <n v="289"/>
    <n v="5"/>
    <n v="1445"/>
    <n v="5"/>
  </r>
  <r>
    <s v="0939"/>
    <d v="2021-10-22T00:00:00"/>
    <n v="1"/>
    <s v="Company A"/>
    <x v="4"/>
    <x v="2"/>
    <s v="Texas"/>
    <x v="1"/>
    <n v="289"/>
    <n v="7"/>
    <n v="2023"/>
    <n v="2"/>
  </r>
  <r>
    <s v="0957"/>
    <d v="2021-10-29T00:00:00"/>
    <n v="17"/>
    <s v="Company Q"/>
    <x v="0"/>
    <x v="0"/>
    <s v="Arizona"/>
    <x v="1"/>
    <n v="289"/>
    <n v="9"/>
    <n v="2601"/>
    <n v="3"/>
  </r>
  <r>
    <s v="0980"/>
    <d v="2021-11-07T00:00:00"/>
    <n v="9"/>
    <s v="Company I"/>
    <x v="1"/>
    <x v="1"/>
    <s v="California"/>
    <x v="1"/>
    <n v="289"/>
    <n v="9"/>
    <n v="2601"/>
    <n v="4"/>
  </r>
  <r>
    <s v="0990"/>
    <d v="2021-11-09T00:00:00"/>
    <n v="16"/>
    <s v="Company P"/>
    <x v="0"/>
    <x v="0"/>
    <s v="Arizona"/>
    <x v="1"/>
    <n v="289"/>
    <n v="4"/>
    <n v="1156"/>
    <n v="3"/>
  </r>
  <r>
    <s v="1001"/>
    <d v="2021-11-15T00:00:00"/>
    <n v="15"/>
    <s v="Company O"/>
    <x v="3"/>
    <x v="2"/>
    <s v="New Mexico"/>
    <x v="1"/>
    <n v="289"/>
    <n v="7"/>
    <n v="2023"/>
    <n v="5"/>
  </r>
  <r>
    <s v="1008"/>
    <d v="2021-11-16T00:00:00"/>
    <n v="15"/>
    <s v="Company O"/>
    <x v="3"/>
    <x v="2"/>
    <s v="New Mexico"/>
    <x v="1"/>
    <n v="289"/>
    <n v="1"/>
    <n v="289"/>
    <n v="5"/>
  </r>
  <r>
    <s v="1011"/>
    <d v="2021-11-17T00:00:00"/>
    <n v="7"/>
    <s v="Company G"/>
    <x v="1"/>
    <x v="1"/>
    <s v="California"/>
    <x v="1"/>
    <n v="289"/>
    <n v="0"/>
    <n v="0"/>
    <n v="4"/>
  </r>
  <r>
    <s v="1012"/>
    <d v="2021-11-17T00:00:00"/>
    <n v="3"/>
    <s v="Company C"/>
    <x v="4"/>
    <x v="2"/>
    <s v="Texas"/>
    <x v="1"/>
    <n v="289"/>
    <n v="4"/>
    <n v="1156"/>
    <n v="2"/>
  </r>
  <r>
    <s v="1016"/>
    <d v="2021-11-19T00:00:00"/>
    <n v="6"/>
    <s v="Company F"/>
    <x v="7"/>
    <x v="3"/>
    <s v="California"/>
    <x v="1"/>
    <n v="289"/>
    <n v="5"/>
    <n v="1445"/>
    <n v="8"/>
  </r>
  <r>
    <s v="1037"/>
    <d v="2021-11-23T00:00:00"/>
    <n v="12"/>
    <s v="Company L"/>
    <x v="3"/>
    <x v="2"/>
    <s v="New Mexico"/>
    <x v="1"/>
    <n v="289"/>
    <n v="6"/>
    <n v="1734"/>
    <n v="5"/>
  </r>
  <r>
    <s v="1039"/>
    <d v="2021-11-24T00:00:00"/>
    <n v="13"/>
    <s v="Company M"/>
    <x v="5"/>
    <x v="1"/>
    <s v="New Mexico"/>
    <x v="1"/>
    <n v="289"/>
    <n v="1"/>
    <n v="289"/>
    <n v="6"/>
  </r>
  <r>
    <s v="1042"/>
    <d v="2021-11-24T00:00:00"/>
    <n v="14"/>
    <s v="Company N"/>
    <x v="5"/>
    <x v="1"/>
    <s v="New Mexico"/>
    <x v="1"/>
    <n v="289"/>
    <n v="2"/>
    <n v="578"/>
    <n v="6"/>
  </r>
  <r>
    <s v="1047"/>
    <d v="2021-11-26T00:00:00"/>
    <n v="6"/>
    <s v="Company F"/>
    <x v="1"/>
    <x v="1"/>
    <s v="California"/>
    <x v="1"/>
    <n v="289"/>
    <n v="1"/>
    <n v="289"/>
    <n v="4"/>
  </r>
  <r>
    <s v="1048"/>
    <d v="2021-11-26T00:00:00"/>
    <n v="13"/>
    <s v="Company M"/>
    <x v="5"/>
    <x v="1"/>
    <s v="New Mexico"/>
    <x v="1"/>
    <n v="289"/>
    <n v="7"/>
    <n v="2023"/>
    <n v="6"/>
  </r>
  <r>
    <s v="1055"/>
    <d v="2021-11-28T00:00:00"/>
    <n v="11"/>
    <s v="Company K"/>
    <x v="3"/>
    <x v="2"/>
    <s v="New Mexico"/>
    <x v="1"/>
    <n v="289"/>
    <n v="8"/>
    <n v="2312"/>
    <n v="5"/>
  </r>
  <r>
    <s v="1056"/>
    <d v="2021-11-28T00:00:00"/>
    <n v="4"/>
    <s v="Company D"/>
    <x v="2"/>
    <x v="0"/>
    <s v="Texas"/>
    <x v="1"/>
    <n v="289"/>
    <n v="7"/>
    <n v="2023"/>
    <n v="2"/>
  </r>
  <r>
    <s v="1059"/>
    <d v="2021-11-29T00:00:00"/>
    <n v="12"/>
    <s v="Company L"/>
    <x v="5"/>
    <x v="1"/>
    <s v="New Mexico"/>
    <x v="1"/>
    <n v="289"/>
    <n v="9"/>
    <n v="2601"/>
    <n v="6"/>
  </r>
  <r>
    <s v="1062"/>
    <d v="2021-12-01T00:00:00"/>
    <n v="17"/>
    <s v="Company Q"/>
    <x v="0"/>
    <x v="0"/>
    <s v="Arizona"/>
    <x v="1"/>
    <n v="289"/>
    <n v="0"/>
    <n v="0"/>
    <n v="3"/>
  </r>
  <r>
    <s v="1064"/>
    <d v="2021-12-03T00:00:00"/>
    <n v="1"/>
    <s v="Company A"/>
    <x v="4"/>
    <x v="2"/>
    <s v="Texas"/>
    <x v="1"/>
    <n v="289"/>
    <n v="4"/>
    <n v="1156"/>
    <n v="2"/>
  </r>
  <r>
    <s v="1065"/>
    <d v="2021-12-03T00:00:00"/>
    <n v="19"/>
    <s v="Company S"/>
    <x v="6"/>
    <x v="0"/>
    <s v="Arizona"/>
    <x v="1"/>
    <n v="289"/>
    <n v="2"/>
    <n v="578"/>
    <n v="5"/>
  </r>
  <r>
    <s v="1073"/>
    <d v="2021-12-07T00:00:00"/>
    <n v="9"/>
    <s v="Company I"/>
    <x v="7"/>
    <x v="3"/>
    <s v="California"/>
    <x v="1"/>
    <n v="289"/>
    <n v="7"/>
    <n v="2023"/>
    <n v="8"/>
  </r>
  <r>
    <s v="1076"/>
    <d v="2021-12-09T00:00:00"/>
    <n v="20"/>
    <s v="Company T"/>
    <x v="6"/>
    <x v="0"/>
    <s v="Arizona"/>
    <x v="1"/>
    <n v="289"/>
    <n v="8"/>
    <n v="2312"/>
    <n v="5"/>
  </r>
  <r>
    <s v="1077"/>
    <d v="2021-12-10T00:00:00"/>
    <n v="11"/>
    <s v="Company K"/>
    <x v="3"/>
    <x v="2"/>
    <s v="New Mexico"/>
    <x v="1"/>
    <n v="289"/>
    <n v="9"/>
    <n v="2601"/>
    <n v="5"/>
  </r>
  <r>
    <s v="1078"/>
    <d v="2021-12-11T00:00:00"/>
    <n v="13"/>
    <s v="Company M"/>
    <x v="3"/>
    <x v="2"/>
    <s v="New Mexico"/>
    <x v="1"/>
    <n v="289"/>
    <n v="8"/>
    <n v="2312"/>
    <n v="5"/>
  </r>
  <r>
    <s v="1080"/>
    <d v="2021-12-11T00:00:00"/>
    <n v="19"/>
    <s v="Company S"/>
    <x v="6"/>
    <x v="0"/>
    <s v="Arizona"/>
    <x v="1"/>
    <n v="289"/>
    <n v="9"/>
    <n v="2601"/>
    <n v="5"/>
  </r>
  <r>
    <s v="1081"/>
    <d v="2021-12-12T00:00:00"/>
    <n v="14"/>
    <s v="Company N"/>
    <x v="3"/>
    <x v="2"/>
    <s v="New Mexico"/>
    <x v="1"/>
    <n v="289"/>
    <n v="5"/>
    <n v="1445"/>
    <n v="5"/>
  </r>
  <r>
    <s v="1083"/>
    <d v="2021-12-13T00:00:00"/>
    <n v="13"/>
    <s v="Company M"/>
    <x v="3"/>
    <x v="2"/>
    <s v="New Mexico"/>
    <x v="1"/>
    <n v="289"/>
    <n v="5"/>
    <n v="1445"/>
    <n v="5"/>
  </r>
  <r>
    <s v="1090"/>
    <d v="2021-12-14T00:00:00"/>
    <n v="18"/>
    <s v="Company R"/>
    <x v="6"/>
    <x v="0"/>
    <s v="Arizona"/>
    <x v="1"/>
    <n v="289"/>
    <n v="9"/>
    <n v="2601"/>
    <n v="5"/>
  </r>
  <r>
    <s v="1091"/>
    <d v="2021-12-15T00:00:00"/>
    <n v="15"/>
    <s v="Company O"/>
    <x v="5"/>
    <x v="1"/>
    <s v="New Mexico"/>
    <x v="1"/>
    <n v="289"/>
    <n v="9"/>
    <n v="2601"/>
    <n v="6"/>
  </r>
  <r>
    <s v="1092"/>
    <d v="2021-12-15T00:00:00"/>
    <n v="8"/>
    <s v="Company H"/>
    <x v="7"/>
    <x v="3"/>
    <s v="California"/>
    <x v="1"/>
    <n v="289"/>
    <n v="2"/>
    <n v="578"/>
    <n v="8"/>
  </r>
  <r>
    <s v="1095"/>
    <d v="2021-12-16T00:00:00"/>
    <n v="20"/>
    <s v="Company T"/>
    <x v="0"/>
    <x v="0"/>
    <s v="Arizona"/>
    <x v="1"/>
    <n v="289"/>
    <n v="3"/>
    <n v="867"/>
    <n v="3"/>
  </r>
  <r>
    <s v="1106"/>
    <d v="2021-12-18T00:00:00"/>
    <n v="20"/>
    <s v="Company T"/>
    <x v="6"/>
    <x v="0"/>
    <s v="Arizona"/>
    <x v="1"/>
    <n v="289"/>
    <n v="4"/>
    <n v="1156"/>
    <n v="5"/>
  </r>
  <r>
    <s v="1117"/>
    <d v="2021-12-20T00:00:00"/>
    <n v="9"/>
    <s v="Company I"/>
    <x v="7"/>
    <x v="3"/>
    <s v="California"/>
    <x v="1"/>
    <n v="289"/>
    <n v="5"/>
    <n v="1445"/>
    <n v="8"/>
  </r>
  <r>
    <s v="1126"/>
    <d v="2021-12-23T00:00:00"/>
    <n v="11"/>
    <s v="Company K"/>
    <x v="3"/>
    <x v="2"/>
    <s v="New Mexico"/>
    <x v="1"/>
    <n v="289"/>
    <n v="9"/>
    <n v="2601"/>
    <n v="5"/>
  </r>
  <r>
    <s v="1135"/>
    <d v="2021-12-25T00:00:00"/>
    <n v="5"/>
    <s v="Company E"/>
    <x v="2"/>
    <x v="0"/>
    <s v="Texas"/>
    <x v="1"/>
    <n v="289"/>
    <n v="4"/>
    <n v="1156"/>
    <n v="2"/>
  </r>
  <r>
    <s v="1137"/>
    <d v="2021-12-25T00:00:00"/>
    <n v="3"/>
    <s v="Company C"/>
    <x v="4"/>
    <x v="2"/>
    <s v="Texas"/>
    <x v="1"/>
    <n v="289"/>
    <n v="6"/>
    <n v="1734"/>
    <n v="2"/>
  </r>
  <r>
    <s v="1139"/>
    <d v="2021-12-26T00:00:00"/>
    <n v="11"/>
    <s v="Company K"/>
    <x v="3"/>
    <x v="2"/>
    <s v="New Mexico"/>
    <x v="1"/>
    <n v="289"/>
    <n v="2"/>
    <n v="578"/>
    <n v="5"/>
  </r>
  <r>
    <s v="1151"/>
    <d v="2022-01-03T00:00:00"/>
    <n v="1"/>
    <s v="Company A"/>
    <x v="4"/>
    <x v="2"/>
    <s v="Texas"/>
    <x v="1"/>
    <n v="289"/>
    <n v="4"/>
    <n v="1156"/>
    <n v="2"/>
  </r>
  <r>
    <s v="1156"/>
    <d v="2022-01-05T00:00:00"/>
    <n v="15"/>
    <s v="Company O"/>
    <x v="5"/>
    <x v="1"/>
    <s v="New Mexico"/>
    <x v="1"/>
    <n v="289"/>
    <n v="0"/>
    <n v="0"/>
    <n v="6"/>
  </r>
  <r>
    <s v="1161"/>
    <d v="2022-01-06T00:00:00"/>
    <n v="10"/>
    <s v="Company J"/>
    <x v="1"/>
    <x v="1"/>
    <s v="California"/>
    <x v="1"/>
    <n v="289"/>
    <n v="3"/>
    <n v="867"/>
    <n v="4"/>
  </r>
  <r>
    <s v="1166"/>
    <d v="2022-01-07T00:00:00"/>
    <n v="13"/>
    <s v="Company M"/>
    <x v="5"/>
    <x v="1"/>
    <s v="New Mexico"/>
    <x v="1"/>
    <n v="289"/>
    <n v="9"/>
    <n v="2601"/>
    <n v="6"/>
  </r>
  <r>
    <s v="1182"/>
    <d v="2022-01-13T00:00:00"/>
    <n v="15"/>
    <s v="Company O"/>
    <x v="5"/>
    <x v="1"/>
    <s v="New Mexico"/>
    <x v="1"/>
    <n v="289"/>
    <n v="2"/>
    <n v="578"/>
    <n v="6"/>
  </r>
  <r>
    <s v="1194"/>
    <d v="2022-01-14T00:00:00"/>
    <n v="12"/>
    <s v="Company L"/>
    <x v="5"/>
    <x v="1"/>
    <s v="New Mexico"/>
    <x v="1"/>
    <n v="289"/>
    <n v="7"/>
    <n v="2023"/>
    <n v="6"/>
  </r>
  <r>
    <s v="1196"/>
    <d v="2022-01-15T00:00:00"/>
    <n v="16"/>
    <s v="Company P"/>
    <x v="0"/>
    <x v="0"/>
    <s v="Arizona"/>
    <x v="1"/>
    <n v="289"/>
    <n v="9"/>
    <n v="2601"/>
    <n v="3"/>
  </r>
  <r>
    <s v="1202"/>
    <d v="2022-01-17T00:00:00"/>
    <n v="18"/>
    <s v="Company R"/>
    <x v="0"/>
    <x v="0"/>
    <s v="Arizona"/>
    <x v="1"/>
    <n v="289"/>
    <n v="2"/>
    <n v="578"/>
    <n v="3"/>
  </r>
  <r>
    <s v="1205"/>
    <d v="2022-01-17T00:00:00"/>
    <n v="7"/>
    <s v="Company G"/>
    <x v="7"/>
    <x v="3"/>
    <s v="California"/>
    <x v="1"/>
    <n v="289"/>
    <n v="5"/>
    <n v="1445"/>
    <n v="8"/>
  </r>
  <r>
    <s v="1214"/>
    <d v="2022-01-21T00:00:00"/>
    <n v="8"/>
    <s v="Company H"/>
    <x v="1"/>
    <x v="1"/>
    <s v="California"/>
    <x v="1"/>
    <n v="289"/>
    <n v="4"/>
    <n v="1156"/>
    <n v="4"/>
  </r>
  <r>
    <s v="1219"/>
    <d v="2022-01-22T00:00:00"/>
    <n v="2"/>
    <s v="Company B"/>
    <x v="4"/>
    <x v="2"/>
    <s v="Texas"/>
    <x v="1"/>
    <n v="289"/>
    <n v="5"/>
    <n v="1445"/>
    <n v="2"/>
  </r>
  <r>
    <s v="1220"/>
    <d v="2022-01-22T00:00:00"/>
    <n v="7"/>
    <s v="Company G"/>
    <x v="7"/>
    <x v="3"/>
    <s v="California"/>
    <x v="1"/>
    <n v="289"/>
    <n v="7"/>
    <n v="2023"/>
    <n v="8"/>
  </r>
  <r>
    <s v="1228"/>
    <d v="2022-01-27T00:00:00"/>
    <n v="17"/>
    <s v="Company Q"/>
    <x v="6"/>
    <x v="0"/>
    <s v="Arizona"/>
    <x v="1"/>
    <n v="289"/>
    <n v="2"/>
    <n v="578"/>
    <n v="5"/>
  </r>
  <r>
    <s v="1235"/>
    <d v="2022-01-29T00:00:00"/>
    <n v="9"/>
    <s v="Company I"/>
    <x v="1"/>
    <x v="1"/>
    <s v="California"/>
    <x v="1"/>
    <n v="289"/>
    <n v="1"/>
    <n v="289"/>
    <n v="4"/>
  </r>
  <r>
    <s v="1238"/>
    <d v="2022-02-01T00:00:00"/>
    <n v="13"/>
    <s v="Company M"/>
    <x v="5"/>
    <x v="1"/>
    <s v="New Mexico"/>
    <x v="1"/>
    <n v="289"/>
    <n v="9"/>
    <n v="2601"/>
    <n v="6"/>
  </r>
  <r>
    <s v="1239"/>
    <d v="2022-02-02T00:00:00"/>
    <n v="8"/>
    <s v="Company H"/>
    <x v="7"/>
    <x v="3"/>
    <s v="California"/>
    <x v="1"/>
    <n v="289"/>
    <n v="3"/>
    <n v="867"/>
    <n v="8"/>
  </r>
  <r>
    <s v="1242"/>
    <d v="2022-02-04T00:00:00"/>
    <n v="9"/>
    <s v="Company I"/>
    <x v="1"/>
    <x v="1"/>
    <s v="California"/>
    <x v="1"/>
    <n v="289"/>
    <n v="0"/>
    <n v="0"/>
    <n v="4"/>
  </r>
  <r>
    <s v="1243"/>
    <d v="2022-02-05T00:00:00"/>
    <n v="16"/>
    <s v="Company P"/>
    <x v="0"/>
    <x v="0"/>
    <s v="Arizona"/>
    <x v="1"/>
    <n v="289"/>
    <n v="9"/>
    <n v="2601"/>
    <n v="3"/>
  </r>
  <r>
    <s v="1244"/>
    <d v="2022-02-05T00:00:00"/>
    <n v="16"/>
    <s v="Company P"/>
    <x v="6"/>
    <x v="0"/>
    <s v="Arizona"/>
    <x v="1"/>
    <n v="289"/>
    <n v="9"/>
    <n v="2601"/>
    <n v="5"/>
  </r>
  <r>
    <s v="1246"/>
    <d v="2022-02-05T00:00:00"/>
    <n v="3"/>
    <s v="Company C"/>
    <x v="4"/>
    <x v="2"/>
    <s v="Texas"/>
    <x v="1"/>
    <n v="289"/>
    <n v="9"/>
    <n v="2601"/>
    <n v="2"/>
  </r>
  <r>
    <s v="1252"/>
    <d v="2022-02-06T00:00:00"/>
    <n v="9"/>
    <s v="Company I"/>
    <x v="7"/>
    <x v="3"/>
    <s v="California"/>
    <x v="1"/>
    <n v="289"/>
    <n v="4"/>
    <n v="1156"/>
    <n v="8"/>
  </r>
  <r>
    <s v="1270"/>
    <d v="2022-02-15T00:00:00"/>
    <n v="1"/>
    <s v="Company A"/>
    <x v="4"/>
    <x v="2"/>
    <s v="Texas"/>
    <x v="1"/>
    <n v="289"/>
    <n v="7"/>
    <n v="2023"/>
    <n v="2"/>
  </r>
  <r>
    <s v="1272"/>
    <d v="2022-02-17T00:00:00"/>
    <n v="11"/>
    <s v="Company K"/>
    <x v="5"/>
    <x v="1"/>
    <s v="New Mexico"/>
    <x v="1"/>
    <n v="289"/>
    <n v="4"/>
    <n v="1156"/>
    <n v="6"/>
  </r>
  <r>
    <s v="1274"/>
    <d v="2022-02-18T00:00:00"/>
    <n v="5"/>
    <s v="Company E"/>
    <x v="4"/>
    <x v="2"/>
    <s v="Texas"/>
    <x v="1"/>
    <n v="289"/>
    <n v="0"/>
    <n v="0"/>
    <n v="2"/>
  </r>
  <r>
    <s v="1280"/>
    <d v="2022-02-19T00:00:00"/>
    <n v="3"/>
    <s v="Company C"/>
    <x v="2"/>
    <x v="0"/>
    <s v="Texas"/>
    <x v="1"/>
    <n v="289"/>
    <n v="7"/>
    <n v="2023"/>
    <n v="2"/>
  </r>
  <r>
    <s v="1286"/>
    <d v="2022-02-19T00:00:00"/>
    <n v="3"/>
    <s v="Company C"/>
    <x v="2"/>
    <x v="0"/>
    <s v="Texas"/>
    <x v="1"/>
    <n v="289"/>
    <n v="7"/>
    <n v="2023"/>
    <n v="2"/>
  </r>
  <r>
    <s v="1290"/>
    <d v="2022-02-19T00:00:00"/>
    <n v="14"/>
    <s v="Company N"/>
    <x v="5"/>
    <x v="1"/>
    <s v="New Mexico"/>
    <x v="1"/>
    <n v="289"/>
    <n v="9"/>
    <n v="2601"/>
    <n v="6"/>
  </r>
  <r>
    <s v="1291"/>
    <d v="2022-02-20T00:00:00"/>
    <n v="8"/>
    <s v="Company H"/>
    <x v="1"/>
    <x v="1"/>
    <s v="California"/>
    <x v="1"/>
    <n v="289"/>
    <n v="5"/>
    <n v="1445"/>
    <n v="4"/>
  </r>
  <r>
    <s v="1294"/>
    <d v="2022-02-21T00:00:00"/>
    <n v="8"/>
    <s v="Company H"/>
    <x v="1"/>
    <x v="1"/>
    <s v="California"/>
    <x v="1"/>
    <n v="289"/>
    <n v="1"/>
    <n v="289"/>
    <n v="4"/>
  </r>
  <r>
    <s v="1296"/>
    <d v="2022-02-22T00:00:00"/>
    <n v="20"/>
    <s v="Company T"/>
    <x v="6"/>
    <x v="0"/>
    <s v="Arizona"/>
    <x v="1"/>
    <n v="289"/>
    <n v="0"/>
    <n v="0"/>
    <n v="5"/>
  </r>
  <r>
    <s v="1297"/>
    <d v="2022-02-22T00:00:00"/>
    <n v="13"/>
    <s v="Company M"/>
    <x v="3"/>
    <x v="2"/>
    <s v="New Mexico"/>
    <x v="1"/>
    <n v="289"/>
    <n v="7"/>
    <n v="2023"/>
    <n v="5"/>
  </r>
  <r>
    <s v="1300"/>
    <d v="2022-02-22T00:00:00"/>
    <n v="16"/>
    <s v="Company P"/>
    <x v="6"/>
    <x v="0"/>
    <s v="Arizona"/>
    <x v="1"/>
    <n v="289"/>
    <n v="3"/>
    <n v="867"/>
    <n v="5"/>
  </r>
  <r>
    <s v="1302"/>
    <d v="2022-02-22T00:00:00"/>
    <n v="20"/>
    <s v="Company T"/>
    <x v="0"/>
    <x v="0"/>
    <s v="Arizona"/>
    <x v="1"/>
    <n v="289"/>
    <n v="0"/>
    <n v="0"/>
    <n v="3"/>
  </r>
  <r>
    <s v="1303"/>
    <d v="2022-02-22T00:00:00"/>
    <n v="3"/>
    <s v="Company C"/>
    <x v="2"/>
    <x v="0"/>
    <s v="Texas"/>
    <x v="1"/>
    <n v="289"/>
    <n v="7"/>
    <n v="2023"/>
    <n v="2"/>
  </r>
  <r>
    <s v="1310"/>
    <d v="2022-02-24T00:00:00"/>
    <n v="8"/>
    <s v="Company H"/>
    <x v="1"/>
    <x v="1"/>
    <s v="California"/>
    <x v="1"/>
    <n v="289"/>
    <n v="0"/>
    <n v="0"/>
    <n v="4"/>
  </r>
  <r>
    <s v="1317"/>
    <d v="2022-02-26T00:00:00"/>
    <n v="3"/>
    <s v="Company C"/>
    <x v="2"/>
    <x v="0"/>
    <s v="Texas"/>
    <x v="1"/>
    <n v="289"/>
    <n v="3"/>
    <n v="867"/>
    <n v="2"/>
  </r>
  <r>
    <s v="1323"/>
    <d v="2022-02-28T00:00:00"/>
    <n v="12"/>
    <s v="Company L"/>
    <x v="3"/>
    <x v="2"/>
    <s v="New Mexico"/>
    <x v="1"/>
    <n v="289"/>
    <n v="1"/>
    <n v="289"/>
    <n v="5"/>
  </r>
  <r>
    <s v="1329"/>
    <d v="2022-03-02T00:00:00"/>
    <n v="19"/>
    <s v="Company S"/>
    <x v="0"/>
    <x v="0"/>
    <s v="Arizona"/>
    <x v="1"/>
    <n v="289"/>
    <n v="7"/>
    <n v="2023"/>
    <n v="3"/>
  </r>
  <r>
    <s v="1331"/>
    <d v="2022-03-03T00:00:00"/>
    <n v="5"/>
    <s v="Company E"/>
    <x v="4"/>
    <x v="2"/>
    <s v="Texas"/>
    <x v="1"/>
    <n v="289"/>
    <n v="5"/>
    <n v="1445"/>
    <n v="2"/>
  </r>
  <r>
    <s v="1332"/>
    <d v="2022-03-04T00:00:00"/>
    <n v="2"/>
    <s v="Company B"/>
    <x v="2"/>
    <x v="0"/>
    <s v="Texas"/>
    <x v="1"/>
    <n v="289"/>
    <n v="0"/>
    <n v="0"/>
    <n v="2"/>
  </r>
  <r>
    <s v="1351"/>
    <d v="2022-03-10T00:00:00"/>
    <n v="8"/>
    <s v="Company H"/>
    <x v="1"/>
    <x v="1"/>
    <s v="California"/>
    <x v="1"/>
    <n v="289"/>
    <n v="9"/>
    <n v="2601"/>
    <n v="4"/>
  </r>
  <r>
    <s v="1355"/>
    <d v="2022-03-11T00:00:00"/>
    <n v="16"/>
    <s v="Company P"/>
    <x v="6"/>
    <x v="0"/>
    <s v="Arizona"/>
    <x v="1"/>
    <n v="289"/>
    <n v="6"/>
    <n v="1734"/>
    <n v="5"/>
  </r>
  <r>
    <s v="1357"/>
    <d v="2022-03-11T00:00:00"/>
    <n v="4"/>
    <s v="Company D"/>
    <x v="2"/>
    <x v="0"/>
    <s v="Texas"/>
    <x v="1"/>
    <n v="289"/>
    <n v="6"/>
    <n v="1734"/>
    <n v="2"/>
  </r>
  <r>
    <s v="1359"/>
    <d v="2022-03-11T00:00:00"/>
    <n v="4"/>
    <s v="Company D"/>
    <x v="2"/>
    <x v="0"/>
    <s v="Texas"/>
    <x v="1"/>
    <n v="289"/>
    <n v="2"/>
    <n v="578"/>
    <n v="2"/>
  </r>
  <r>
    <s v="1361"/>
    <d v="2022-03-11T00:00:00"/>
    <n v="3"/>
    <s v="Company C"/>
    <x v="2"/>
    <x v="0"/>
    <s v="Texas"/>
    <x v="1"/>
    <n v="289"/>
    <n v="5"/>
    <n v="1445"/>
    <n v="2"/>
  </r>
  <r>
    <s v="1379"/>
    <d v="2022-03-17T00:00:00"/>
    <n v="14"/>
    <s v="Company N"/>
    <x v="3"/>
    <x v="2"/>
    <s v="New Mexico"/>
    <x v="1"/>
    <n v="289"/>
    <n v="6"/>
    <n v="1734"/>
    <n v="5"/>
  </r>
  <r>
    <s v="1394"/>
    <d v="2022-03-20T00:00:00"/>
    <n v="1"/>
    <s v="Company A"/>
    <x v="4"/>
    <x v="2"/>
    <s v="Texas"/>
    <x v="1"/>
    <n v="289"/>
    <n v="3"/>
    <n v="867"/>
    <n v="2"/>
  </r>
  <r>
    <s v="1398"/>
    <d v="2022-03-23T00:00:00"/>
    <n v="17"/>
    <s v="Company Q"/>
    <x v="6"/>
    <x v="0"/>
    <s v="Arizona"/>
    <x v="1"/>
    <n v="289"/>
    <n v="2"/>
    <n v="578"/>
    <n v="5"/>
  </r>
  <r>
    <s v="1401"/>
    <d v="2022-03-23T00:00:00"/>
    <n v="15"/>
    <s v="Company O"/>
    <x v="5"/>
    <x v="1"/>
    <s v="New Mexico"/>
    <x v="1"/>
    <n v="289"/>
    <n v="6"/>
    <n v="1734"/>
    <n v="6"/>
  </r>
  <r>
    <s v="1404"/>
    <d v="2022-03-23T00:00:00"/>
    <n v="5"/>
    <s v="Company E"/>
    <x v="2"/>
    <x v="0"/>
    <s v="Texas"/>
    <x v="1"/>
    <n v="289"/>
    <n v="6"/>
    <n v="1734"/>
    <n v="2"/>
  </r>
  <r>
    <s v="1410"/>
    <d v="2022-03-25T00:00:00"/>
    <n v="12"/>
    <s v="Company L"/>
    <x v="5"/>
    <x v="1"/>
    <s v="New Mexico"/>
    <x v="1"/>
    <n v="289"/>
    <n v="6"/>
    <n v="1734"/>
    <n v="6"/>
  </r>
  <r>
    <s v="1412"/>
    <d v="2022-03-26T00:00:00"/>
    <n v="19"/>
    <s v="Company S"/>
    <x v="0"/>
    <x v="0"/>
    <s v="Arizona"/>
    <x v="1"/>
    <n v="289"/>
    <n v="3"/>
    <n v="867"/>
    <n v="3"/>
  </r>
  <r>
    <s v="1414"/>
    <d v="2022-03-27T00:00:00"/>
    <n v="6"/>
    <s v="Company F"/>
    <x v="1"/>
    <x v="1"/>
    <s v="California"/>
    <x v="1"/>
    <n v="289"/>
    <n v="7"/>
    <n v="2023"/>
    <n v="4"/>
  </r>
  <r>
    <s v="1416"/>
    <d v="2022-03-27T00:00:00"/>
    <n v="13"/>
    <s v="Company M"/>
    <x v="5"/>
    <x v="1"/>
    <s v="New Mexico"/>
    <x v="1"/>
    <n v="289"/>
    <n v="9"/>
    <n v="2601"/>
    <n v="6"/>
  </r>
  <r>
    <s v="1418"/>
    <d v="2022-03-28T00:00:00"/>
    <n v="1"/>
    <s v="Company A"/>
    <x v="4"/>
    <x v="2"/>
    <s v="Texas"/>
    <x v="1"/>
    <n v="289"/>
    <n v="9"/>
    <n v="2601"/>
    <n v="2"/>
  </r>
  <r>
    <s v="1424"/>
    <d v="2022-03-31T00:00:00"/>
    <n v="19"/>
    <s v="Company S"/>
    <x v="0"/>
    <x v="0"/>
    <s v="Arizona"/>
    <x v="1"/>
    <n v="289"/>
    <n v="8"/>
    <n v="2312"/>
    <n v="3"/>
  </r>
  <r>
    <s v="1435"/>
    <d v="2022-04-04T00:00:00"/>
    <n v="19"/>
    <s v="Company S"/>
    <x v="6"/>
    <x v="0"/>
    <s v="Arizona"/>
    <x v="1"/>
    <n v="289"/>
    <n v="2"/>
    <n v="578"/>
    <n v="5"/>
  </r>
  <r>
    <s v="1443"/>
    <d v="2022-04-05T00:00:00"/>
    <n v="15"/>
    <s v="Company O"/>
    <x v="5"/>
    <x v="1"/>
    <s v="New Mexico"/>
    <x v="1"/>
    <n v="289"/>
    <n v="8"/>
    <n v="2312"/>
    <n v="6"/>
  </r>
  <r>
    <s v="1444"/>
    <d v="2022-04-06T00:00:00"/>
    <n v="3"/>
    <s v="Company C"/>
    <x v="2"/>
    <x v="0"/>
    <s v="Texas"/>
    <x v="1"/>
    <n v="289"/>
    <n v="2"/>
    <n v="578"/>
    <n v="2"/>
  </r>
  <r>
    <s v="1454"/>
    <d v="2022-04-09T00:00:00"/>
    <n v="7"/>
    <s v="Company G"/>
    <x v="1"/>
    <x v="1"/>
    <s v="California"/>
    <x v="1"/>
    <n v="289"/>
    <n v="3"/>
    <n v="867"/>
    <n v="4"/>
  </r>
  <r>
    <s v="1462"/>
    <d v="2022-04-12T00:00:00"/>
    <n v="19"/>
    <s v="Company S"/>
    <x v="0"/>
    <x v="0"/>
    <s v="Arizona"/>
    <x v="1"/>
    <n v="289"/>
    <n v="3"/>
    <n v="867"/>
    <n v="3"/>
  </r>
  <r>
    <s v="1464"/>
    <d v="2022-04-12T00:00:00"/>
    <n v="5"/>
    <s v="Company E"/>
    <x v="4"/>
    <x v="2"/>
    <s v="Texas"/>
    <x v="1"/>
    <n v="289"/>
    <n v="5"/>
    <n v="1445"/>
    <n v="2"/>
  </r>
  <r>
    <s v="1473"/>
    <d v="2022-04-18T00:00:00"/>
    <n v="12"/>
    <s v="Company L"/>
    <x v="3"/>
    <x v="2"/>
    <s v="New Mexico"/>
    <x v="1"/>
    <n v="289"/>
    <n v="5"/>
    <n v="1445"/>
    <n v="5"/>
  </r>
  <r>
    <s v="1485"/>
    <d v="2022-04-21T00:00:00"/>
    <n v="6"/>
    <s v="Company F"/>
    <x v="1"/>
    <x v="1"/>
    <s v="California"/>
    <x v="1"/>
    <n v="289"/>
    <n v="5"/>
    <n v="1445"/>
    <n v="4"/>
  </r>
  <r>
    <s v="1494"/>
    <d v="2022-04-24T00:00:00"/>
    <n v="3"/>
    <s v="Company C"/>
    <x v="4"/>
    <x v="2"/>
    <s v="Texas"/>
    <x v="1"/>
    <n v="289"/>
    <n v="6"/>
    <n v="1734"/>
    <n v="2"/>
  </r>
  <r>
    <s v="1498"/>
    <d v="2022-04-26T00:00:00"/>
    <n v="1"/>
    <s v="Company A"/>
    <x v="4"/>
    <x v="2"/>
    <s v="Texas"/>
    <x v="1"/>
    <n v="289"/>
    <n v="4"/>
    <n v="1156"/>
    <n v="2"/>
  </r>
  <r>
    <s v="1500"/>
    <d v="2022-04-27T00:00:00"/>
    <n v="18"/>
    <s v="Company R"/>
    <x v="0"/>
    <x v="0"/>
    <s v="Arizona"/>
    <x v="1"/>
    <n v="289"/>
    <n v="8"/>
    <n v="2312"/>
    <n v="3"/>
  </r>
  <r>
    <s v="1503"/>
    <d v="2022-04-30T00:00:00"/>
    <n v="6"/>
    <s v="Company F"/>
    <x v="1"/>
    <x v="1"/>
    <s v="California"/>
    <x v="1"/>
    <n v="289"/>
    <n v="7"/>
    <n v="2023"/>
    <n v="4"/>
  </r>
  <r>
    <s v="1505"/>
    <d v="2022-04-30T00:00:00"/>
    <n v="9"/>
    <s v="Company I"/>
    <x v="7"/>
    <x v="3"/>
    <s v="California"/>
    <x v="1"/>
    <n v="289"/>
    <n v="6"/>
    <n v="1734"/>
    <n v="8"/>
  </r>
  <r>
    <s v="1507"/>
    <d v="2022-05-01T00:00:00"/>
    <n v="1"/>
    <s v="Company A"/>
    <x v="4"/>
    <x v="2"/>
    <s v="Texas"/>
    <x v="1"/>
    <n v="289"/>
    <n v="6"/>
    <n v="1734"/>
    <n v="2"/>
  </r>
  <r>
    <s v="1509"/>
    <d v="2022-05-02T00:00:00"/>
    <n v="17"/>
    <s v="Company Q"/>
    <x v="6"/>
    <x v="0"/>
    <s v="Arizona"/>
    <x v="1"/>
    <n v="289"/>
    <n v="7"/>
    <n v="2023"/>
    <n v="5"/>
  </r>
  <r>
    <s v="1512"/>
    <d v="2022-05-03T00:00:00"/>
    <n v="12"/>
    <s v="Company L"/>
    <x v="5"/>
    <x v="1"/>
    <s v="New Mexico"/>
    <x v="1"/>
    <n v="289"/>
    <n v="1"/>
    <n v="289"/>
    <n v="6"/>
  </r>
  <r>
    <s v="1526"/>
    <d v="2022-05-07T00:00:00"/>
    <n v="4"/>
    <s v="Company D"/>
    <x v="4"/>
    <x v="2"/>
    <s v="Texas"/>
    <x v="1"/>
    <n v="289"/>
    <n v="5"/>
    <n v="1445"/>
    <n v="2"/>
  </r>
  <r>
    <s v="1532"/>
    <d v="2022-05-09T00:00:00"/>
    <n v="11"/>
    <s v="Company K"/>
    <x v="5"/>
    <x v="1"/>
    <s v="New Mexico"/>
    <x v="1"/>
    <n v="289"/>
    <n v="1"/>
    <n v="289"/>
    <n v="6"/>
  </r>
  <r>
    <s v="1541"/>
    <d v="2022-05-12T00:00:00"/>
    <n v="3"/>
    <s v="Company C"/>
    <x v="2"/>
    <x v="0"/>
    <s v="Texas"/>
    <x v="1"/>
    <n v="289"/>
    <n v="9"/>
    <n v="2601"/>
    <n v="2"/>
  </r>
  <r>
    <s v="1549"/>
    <d v="2022-05-16T00:00:00"/>
    <n v="3"/>
    <s v="Company C"/>
    <x v="2"/>
    <x v="0"/>
    <s v="Texas"/>
    <x v="1"/>
    <n v="289"/>
    <n v="4"/>
    <n v="1156"/>
    <n v="2"/>
  </r>
  <r>
    <s v="1552"/>
    <d v="2022-05-17T00:00:00"/>
    <n v="1"/>
    <s v="Company A"/>
    <x v="2"/>
    <x v="0"/>
    <s v="Texas"/>
    <x v="1"/>
    <n v="289"/>
    <n v="9"/>
    <n v="2601"/>
    <n v="2"/>
  </r>
  <r>
    <s v="1553"/>
    <d v="2022-05-17T00:00:00"/>
    <n v="10"/>
    <s v="Company J"/>
    <x v="1"/>
    <x v="1"/>
    <s v="California"/>
    <x v="1"/>
    <n v="289"/>
    <n v="2"/>
    <n v="578"/>
    <n v="4"/>
  </r>
  <r>
    <s v="1555"/>
    <d v="2022-05-17T00:00:00"/>
    <n v="14"/>
    <s v="Company N"/>
    <x v="3"/>
    <x v="2"/>
    <s v="New Mexico"/>
    <x v="1"/>
    <n v="289"/>
    <n v="6"/>
    <n v="1734"/>
    <n v="5"/>
  </r>
  <r>
    <s v="1561"/>
    <d v="2022-05-19T00:00:00"/>
    <n v="1"/>
    <s v="Company A"/>
    <x v="2"/>
    <x v="0"/>
    <s v="Texas"/>
    <x v="1"/>
    <n v="289"/>
    <n v="1"/>
    <n v="289"/>
    <n v="2"/>
  </r>
  <r>
    <s v="1565"/>
    <d v="2022-05-20T00:00:00"/>
    <n v="7"/>
    <s v="Company G"/>
    <x v="7"/>
    <x v="3"/>
    <s v="California"/>
    <x v="1"/>
    <n v="289"/>
    <n v="8"/>
    <n v="2312"/>
    <n v="8"/>
  </r>
  <r>
    <s v="1566"/>
    <d v="2022-05-21T00:00:00"/>
    <n v="5"/>
    <s v="Company E"/>
    <x v="2"/>
    <x v="0"/>
    <s v="Texas"/>
    <x v="1"/>
    <n v="289"/>
    <n v="2"/>
    <n v="578"/>
    <n v="2"/>
  </r>
  <r>
    <s v="1568"/>
    <d v="2022-05-22T00:00:00"/>
    <n v="10"/>
    <s v="Company J"/>
    <x v="7"/>
    <x v="3"/>
    <s v="California"/>
    <x v="1"/>
    <n v="289"/>
    <n v="7"/>
    <n v="2023"/>
    <n v="8"/>
  </r>
  <r>
    <s v="1574"/>
    <d v="2022-05-25T00:00:00"/>
    <n v="17"/>
    <s v="Company Q"/>
    <x v="6"/>
    <x v="0"/>
    <s v="Arizona"/>
    <x v="1"/>
    <n v="289"/>
    <n v="3"/>
    <n v="867"/>
    <n v="5"/>
  </r>
  <r>
    <s v="1582"/>
    <d v="2022-05-25T00:00:00"/>
    <n v="16"/>
    <s v="Company P"/>
    <x v="6"/>
    <x v="0"/>
    <s v="Arizona"/>
    <x v="1"/>
    <n v="289"/>
    <n v="1"/>
    <n v="289"/>
    <n v="5"/>
  </r>
  <r>
    <s v="1583"/>
    <d v="2022-05-25T00:00:00"/>
    <n v="1"/>
    <s v="Company A"/>
    <x v="4"/>
    <x v="2"/>
    <s v="Texas"/>
    <x v="1"/>
    <n v="289"/>
    <n v="9"/>
    <n v="2601"/>
    <n v="2"/>
  </r>
  <r>
    <s v="1586"/>
    <d v="2022-05-26T00:00:00"/>
    <n v="4"/>
    <s v="Company D"/>
    <x v="2"/>
    <x v="0"/>
    <s v="Texas"/>
    <x v="1"/>
    <n v="289"/>
    <n v="2"/>
    <n v="578"/>
    <n v="2"/>
  </r>
  <r>
    <s v="1593"/>
    <d v="2022-05-26T00:00:00"/>
    <n v="16"/>
    <s v="Company P"/>
    <x v="0"/>
    <x v="0"/>
    <s v="Arizona"/>
    <x v="1"/>
    <n v="289"/>
    <n v="9"/>
    <n v="2601"/>
    <n v="3"/>
  </r>
  <r>
    <s v="1607"/>
    <d v="2022-05-30T00:00:00"/>
    <n v="5"/>
    <s v="Company E"/>
    <x v="2"/>
    <x v="0"/>
    <s v="Texas"/>
    <x v="1"/>
    <n v="289"/>
    <n v="3"/>
    <n v="867"/>
    <n v="2"/>
  </r>
  <r>
    <s v="1613"/>
    <d v="2022-06-01T00:00:00"/>
    <n v="17"/>
    <s v="Company Q"/>
    <x v="0"/>
    <x v="0"/>
    <s v="Arizona"/>
    <x v="1"/>
    <n v="289"/>
    <n v="0"/>
    <n v="0"/>
    <n v="3"/>
  </r>
  <r>
    <s v="1614"/>
    <d v="2022-06-02T00:00:00"/>
    <n v="8"/>
    <s v="Company H"/>
    <x v="1"/>
    <x v="1"/>
    <s v="California"/>
    <x v="1"/>
    <n v="289"/>
    <n v="4"/>
    <n v="1156"/>
    <n v="4"/>
  </r>
  <r>
    <s v="1622"/>
    <d v="2022-06-05T00:00:00"/>
    <n v="11"/>
    <s v="Company K"/>
    <x v="3"/>
    <x v="2"/>
    <s v="New Mexico"/>
    <x v="1"/>
    <n v="289"/>
    <n v="2"/>
    <n v="578"/>
    <n v="5"/>
  </r>
  <r>
    <s v="1624"/>
    <d v="2022-06-06T00:00:00"/>
    <n v="6"/>
    <s v="Company F"/>
    <x v="1"/>
    <x v="1"/>
    <s v="California"/>
    <x v="1"/>
    <n v="289"/>
    <n v="1"/>
    <n v="289"/>
    <n v="4"/>
  </r>
  <r>
    <s v="1635"/>
    <d v="2022-06-06T00:00:00"/>
    <n v="3"/>
    <s v="Company C"/>
    <x v="2"/>
    <x v="0"/>
    <s v="Texas"/>
    <x v="1"/>
    <n v="289"/>
    <n v="9"/>
    <n v="2601"/>
    <n v="2"/>
  </r>
  <r>
    <s v="1656"/>
    <d v="2022-06-14T00:00:00"/>
    <n v="16"/>
    <s v="Company P"/>
    <x v="0"/>
    <x v="0"/>
    <s v="Arizona"/>
    <x v="1"/>
    <n v="289"/>
    <n v="9"/>
    <n v="2601"/>
    <n v="3"/>
  </r>
  <r>
    <s v="1660"/>
    <d v="2022-06-15T00:00:00"/>
    <n v="13"/>
    <s v="Company M"/>
    <x v="3"/>
    <x v="2"/>
    <s v="New Mexico"/>
    <x v="1"/>
    <n v="289"/>
    <n v="4"/>
    <n v="1156"/>
    <n v="5"/>
  </r>
  <r>
    <s v="1663"/>
    <d v="2022-06-15T00:00:00"/>
    <n v="2"/>
    <s v="Company B"/>
    <x v="2"/>
    <x v="0"/>
    <s v="Texas"/>
    <x v="1"/>
    <n v="289"/>
    <n v="5"/>
    <n v="1445"/>
    <n v="2"/>
  </r>
  <r>
    <s v="1670"/>
    <d v="2022-06-17T00:00:00"/>
    <n v="1"/>
    <s v="Company A"/>
    <x v="2"/>
    <x v="0"/>
    <s v="Texas"/>
    <x v="1"/>
    <n v="289"/>
    <n v="5"/>
    <n v="1445"/>
    <n v="2"/>
  </r>
  <r>
    <s v="1671"/>
    <d v="2022-06-17T00:00:00"/>
    <n v="17"/>
    <s v="Company Q"/>
    <x v="0"/>
    <x v="0"/>
    <s v="Arizona"/>
    <x v="1"/>
    <n v="289"/>
    <n v="1"/>
    <n v="289"/>
    <n v="3"/>
  </r>
  <r>
    <s v="1691"/>
    <d v="2022-06-26T00:00:00"/>
    <n v="2"/>
    <s v="Company B"/>
    <x v="4"/>
    <x v="2"/>
    <s v="Texas"/>
    <x v="1"/>
    <n v="289"/>
    <n v="7"/>
    <n v="2023"/>
    <n v="2"/>
  </r>
  <r>
    <s v="1693"/>
    <d v="2022-06-28T00:00:00"/>
    <n v="20"/>
    <s v="Company T"/>
    <x v="0"/>
    <x v="0"/>
    <s v="Arizona"/>
    <x v="1"/>
    <n v="289"/>
    <n v="8"/>
    <n v="2312"/>
    <n v="3"/>
  </r>
  <r>
    <s v="1700"/>
    <d v="2022-07-03T00:00:00"/>
    <n v="12"/>
    <s v="Company L"/>
    <x v="3"/>
    <x v="2"/>
    <s v="New Mexico"/>
    <x v="1"/>
    <n v="289"/>
    <n v="5"/>
    <n v="1445"/>
    <n v="5"/>
  </r>
  <r>
    <s v="1719"/>
    <d v="2022-07-12T00:00:00"/>
    <n v="5"/>
    <s v="Company E"/>
    <x v="4"/>
    <x v="2"/>
    <s v="Texas"/>
    <x v="1"/>
    <n v="289"/>
    <n v="0"/>
    <n v="0"/>
    <n v="2"/>
  </r>
  <r>
    <s v="1720"/>
    <d v="2022-07-12T00:00:00"/>
    <n v="1"/>
    <s v="Company A"/>
    <x v="4"/>
    <x v="2"/>
    <s v="Texas"/>
    <x v="1"/>
    <n v="289"/>
    <n v="3"/>
    <n v="867"/>
    <n v="2"/>
  </r>
  <r>
    <s v="1725"/>
    <d v="2022-07-14T00:00:00"/>
    <n v="4"/>
    <s v="Company D"/>
    <x v="2"/>
    <x v="0"/>
    <s v="Texas"/>
    <x v="1"/>
    <n v="289"/>
    <n v="8"/>
    <n v="2312"/>
    <n v="2"/>
  </r>
  <r>
    <s v="1736"/>
    <d v="2022-07-18T00:00:00"/>
    <n v="7"/>
    <s v="Company G"/>
    <x v="1"/>
    <x v="1"/>
    <s v="California"/>
    <x v="1"/>
    <n v="289"/>
    <n v="7"/>
    <n v="2023"/>
    <n v="4"/>
  </r>
  <r>
    <s v="1741"/>
    <d v="2022-07-20T00:00:00"/>
    <n v="17"/>
    <s v="Company Q"/>
    <x v="6"/>
    <x v="0"/>
    <s v="Arizona"/>
    <x v="1"/>
    <n v="289"/>
    <n v="2"/>
    <n v="578"/>
    <n v="5"/>
  </r>
  <r>
    <s v="1742"/>
    <d v="2022-07-21T00:00:00"/>
    <n v="14"/>
    <s v="Company N"/>
    <x v="5"/>
    <x v="1"/>
    <s v="New Mexico"/>
    <x v="1"/>
    <n v="289"/>
    <n v="9"/>
    <n v="2601"/>
    <n v="6"/>
  </r>
  <r>
    <s v="1752"/>
    <d v="2022-07-25T00:00:00"/>
    <n v="6"/>
    <s v="Company F"/>
    <x v="7"/>
    <x v="3"/>
    <s v="California"/>
    <x v="1"/>
    <n v="289"/>
    <n v="7"/>
    <n v="2023"/>
    <n v="8"/>
  </r>
  <r>
    <s v="1755"/>
    <d v="2022-07-25T00:00:00"/>
    <n v="15"/>
    <s v="Company O"/>
    <x v="5"/>
    <x v="1"/>
    <s v="New Mexico"/>
    <x v="1"/>
    <n v="289"/>
    <n v="4"/>
    <n v="1156"/>
    <n v="6"/>
  </r>
  <r>
    <s v="1757"/>
    <d v="2022-07-25T00:00:00"/>
    <n v="4"/>
    <s v="Company D"/>
    <x v="2"/>
    <x v="0"/>
    <s v="Texas"/>
    <x v="1"/>
    <n v="289"/>
    <n v="2"/>
    <n v="578"/>
    <n v="2"/>
  </r>
  <r>
    <s v="1776"/>
    <d v="2022-08-05T00:00:00"/>
    <n v="2"/>
    <s v="Company B"/>
    <x v="2"/>
    <x v="0"/>
    <s v="Texas"/>
    <x v="1"/>
    <n v="289"/>
    <n v="8"/>
    <n v="2312"/>
    <n v="2"/>
  </r>
  <r>
    <s v="1780"/>
    <d v="2022-08-07T00:00:00"/>
    <n v="18"/>
    <s v="Company R"/>
    <x v="0"/>
    <x v="0"/>
    <s v="Arizona"/>
    <x v="1"/>
    <n v="289"/>
    <n v="0"/>
    <n v="0"/>
    <n v="3"/>
  </r>
  <r>
    <s v="1781"/>
    <d v="2022-08-07T00:00:00"/>
    <n v="19"/>
    <s v="Company S"/>
    <x v="6"/>
    <x v="0"/>
    <s v="Arizona"/>
    <x v="1"/>
    <n v="289"/>
    <n v="8"/>
    <n v="2312"/>
    <n v="5"/>
  </r>
  <r>
    <s v="1787"/>
    <d v="2022-08-09T00:00:00"/>
    <n v="15"/>
    <s v="Company O"/>
    <x v="5"/>
    <x v="1"/>
    <s v="New Mexico"/>
    <x v="1"/>
    <n v="289"/>
    <n v="8"/>
    <n v="2312"/>
    <n v="6"/>
  </r>
  <r>
    <s v="1796"/>
    <d v="2022-08-12T00:00:00"/>
    <n v="2"/>
    <s v="Company B"/>
    <x v="4"/>
    <x v="2"/>
    <s v="Texas"/>
    <x v="1"/>
    <n v="289"/>
    <n v="5"/>
    <n v="1445"/>
    <n v="2"/>
  </r>
  <r>
    <s v="1798"/>
    <d v="2022-08-12T00:00:00"/>
    <n v="13"/>
    <s v="Company M"/>
    <x v="5"/>
    <x v="1"/>
    <s v="New Mexico"/>
    <x v="1"/>
    <n v="289"/>
    <n v="4"/>
    <n v="1156"/>
    <n v="6"/>
  </r>
  <r>
    <s v="1810"/>
    <d v="2022-08-14T00:00:00"/>
    <n v="3"/>
    <s v="Company C"/>
    <x v="4"/>
    <x v="2"/>
    <s v="Texas"/>
    <x v="1"/>
    <n v="289"/>
    <n v="3"/>
    <n v="867"/>
    <n v="2"/>
  </r>
  <r>
    <s v="1822"/>
    <d v="2022-08-18T00:00:00"/>
    <n v="17"/>
    <s v="Company Q"/>
    <x v="6"/>
    <x v="0"/>
    <s v="Arizona"/>
    <x v="1"/>
    <n v="289"/>
    <n v="7"/>
    <n v="2023"/>
    <n v="5"/>
  </r>
  <r>
    <s v="1826"/>
    <d v="2022-08-19T00:00:00"/>
    <n v="18"/>
    <s v="Company R"/>
    <x v="0"/>
    <x v="0"/>
    <s v="Arizona"/>
    <x v="1"/>
    <n v="289"/>
    <n v="4"/>
    <n v="1156"/>
    <n v="3"/>
  </r>
  <r>
    <s v="1827"/>
    <d v="2022-08-19T00:00:00"/>
    <n v="2"/>
    <s v="Company B"/>
    <x v="2"/>
    <x v="0"/>
    <s v="Texas"/>
    <x v="1"/>
    <n v="289"/>
    <n v="2"/>
    <n v="578"/>
    <n v="2"/>
  </r>
  <r>
    <s v="1830"/>
    <d v="2022-08-20T00:00:00"/>
    <n v="5"/>
    <s v="Company E"/>
    <x v="2"/>
    <x v="0"/>
    <s v="Texas"/>
    <x v="1"/>
    <n v="289"/>
    <n v="2"/>
    <n v="578"/>
    <n v="2"/>
  </r>
  <r>
    <s v="1835"/>
    <d v="2022-08-21T00:00:00"/>
    <n v="5"/>
    <s v="Company E"/>
    <x v="4"/>
    <x v="2"/>
    <s v="Texas"/>
    <x v="1"/>
    <n v="289"/>
    <n v="3"/>
    <n v="867"/>
    <n v="2"/>
  </r>
  <r>
    <s v="1839"/>
    <d v="2022-08-22T00:00:00"/>
    <n v="19"/>
    <s v="Company S"/>
    <x v="6"/>
    <x v="0"/>
    <s v="Arizona"/>
    <x v="1"/>
    <n v="289"/>
    <n v="5"/>
    <n v="1445"/>
    <n v="5"/>
  </r>
  <r>
    <s v="1862"/>
    <d v="2022-08-30T00:00:00"/>
    <n v="10"/>
    <s v="Company J"/>
    <x v="7"/>
    <x v="3"/>
    <s v="California"/>
    <x v="1"/>
    <n v="289"/>
    <n v="3"/>
    <n v="867"/>
    <n v="8"/>
  </r>
  <r>
    <s v="1864"/>
    <d v="2022-09-01T00:00:00"/>
    <n v="16"/>
    <s v="Company P"/>
    <x v="6"/>
    <x v="0"/>
    <s v="Arizona"/>
    <x v="1"/>
    <n v="289"/>
    <n v="3"/>
    <n v="867"/>
    <n v="5"/>
  </r>
  <r>
    <s v="1867"/>
    <d v="2022-09-02T00:00:00"/>
    <n v="3"/>
    <s v="Company C"/>
    <x v="2"/>
    <x v="0"/>
    <s v="Texas"/>
    <x v="1"/>
    <n v="289"/>
    <n v="6"/>
    <n v="1734"/>
    <n v="2"/>
  </r>
  <r>
    <s v="1874"/>
    <d v="2022-09-06T00:00:00"/>
    <n v="9"/>
    <s v="Company I"/>
    <x v="7"/>
    <x v="3"/>
    <s v="California"/>
    <x v="1"/>
    <n v="289"/>
    <n v="2"/>
    <n v="578"/>
    <n v="8"/>
  </r>
  <r>
    <s v="1886"/>
    <d v="2022-09-08T00:00:00"/>
    <n v="10"/>
    <s v="Company J"/>
    <x v="1"/>
    <x v="1"/>
    <s v="California"/>
    <x v="1"/>
    <n v="289"/>
    <n v="2"/>
    <n v="578"/>
    <n v="4"/>
  </r>
  <r>
    <s v="1896"/>
    <d v="2022-09-12T00:00:00"/>
    <n v="20"/>
    <s v="Company T"/>
    <x v="0"/>
    <x v="0"/>
    <s v="Arizona"/>
    <x v="1"/>
    <n v="289"/>
    <n v="0"/>
    <n v="0"/>
    <n v="3"/>
  </r>
  <r>
    <s v="1912"/>
    <d v="2022-09-19T00:00:00"/>
    <n v="6"/>
    <s v="Company F"/>
    <x v="7"/>
    <x v="3"/>
    <s v="California"/>
    <x v="1"/>
    <n v="289"/>
    <n v="7"/>
    <n v="2023"/>
    <n v="8"/>
  </r>
  <r>
    <s v="1917"/>
    <d v="2022-09-20T00:00:00"/>
    <n v="4"/>
    <s v="Company D"/>
    <x v="2"/>
    <x v="0"/>
    <s v="Texas"/>
    <x v="1"/>
    <n v="289"/>
    <n v="8"/>
    <n v="2312"/>
    <n v="2"/>
  </r>
  <r>
    <s v="1925"/>
    <d v="2022-09-21T00:00:00"/>
    <n v="19"/>
    <s v="Company S"/>
    <x v="6"/>
    <x v="0"/>
    <s v="Arizona"/>
    <x v="1"/>
    <n v="289"/>
    <n v="1"/>
    <n v="289"/>
    <n v="5"/>
  </r>
  <r>
    <s v="1927"/>
    <d v="2022-09-22T00:00:00"/>
    <n v="6"/>
    <s v="Company F"/>
    <x v="1"/>
    <x v="1"/>
    <s v="California"/>
    <x v="1"/>
    <n v="289"/>
    <n v="2"/>
    <n v="578"/>
    <n v="4"/>
  </r>
  <r>
    <s v="1934"/>
    <d v="2022-09-25T00:00:00"/>
    <n v="6"/>
    <s v="Company F"/>
    <x v="1"/>
    <x v="1"/>
    <s v="California"/>
    <x v="1"/>
    <n v="289"/>
    <n v="8"/>
    <n v="2312"/>
    <n v="4"/>
  </r>
  <r>
    <s v="1935"/>
    <d v="2022-09-25T00:00:00"/>
    <n v="12"/>
    <s v="Company L"/>
    <x v="3"/>
    <x v="2"/>
    <s v="New Mexico"/>
    <x v="1"/>
    <n v="289"/>
    <n v="5"/>
    <n v="1445"/>
    <n v="5"/>
  </r>
  <r>
    <s v="1936"/>
    <d v="2022-09-26T00:00:00"/>
    <n v="17"/>
    <s v="Company Q"/>
    <x v="0"/>
    <x v="0"/>
    <s v="Arizona"/>
    <x v="1"/>
    <n v="289"/>
    <n v="6"/>
    <n v="1734"/>
    <n v="3"/>
  </r>
  <r>
    <s v="1937"/>
    <d v="2022-09-27T00:00:00"/>
    <n v="15"/>
    <s v="Company O"/>
    <x v="3"/>
    <x v="2"/>
    <s v="New Mexico"/>
    <x v="1"/>
    <n v="289"/>
    <n v="2"/>
    <n v="578"/>
    <n v="5"/>
  </r>
  <r>
    <s v="1938"/>
    <d v="2022-09-27T00:00:00"/>
    <n v="13"/>
    <s v="Company M"/>
    <x v="5"/>
    <x v="1"/>
    <s v="New Mexico"/>
    <x v="1"/>
    <n v="289"/>
    <n v="5"/>
    <n v="1445"/>
    <n v="6"/>
  </r>
  <r>
    <s v="1945"/>
    <d v="2022-09-29T00:00:00"/>
    <n v="19"/>
    <s v="Company S"/>
    <x v="6"/>
    <x v="0"/>
    <s v="Arizona"/>
    <x v="1"/>
    <n v="289"/>
    <n v="0"/>
    <n v="0"/>
    <n v="5"/>
  </r>
  <r>
    <s v="1948"/>
    <d v="2022-09-29T00:00:00"/>
    <n v="1"/>
    <s v="Company A"/>
    <x v="2"/>
    <x v="0"/>
    <s v="Texas"/>
    <x v="1"/>
    <n v="289"/>
    <n v="8"/>
    <n v="2312"/>
    <n v="2"/>
  </r>
  <r>
    <s v="1952"/>
    <d v="2022-10-01T00:00:00"/>
    <n v="8"/>
    <s v="Company H"/>
    <x v="7"/>
    <x v="3"/>
    <s v="California"/>
    <x v="1"/>
    <n v="289"/>
    <n v="5"/>
    <n v="1445"/>
    <n v="8"/>
  </r>
  <r>
    <s v="1957"/>
    <d v="2022-10-02T00:00:00"/>
    <n v="17"/>
    <s v="Company Q"/>
    <x v="6"/>
    <x v="0"/>
    <s v="Arizona"/>
    <x v="1"/>
    <n v="289"/>
    <n v="6"/>
    <n v="1734"/>
    <n v="5"/>
  </r>
  <r>
    <s v="1961"/>
    <d v="2022-10-04T00:00:00"/>
    <n v="9"/>
    <s v="Company I"/>
    <x v="7"/>
    <x v="3"/>
    <s v="California"/>
    <x v="1"/>
    <n v="289"/>
    <n v="8"/>
    <n v="2312"/>
    <n v="8"/>
  </r>
  <r>
    <s v="1963"/>
    <d v="2022-10-05T00:00:00"/>
    <n v="20"/>
    <s v="Company T"/>
    <x v="0"/>
    <x v="0"/>
    <s v="Arizona"/>
    <x v="1"/>
    <n v="289"/>
    <n v="1"/>
    <n v="289"/>
    <n v="3"/>
  </r>
  <r>
    <s v="1964"/>
    <d v="2022-10-05T00:00:00"/>
    <n v="4"/>
    <s v="Company D"/>
    <x v="2"/>
    <x v="0"/>
    <s v="Texas"/>
    <x v="1"/>
    <n v="289"/>
    <n v="3"/>
    <n v="867"/>
    <n v="2"/>
  </r>
  <r>
    <s v="1974"/>
    <d v="2022-10-06T00:00:00"/>
    <n v="19"/>
    <s v="Company S"/>
    <x v="6"/>
    <x v="0"/>
    <s v="Arizona"/>
    <x v="1"/>
    <n v="289"/>
    <n v="1"/>
    <n v="289"/>
    <n v="5"/>
  </r>
  <r>
    <s v="1981"/>
    <d v="2022-10-09T00:00:00"/>
    <n v="12"/>
    <s v="Company L"/>
    <x v="3"/>
    <x v="2"/>
    <s v="New Mexico"/>
    <x v="1"/>
    <n v="289"/>
    <n v="0"/>
    <n v="0"/>
    <n v="5"/>
  </r>
  <r>
    <s v="1987"/>
    <d v="2022-10-13T00:00:00"/>
    <n v="9"/>
    <s v="Company I"/>
    <x v="7"/>
    <x v="3"/>
    <s v="California"/>
    <x v="1"/>
    <n v="289"/>
    <n v="0"/>
    <n v="0"/>
    <n v="8"/>
  </r>
  <r>
    <s v="1989"/>
    <d v="2022-10-13T00:00:00"/>
    <n v="12"/>
    <s v="Company L"/>
    <x v="5"/>
    <x v="1"/>
    <s v="New Mexico"/>
    <x v="1"/>
    <n v="289"/>
    <n v="3"/>
    <n v="867"/>
    <n v="6"/>
  </r>
  <r>
    <s v="1999"/>
    <d v="2022-10-16T00:00:00"/>
    <n v="6"/>
    <s v="Company F"/>
    <x v="1"/>
    <x v="1"/>
    <s v="California"/>
    <x v="1"/>
    <n v="289"/>
    <n v="1"/>
    <n v="289"/>
    <n v="4"/>
  </r>
  <r>
    <s v="0001"/>
    <d v="2021-01-01T00:00:00"/>
    <n v="11"/>
    <s v="Company K"/>
    <x v="3"/>
    <x v="2"/>
    <s v="New Mexico"/>
    <x v="2"/>
    <n v="199"/>
    <n v="3"/>
    <n v="597"/>
    <n v="5"/>
  </r>
  <r>
    <s v="0006"/>
    <d v="2021-01-04T00:00:00"/>
    <n v="13"/>
    <s v="Company M"/>
    <x v="3"/>
    <x v="2"/>
    <s v="New Mexico"/>
    <x v="2"/>
    <n v="199"/>
    <n v="2"/>
    <n v="398"/>
    <n v="5"/>
  </r>
  <r>
    <s v="0008"/>
    <d v="2021-01-05T00:00:00"/>
    <n v="14"/>
    <s v="Company N"/>
    <x v="3"/>
    <x v="2"/>
    <s v="New Mexico"/>
    <x v="2"/>
    <n v="199"/>
    <n v="5"/>
    <n v="995"/>
    <n v="5"/>
  </r>
  <r>
    <s v="0010"/>
    <d v="2021-01-05T00:00:00"/>
    <n v="3"/>
    <s v="Company C"/>
    <x v="2"/>
    <x v="0"/>
    <s v="Texas"/>
    <x v="2"/>
    <n v="199"/>
    <n v="0"/>
    <n v="0"/>
    <n v="2"/>
  </r>
  <r>
    <s v="0013"/>
    <d v="2021-01-05T00:00:00"/>
    <n v="9"/>
    <s v="Company I"/>
    <x v="7"/>
    <x v="3"/>
    <s v="California"/>
    <x v="2"/>
    <n v="199"/>
    <n v="6"/>
    <n v="1194"/>
    <n v="8"/>
  </r>
  <r>
    <s v="0015"/>
    <d v="2021-01-05T00:00:00"/>
    <n v="6"/>
    <s v="Company F"/>
    <x v="7"/>
    <x v="3"/>
    <s v="California"/>
    <x v="2"/>
    <n v="199"/>
    <n v="2"/>
    <n v="398"/>
    <n v="8"/>
  </r>
  <r>
    <s v="0027"/>
    <d v="2021-01-08T00:00:00"/>
    <n v="14"/>
    <s v="Company N"/>
    <x v="5"/>
    <x v="1"/>
    <s v="New Mexico"/>
    <x v="2"/>
    <n v="199"/>
    <n v="1"/>
    <n v="199"/>
    <n v="6"/>
  </r>
  <r>
    <s v="0029"/>
    <d v="2021-01-09T00:00:00"/>
    <n v="10"/>
    <s v="Company J"/>
    <x v="1"/>
    <x v="1"/>
    <s v="California"/>
    <x v="2"/>
    <n v="199"/>
    <n v="3"/>
    <n v="597"/>
    <n v="4"/>
  </r>
  <r>
    <s v="0034"/>
    <d v="2021-01-11T00:00:00"/>
    <n v="1"/>
    <s v="Company A"/>
    <x v="4"/>
    <x v="2"/>
    <s v="Texas"/>
    <x v="2"/>
    <n v="199"/>
    <n v="8"/>
    <n v="1592"/>
    <n v="2"/>
  </r>
  <r>
    <s v="0035"/>
    <d v="2021-01-11T00:00:00"/>
    <n v="16"/>
    <s v="Company P"/>
    <x v="0"/>
    <x v="0"/>
    <s v="Arizona"/>
    <x v="2"/>
    <n v="199"/>
    <n v="5"/>
    <n v="995"/>
    <n v="3"/>
  </r>
  <r>
    <s v="0057"/>
    <d v="2021-01-15T00:00:00"/>
    <n v="8"/>
    <s v="Company H"/>
    <x v="1"/>
    <x v="1"/>
    <s v="California"/>
    <x v="2"/>
    <n v="199"/>
    <n v="5"/>
    <n v="995"/>
    <n v="4"/>
  </r>
  <r>
    <s v="0060"/>
    <d v="2021-01-15T00:00:00"/>
    <n v="10"/>
    <s v="Company J"/>
    <x v="1"/>
    <x v="1"/>
    <s v="California"/>
    <x v="2"/>
    <n v="199"/>
    <n v="3"/>
    <n v="597"/>
    <n v="4"/>
  </r>
  <r>
    <s v="0065"/>
    <d v="2021-01-19T00:00:00"/>
    <n v="9"/>
    <s v="Company I"/>
    <x v="1"/>
    <x v="1"/>
    <s v="California"/>
    <x v="2"/>
    <n v="199"/>
    <n v="6"/>
    <n v="1194"/>
    <n v="4"/>
  </r>
  <r>
    <s v="0068"/>
    <d v="2021-01-20T00:00:00"/>
    <n v="13"/>
    <s v="Company M"/>
    <x v="5"/>
    <x v="1"/>
    <s v="New Mexico"/>
    <x v="2"/>
    <n v="199"/>
    <n v="8"/>
    <n v="1592"/>
    <n v="6"/>
  </r>
  <r>
    <s v="0069"/>
    <d v="2021-01-21T00:00:00"/>
    <n v="19"/>
    <s v="Company S"/>
    <x v="0"/>
    <x v="0"/>
    <s v="Arizona"/>
    <x v="2"/>
    <n v="199"/>
    <n v="8"/>
    <n v="1592"/>
    <n v="3"/>
  </r>
  <r>
    <s v="0070"/>
    <d v="2021-01-21T00:00:00"/>
    <n v="6"/>
    <s v="Company F"/>
    <x v="1"/>
    <x v="1"/>
    <s v="California"/>
    <x v="2"/>
    <n v="199"/>
    <n v="0"/>
    <n v="0"/>
    <n v="4"/>
  </r>
  <r>
    <s v="0089"/>
    <d v="2021-01-27T00:00:00"/>
    <n v="8"/>
    <s v="Company H"/>
    <x v="7"/>
    <x v="3"/>
    <s v="California"/>
    <x v="2"/>
    <n v="199"/>
    <n v="5"/>
    <n v="995"/>
    <n v="8"/>
  </r>
  <r>
    <s v="0094"/>
    <d v="2021-01-29T00:00:00"/>
    <n v="8"/>
    <s v="Company H"/>
    <x v="7"/>
    <x v="3"/>
    <s v="California"/>
    <x v="2"/>
    <n v="199"/>
    <n v="2"/>
    <n v="398"/>
    <n v="8"/>
  </r>
  <r>
    <s v="0099"/>
    <d v="2021-01-30T00:00:00"/>
    <n v="8"/>
    <s v="Company H"/>
    <x v="1"/>
    <x v="1"/>
    <s v="California"/>
    <x v="2"/>
    <n v="199"/>
    <n v="9"/>
    <n v="1791"/>
    <n v="4"/>
  </r>
  <r>
    <s v="0100"/>
    <d v="2021-01-30T00:00:00"/>
    <n v="12"/>
    <s v="Company L"/>
    <x v="3"/>
    <x v="2"/>
    <s v="New Mexico"/>
    <x v="2"/>
    <n v="199"/>
    <n v="5"/>
    <n v="995"/>
    <n v="5"/>
  </r>
  <r>
    <s v="0110"/>
    <d v="2021-02-03T00:00:00"/>
    <n v="16"/>
    <s v="Company P"/>
    <x v="6"/>
    <x v="0"/>
    <s v="Arizona"/>
    <x v="2"/>
    <n v="199"/>
    <n v="6"/>
    <n v="1194"/>
    <n v="5"/>
  </r>
  <r>
    <s v="0119"/>
    <d v="2021-02-06T00:00:00"/>
    <n v="5"/>
    <s v="Company E"/>
    <x v="2"/>
    <x v="0"/>
    <s v="Texas"/>
    <x v="2"/>
    <n v="199"/>
    <n v="2"/>
    <n v="398"/>
    <n v="2"/>
  </r>
  <r>
    <s v="0121"/>
    <d v="2021-02-07T00:00:00"/>
    <n v="15"/>
    <s v="Company O"/>
    <x v="3"/>
    <x v="2"/>
    <s v="New Mexico"/>
    <x v="2"/>
    <n v="199"/>
    <n v="3"/>
    <n v="597"/>
    <n v="5"/>
  </r>
  <r>
    <s v="0128"/>
    <d v="2021-02-09T00:00:00"/>
    <n v="11"/>
    <s v="Company K"/>
    <x v="5"/>
    <x v="1"/>
    <s v="New Mexico"/>
    <x v="2"/>
    <n v="199"/>
    <n v="0"/>
    <n v="0"/>
    <n v="6"/>
  </r>
  <r>
    <s v="0129"/>
    <d v="2021-02-10T00:00:00"/>
    <n v="6"/>
    <s v="Company F"/>
    <x v="7"/>
    <x v="3"/>
    <s v="California"/>
    <x v="2"/>
    <n v="199"/>
    <n v="8"/>
    <n v="1592"/>
    <n v="8"/>
  </r>
  <r>
    <s v="0130"/>
    <d v="2021-02-11T00:00:00"/>
    <n v="16"/>
    <s v="Company P"/>
    <x v="6"/>
    <x v="0"/>
    <s v="Arizona"/>
    <x v="2"/>
    <n v="199"/>
    <n v="0"/>
    <n v="0"/>
    <n v="5"/>
  </r>
  <r>
    <s v="0136"/>
    <d v="2021-02-13T00:00:00"/>
    <n v="6"/>
    <s v="Company F"/>
    <x v="1"/>
    <x v="1"/>
    <s v="California"/>
    <x v="2"/>
    <n v="199"/>
    <n v="9"/>
    <n v="1791"/>
    <n v="4"/>
  </r>
  <r>
    <s v="0145"/>
    <d v="2021-02-13T00:00:00"/>
    <n v="6"/>
    <s v="Company F"/>
    <x v="7"/>
    <x v="3"/>
    <s v="California"/>
    <x v="2"/>
    <n v="199"/>
    <n v="6"/>
    <n v="1194"/>
    <n v="8"/>
  </r>
  <r>
    <s v="0146"/>
    <d v="2021-02-13T00:00:00"/>
    <n v="8"/>
    <s v="Company H"/>
    <x v="1"/>
    <x v="1"/>
    <s v="California"/>
    <x v="2"/>
    <n v="199"/>
    <n v="2"/>
    <n v="398"/>
    <n v="4"/>
  </r>
  <r>
    <s v="0150"/>
    <d v="2021-02-13T00:00:00"/>
    <n v="8"/>
    <s v="Company H"/>
    <x v="1"/>
    <x v="1"/>
    <s v="California"/>
    <x v="2"/>
    <n v="199"/>
    <n v="1"/>
    <n v="199"/>
    <n v="4"/>
  </r>
  <r>
    <s v="0151"/>
    <d v="2021-02-13T00:00:00"/>
    <n v="20"/>
    <s v="Company T"/>
    <x v="6"/>
    <x v="0"/>
    <s v="Arizona"/>
    <x v="2"/>
    <n v="199"/>
    <n v="8"/>
    <n v="1592"/>
    <n v="5"/>
  </r>
  <r>
    <s v="0155"/>
    <d v="2021-02-15T00:00:00"/>
    <n v="15"/>
    <s v="Company O"/>
    <x v="3"/>
    <x v="2"/>
    <s v="New Mexico"/>
    <x v="2"/>
    <n v="199"/>
    <n v="9"/>
    <n v="1791"/>
    <n v="5"/>
  </r>
  <r>
    <s v="0158"/>
    <d v="2021-02-16T00:00:00"/>
    <n v="11"/>
    <s v="Company K"/>
    <x v="5"/>
    <x v="1"/>
    <s v="New Mexico"/>
    <x v="2"/>
    <n v="199"/>
    <n v="4"/>
    <n v="796"/>
    <n v="6"/>
  </r>
  <r>
    <s v="0160"/>
    <d v="2021-02-16T00:00:00"/>
    <n v="1"/>
    <s v="Company A"/>
    <x v="2"/>
    <x v="0"/>
    <s v="Texas"/>
    <x v="2"/>
    <n v="199"/>
    <n v="9"/>
    <n v="1791"/>
    <n v="2"/>
  </r>
  <r>
    <s v="0161"/>
    <d v="2021-02-16T00:00:00"/>
    <n v="8"/>
    <s v="Company H"/>
    <x v="1"/>
    <x v="1"/>
    <s v="California"/>
    <x v="2"/>
    <n v="199"/>
    <n v="2"/>
    <n v="398"/>
    <n v="4"/>
  </r>
  <r>
    <s v="0176"/>
    <d v="2021-02-21T00:00:00"/>
    <n v="13"/>
    <s v="Company M"/>
    <x v="5"/>
    <x v="1"/>
    <s v="New Mexico"/>
    <x v="2"/>
    <n v="199"/>
    <n v="6"/>
    <n v="1194"/>
    <n v="6"/>
  </r>
  <r>
    <s v="0183"/>
    <d v="2021-02-22T00:00:00"/>
    <n v="10"/>
    <s v="Company J"/>
    <x v="7"/>
    <x v="3"/>
    <s v="California"/>
    <x v="2"/>
    <n v="199"/>
    <n v="2"/>
    <n v="398"/>
    <n v="8"/>
  </r>
  <r>
    <s v="0188"/>
    <d v="2021-02-24T00:00:00"/>
    <n v="17"/>
    <s v="Company Q"/>
    <x v="0"/>
    <x v="0"/>
    <s v="Arizona"/>
    <x v="2"/>
    <n v="199"/>
    <n v="6"/>
    <n v="1194"/>
    <n v="3"/>
  </r>
  <r>
    <s v="0190"/>
    <d v="2021-02-25T00:00:00"/>
    <n v="5"/>
    <s v="Company E"/>
    <x v="2"/>
    <x v="0"/>
    <s v="Texas"/>
    <x v="2"/>
    <n v="199"/>
    <n v="5"/>
    <n v="995"/>
    <n v="2"/>
  </r>
  <r>
    <s v="0194"/>
    <d v="2021-02-27T00:00:00"/>
    <n v="4"/>
    <s v="Company D"/>
    <x v="2"/>
    <x v="0"/>
    <s v="Texas"/>
    <x v="2"/>
    <n v="199"/>
    <n v="0"/>
    <n v="0"/>
    <n v="2"/>
  </r>
  <r>
    <s v="0200"/>
    <d v="2021-03-03T00:00:00"/>
    <n v="12"/>
    <s v="Company L"/>
    <x v="5"/>
    <x v="1"/>
    <s v="New Mexico"/>
    <x v="2"/>
    <n v="199"/>
    <n v="4"/>
    <n v="796"/>
    <n v="6"/>
  </r>
  <r>
    <s v="0202"/>
    <d v="2021-03-05T00:00:00"/>
    <n v="9"/>
    <s v="Company I"/>
    <x v="7"/>
    <x v="3"/>
    <s v="California"/>
    <x v="2"/>
    <n v="199"/>
    <n v="0"/>
    <n v="0"/>
    <n v="8"/>
  </r>
  <r>
    <s v="0204"/>
    <d v="2021-03-07T00:00:00"/>
    <n v="2"/>
    <s v="Company B"/>
    <x v="2"/>
    <x v="0"/>
    <s v="Texas"/>
    <x v="2"/>
    <n v="199"/>
    <n v="2"/>
    <n v="398"/>
    <n v="2"/>
  </r>
  <r>
    <s v="0205"/>
    <d v="2021-03-08T00:00:00"/>
    <n v="19"/>
    <s v="Company S"/>
    <x v="0"/>
    <x v="0"/>
    <s v="Arizona"/>
    <x v="2"/>
    <n v="199"/>
    <n v="5"/>
    <n v="995"/>
    <n v="3"/>
  </r>
  <r>
    <s v="0207"/>
    <d v="2021-03-08T00:00:00"/>
    <n v="18"/>
    <s v="Company R"/>
    <x v="6"/>
    <x v="0"/>
    <s v="Arizona"/>
    <x v="2"/>
    <n v="199"/>
    <n v="6"/>
    <n v="1194"/>
    <n v="5"/>
  </r>
  <r>
    <s v="0208"/>
    <d v="2021-03-08T00:00:00"/>
    <n v="6"/>
    <s v="Company F"/>
    <x v="7"/>
    <x v="3"/>
    <s v="California"/>
    <x v="2"/>
    <n v="199"/>
    <n v="9"/>
    <n v="1791"/>
    <n v="8"/>
  </r>
  <r>
    <s v="0212"/>
    <d v="2021-03-08T00:00:00"/>
    <n v="2"/>
    <s v="Company B"/>
    <x v="2"/>
    <x v="0"/>
    <s v="Texas"/>
    <x v="2"/>
    <n v="199"/>
    <n v="0"/>
    <n v="0"/>
    <n v="2"/>
  </r>
  <r>
    <s v="0215"/>
    <d v="2021-03-11T00:00:00"/>
    <n v="3"/>
    <s v="Company C"/>
    <x v="2"/>
    <x v="0"/>
    <s v="Texas"/>
    <x v="2"/>
    <n v="199"/>
    <n v="3"/>
    <n v="597"/>
    <n v="2"/>
  </r>
  <r>
    <s v="0222"/>
    <d v="2021-03-11T00:00:00"/>
    <n v="4"/>
    <s v="Company D"/>
    <x v="2"/>
    <x v="0"/>
    <s v="Texas"/>
    <x v="2"/>
    <n v="199"/>
    <n v="8"/>
    <n v="1592"/>
    <n v="2"/>
  </r>
  <r>
    <s v="0231"/>
    <d v="2021-03-15T00:00:00"/>
    <n v="19"/>
    <s v="Company S"/>
    <x v="6"/>
    <x v="0"/>
    <s v="Arizona"/>
    <x v="2"/>
    <n v="199"/>
    <n v="6"/>
    <n v="1194"/>
    <n v="5"/>
  </r>
  <r>
    <s v="0234"/>
    <d v="2021-03-16T00:00:00"/>
    <n v="15"/>
    <s v="Company O"/>
    <x v="5"/>
    <x v="1"/>
    <s v="New Mexico"/>
    <x v="2"/>
    <n v="199"/>
    <n v="2"/>
    <n v="398"/>
    <n v="6"/>
  </r>
  <r>
    <s v="0238"/>
    <d v="2021-03-16T00:00:00"/>
    <n v="7"/>
    <s v="Company G"/>
    <x v="7"/>
    <x v="3"/>
    <s v="California"/>
    <x v="2"/>
    <n v="199"/>
    <n v="3"/>
    <n v="597"/>
    <n v="8"/>
  </r>
  <r>
    <s v="0240"/>
    <d v="2021-03-16T00:00:00"/>
    <n v="18"/>
    <s v="Company R"/>
    <x v="0"/>
    <x v="0"/>
    <s v="Arizona"/>
    <x v="2"/>
    <n v="199"/>
    <n v="5"/>
    <n v="995"/>
    <n v="3"/>
  </r>
  <r>
    <s v="0243"/>
    <d v="2021-03-17T00:00:00"/>
    <n v="20"/>
    <s v="Company T"/>
    <x v="6"/>
    <x v="0"/>
    <s v="Arizona"/>
    <x v="2"/>
    <n v="199"/>
    <n v="4"/>
    <n v="796"/>
    <n v="5"/>
  </r>
  <r>
    <s v="0252"/>
    <d v="2021-03-18T00:00:00"/>
    <n v="14"/>
    <s v="Company N"/>
    <x v="3"/>
    <x v="2"/>
    <s v="New Mexico"/>
    <x v="2"/>
    <n v="199"/>
    <n v="2"/>
    <n v="398"/>
    <n v="5"/>
  </r>
  <r>
    <s v="0255"/>
    <d v="2021-03-19T00:00:00"/>
    <n v="5"/>
    <s v="Company E"/>
    <x v="4"/>
    <x v="2"/>
    <s v="Texas"/>
    <x v="2"/>
    <n v="199"/>
    <n v="9"/>
    <n v="1791"/>
    <n v="2"/>
  </r>
  <r>
    <s v="0261"/>
    <d v="2021-03-21T00:00:00"/>
    <n v="4"/>
    <s v="Company D"/>
    <x v="2"/>
    <x v="0"/>
    <s v="Texas"/>
    <x v="2"/>
    <n v="199"/>
    <n v="8"/>
    <n v="1592"/>
    <n v="2"/>
  </r>
  <r>
    <s v="0264"/>
    <d v="2021-03-24T00:00:00"/>
    <n v="17"/>
    <s v="Company Q"/>
    <x v="0"/>
    <x v="0"/>
    <s v="Arizona"/>
    <x v="2"/>
    <n v="199"/>
    <n v="1"/>
    <n v="199"/>
    <n v="3"/>
  </r>
  <r>
    <s v="0267"/>
    <d v="2021-03-25T00:00:00"/>
    <n v="16"/>
    <s v="Company P"/>
    <x v="6"/>
    <x v="0"/>
    <s v="Arizona"/>
    <x v="2"/>
    <n v="199"/>
    <n v="8"/>
    <n v="1592"/>
    <n v="5"/>
  </r>
  <r>
    <s v="0268"/>
    <d v="2021-03-25T00:00:00"/>
    <n v="4"/>
    <s v="Company D"/>
    <x v="4"/>
    <x v="2"/>
    <s v="Texas"/>
    <x v="2"/>
    <n v="199"/>
    <n v="1"/>
    <n v="199"/>
    <n v="2"/>
  </r>
  <r>
    <s v="0269"/>
    <d v="2021-03-25T00:00:00"/>
    <n v="20"/>
    <s v="Company T"/>
    <x v="6"/>
    <x v="0"/>
    <s v="Arizona"/>
    <x v="2"/>
    <n v="199"/>
    <n v="6"/>
    <n v="1194"/>
    <n v="5"/>
  </r>
  <r>
    <s v="0271"/>
    <d v="2021-03-25T00:00:00"/>
    <n v="14"/>
    <s v="Company N"/>
    <x v="3"/>
    <x v="2"/>
    <s v="New Mexico"/>
    <x v="2"/>
    <n v="199"/>
    <n v="3"/>
    <n v="597"/>
    <n v="5"/>
  </r>
  <r>
    <s v="0273"/>
    <d v="2021-03-25T00:00:00"/>
    <n v="3"/>
    <s v="Company C"/>
    <x v="4"/>
    <x v="2"/>
    <s v="Texas"/>
    <x v="2"/>
    <n v="199"/>
    <n v="9"/>
    <n v="1791"/>
    <n v="2"/>
  </r>
  <r>
    <s v="0274"/>
    <d v="2021-03-25T00:00:00"/>
    <n v="7"/>
    <s v="Company G"/>
    <x v="7"/>
    <x v="3"/>
    <s v="California"/>
    <x v="2"/>
    <n v="199"/>
    <n v="3"/>
    <n v="597"/>
    <n v="8"/>
  </r>
  <r>
    <s v="0280"/>
    <d v="2021-03-26T00:00:00"/>
    <n v="16"/>
    <s v="Company P"/>
    <x v="0"/>
    <x v="0"/>
    <s v="Arizona"/>
    <x v="2"/>
    <n v="199"/>
    <n v="1"/>
    <n v="199"/>
    <n v="3"/>
  </r>
  <r>
    <s v="0293"/>
    <d v="2021-03-30T00:00:00"/>
    <n v="2"/>
    <s v="Company B"/>
    <x v="2"/>
    <x v="0"/>
    <s v="Texas"/>
    <x v="2"/>
    <n v="199"/>
    <n v="7"/>
    <n v="1393"/>
    <n v="2"/>
  </r>
  <r>
    <s v="0299"/>
    <d v="2021-03-31T00:00:00"/>
    <n v="12"/>
    <s v="Company L"/>
    <x v="3"/>
    <x v="2"/>
    <s v="New Mexico"/>
    <x v="2"/>
    <n v="199"/>
    <n v="8"/>
    <n v="1592"/>
    <n v="5"/>
  </r>
  <r>
    <s v="0307"/>
    <d v="2021-04-05T00:00:00"/>
    <n v="4"/>
    <s v="Company D"/>
    <x v="2"/>
    <x v="0"/>
    <s v="Texas"/>
    <x v="2"/>
    <n v="199"/>
    <n v="5"/>
    <n v="995"/>
    <n v="2"/>
  </r>
  <r>
    <s v="0308"/>
    <d v="2021-04-05T00:00:00"/>
    <n v="12"/>
    <s v="Company L"/>
    <x v="3"/>
    <x v="2"/>
    <s v="New Mexico"/>
    <x v="2"/>
    <n v="199"/>
    <n v="6"/>
    <n v="1194"/>
    <n v="5"/>
  </r>
  <r>
    <s v="0312"/>
    <d v="2021-04-07T00:00:00"/>
    <n v="18"/>
    <s v="Company R"/>
    <x v="6"/>
    <x v="0"/>
    <s v="Arizona"/>
    <x v="2"/>
    <n v="199"/>
    <n v="0"/>
    <n v="0"/>
    <n v="5"/>
  </r>
  <r>
    <s v="0313"/>
    <d v="2021-04-07T00:00:00"/>
    <n v="7"/>
    <s v="Company G"/>
    <x v="7"/>
    <x v="3"/>
    <s v="California"/>
    <x v="2"/>
    <n v="199"/>
    <n v="9"/>
    <n v="1791"/>
    <n v="8"/>
  </r>
  <r>
    <s v="0314"/>
    <d v="2021-04-07T00:00:00"/>
    <n v="2"/>
    <s v="Company B"/>
    <x v="4"/>
    <x v="2"/>
    <s v="Texas"/>
    <x v="2"/>
    <n v="199"/>
    <n v="5"/>
    <n v="995"/>
    <n v="2"/>
  </r>
  <r>
    <s v="0315"/>
    <d v="2021-04-08T00:00:00"/>
    <n v="19"/>
    <s v="Company S"/>
    <x v="6"/>
    <x v="0"/>
    <s v="Arizona"/>
    <x v="2"/>
    <n v="199"/>
    <n v="9"/>
    <n v="1791"/>
    <n v="5"/>
  </r>
  <r>
    <s v="0316"/>
    <d v="2021-04-08T00:00:00"/>
    <n v="19"/>
    <s v="Company S"/>
    <x v="6"/>
    <x v="0"/>
    <s v="Arizona"/>
    <x v="2"/>
    <n v="199"/>
    <n v="8"/>
    <n v="1592"/>
    <n v="5"/>
  </r>
  <r>
    <s v="0317"/>
    <d v="2021-04-09T00:00:00"/>
    <n v="2"/>
    <s v="Company B"/>
    <x v="2"/>
    <x v="0"/>
    <s v="Texas"/>
    <x v="2"/>
    <n v="199"/>
    <n v="3"/>
    <n v="597"/>
    <n v="2"/>
  </r>
  <r>
    <s v="0318"/>
    <d v="2021-04-09T00:00:00"/>
    <n v="5"/>
    <s v="Company E"/>
    <x v="4"/>
    <x v="2"/>
    <s v="Texas"/>
    <x v="2"/>
    <n v="199"/>
    <n v="4"/>
    <n v="796"/>
    <n v="2"/>
  </r>
  <r>
    <s v="0327"/>
    <d v="2021-04-14T00:00:00"/>
    <n v="9"/>
    <s v="Company I"/>
    <x v="1"/>
    <x v="1"/>
    <s v="California"/>
    <x v="2"/>
    <n v="199"/>
    <n v="9"/>
    <n v="1791"/>
    <n v="4"/>
  </r>
  <r>
    <s v="0328"/>
    <d v="2021-04-14T00:00:00"/>
    <n v="8"/>
    <s v="Company H"/>
    <x v="7"/>
    <x v="3"/>
    <s v="California"/>
    <x v="2"/>
    <n v="199"/>
    <n v="2"/>
    <n v="398"/>
    <n v="8"/>
  </r>
  <r>
    <s v="0332"/>
    <d v="2021-04-14T00:00:00"/>
    <n v="6"/>
    <s v="Company F"/>
    <x v="1"/>
    <x v="1"/>
    <s v="California"/>
    <x v="2"/>
    <n v="199"/>
    <n v="8"/>
    <n v="1592"/>
    <n v="4"/>
  </r>
  <r>
    <s v="0344"/>
    <d v="2021-04-19T00:00:00"/>
    <n v="9"/>
    <s v="Company I"/>
    <x v="7"/>
    <x v="3"/>
    <s v="California"/>
    <x v="2"/>
    <n v="199"/>
    <n v="6"/>
    <n v="1194"/>
    <n v="8"/>
  </r>
  <r>
    <s v="0345"/>
    <d v="2021-04-19T00:00:00"/>
    <n v="13"/>
    <s v="Company M"/>
    <x v="3"/>
    <x v="2"/>
    <s v="New Mexico"/>
    <x v="2"/>
    <n v="199"/>
    <n v="2"/>
    <n v="398"/>
    <n v="5"/>
  </r>
  <r>
    <s v="0347"/>
    <d v="2021-04-19T00:00:00"/>
    <n v="18"/>
    <s v="Company R"/>
    <x v="6"/>
    <x v="0"/>
    <s v="Arizona"/>
    <x v="2"/>
    <n v="199"/>
    <n v="0"/>
    <n v="0"/>
    <n v="5"/>
  </r>
  <r>
    <s v="0356"/>
    <d v="2021-04-21T00:00:00"/>
    <n v="18"/>
    <s v="Company R"/>
    <x v="0"/>
    <x v="0"/>
    <s v="Arizona"/>
    <x v="2"/>
    <n v="199"/>
    <n v="8"/>
    <n v="1592"/>
    <n v="3"/>
  </r>
  <r>
    <s v="0360"/>
    <d v="2021-04-22T00:00:00"/>
    <n v="19"/>
    <s v="Company S"/>
    <x v="6"/>
    <x v="0"/>
    <s v="Arizona"/>
    <x v="2"/>
    <n v="199"/>
    <n v="9"/>
    <n v="1791"/>
    <n v="5"/>
  </r>
  <r>
    <s v="0370"/>
    <d v="2021-04-24T00:00:00"/>
    <n v="15"/>
    <s v="Company O"/>
    <x v="5"/>
    <x v="1"/>
    <s v="New Mexico"/>
    <x v="2"/>
    <n v="199"/>
    <n v="4"/>
    <n v="796"/>
    <n v="6"/>
  </r>
  <r>
    <s v="0373"/>
    <d v="2021-04-24T00:00:00"/>
    <n v="15"/>
    <s v="Company O"/>
    <x v="3"/>
    <x v="2"/>
    <s v="New Mexico"/>
    <x v="2"/>
    <n v="199"/>
    <n v="6"/>
    <n v="1194"/>
    <n v="5"/>
  </r>
  <r>
    <s v="0377"/>
    <d v="2021-04-25T00:00:00"/>
    <n v="12"/>
    <s v="Company L"/>
    <x v="5"/>
    <x v="1"/>
    <s v="New Mexico"/>
    <x v="2"/>
    <n v="199"/>
    <n v="6"/>
    <n v="1194"/>
    <n v="6"/>
  </r>
  <r>
    <s v="0391"/>
    <d v="2021-04-28T00:00:00"/>
    <n v="10"/>
    <s v="Company J"/>
    <x v="1"/>
    <x v="1"/>
    <s v="California"/>
    <x v="2"/>
    <n v="199"/>
    <n v="0"/>
    <n v="0"/>
    <n v="4"/>
  </r>
  <r>
    <s v="0394"/>
    <d v="2021-04-30T00:00:00"/>
    <n v="18"/>
    <s v="Company R"/>
    <x v="6"/>
    <x v="0"/>
    <s v="Arizona"/>
    <x v="2"/>
    <n v="199"/>
    <n v="3"/>
    <n v="597"/>
    <n v="5"/>
  </r>
  <r>
    <s v="0409"/>
    <d v="2021-05-06T00:00:00"/>
    <n v="16"/>
    <s v="Company P"/>
    <x v="6"/>
    <x v="0"/>
    <s v="Arizona"/>
    <x v="2"/>
    <n v="199"/>
    <n v="3"/>
    <n v="597"/>
    <n v="5"/>
  </r>
  <r>
    <s v="0413"/>
    <d v="2021-05-06T00:00:00"/>
    <n v="3"/>
    <s v="Company C"/>
    <x v="4"/>
    <x v="2"/>
    <s v="Texas"/>
    <x v="2"/>
    <n v="199"/>
    <n v="1"/>
    <n v="199"/>
    <n v="2"/>
  </r>
  <r>
    <s v="0416"/>
    <d v="2021-05-08T00:00:00"/>
    <n v="13"/>
    <s v="Company M"/>
    <x v="3"/>
    <x v="2"/>
    <s v="New Mexico"/>
    <x v="2"/>
    <n v="199"/>
    <n v="1"/>
    <n v="199"/>
    <n v="5"/>
  </r>
  <r>
    <s v="0419"/>
    <d v="2021-05-10T00:00:00"/>
    <n v="14"/>
    <s v="Company N"/>
    <x v="3"/>
    <x v="2"/>
    <s v="New Mexico"/>
    <x v="2"/>
    <n v="199"/>
    <n v="3"/>
    <n v="597"/>
    <n v="5"/>
  </r>
  <r>
    <s v="0426"/>
    <d v="2021-05-12T00:00:00"/>
    <n v="17"/>
    <s v="Company Q"/>
    <x v="0"/>
    <x v="0"/>
    <s v="Arizona"/>
    <x v="2"/>
    <n v="199"/>
    <n v="8"/>
    <n v="1592"/>
    <n v="3"/>
  </r>
  <r>
    <s v="0427"/>
    <d v="2021-05-13T00:00:00"/>
    <n v="5"/>
    <s v="Company E"/>
    <x v="2"/>
    <x v="0"/>
    <s v="Texas"/>
    <x v="2"/>
    <n v="199"/>
    <n v="6"/>
    <n v="1194"/>
    <n v="2"/>
  </r>
  <r>
    <s v="0436"/>
    <d v="2021-05-15T00:00:00"/>
    <n v="17"/>
    <s v="Company Q"/>
    <x v="0"/>
    <x v="0"/>
    <s v="Arizona"/>
    <x v="2"/>
    <n v="199"/>
    <n v="0"/>
    <n v="0"/>
    <n v="3"/>
  </r>
  <r>
    <s v="0441"/>
    <d v="2021-05-15T00:00:00"/>
    <n v="18"/>
    <s v="Company R"/>
    <x v="0"/>
    <x v="0"/>
    <s v="Arizona"/>
    <x v="2"/>
    <n v="199"/>
    <n v="6"/>
    <n v="1194"/>
    <n v="3"/>
  </r>
  <r>
    <s v="0445"/>
    <d v="2021-05-16T00:00:00"/>
    <n v="9"/>
    <s v="Company I"/>
    <x v="1"/>
    <x v="1"/>
    <s v="California"/>
    <x v="2"/>
    <n v="199"/>
    <n v="2"/>
    <n v="398"/>
    <n v="4"/>
  </r>
  <r>
    <s v="0458"/>
    <d v="2021-05-17T00:00:00"/>
    <n v="12"/>
    <s v="Company L"/>
    <x v="5"/>
    <x v="1"/>
    <s v="New Mexico"/>
    <x v="2"/>
    <n v="199"/>
    <n v="3"/>
    <n v="597"/>
    <n v="6"/>
  </r>
  <r>
    <s v="0467"/>
    <d v="2021-05-19T00:00:00"/>
    <n v="4"/>
    <s v="Company D"/>
    <x v="2"/>
    <x v="0"/>
    <s v="Texas"/>
    <x v="2"/>
    <n v="199"/>
    <n v="0"/>
    <n v="0"/>
    <n v="2"/>
  </r>
  <r>
    <s v="0475"/>
    <d v="2021-05-23T00:00:00"/>
    <n v="13"/>
    <s v="Company M"/>
    <x v="3"/>
    <x v="2"/>
    <s v="New Mexico"/>
    <x v="2"/>
    <n v="199"/>
    <n v="2"/>
    <n v="398"/>
    <n v="5"/>
  </r>
  <r>
    <s v="0484"/>
    <d v="2021-05-24T00:00:00"/>
    <n v="4"/>
    <s v="Company D"/>
    <x v="4"/>
    <x v="2"/>
    <s v="Texas"/>
    <x v="2"/>
    <n v="199"/>
    <n v="4"/>
    <n v="796"/>
    <n v="2"/>
  </r>
  <r>
    <s v="0485"/>
    <d v="2021-05-25T00:00:00"/>
    <n v="16"/>
    <s v="Company P"/>
    <x v="6"/>
    <x v="0"/>
    <s v="Arizona"/>
    <x v="2"/>
    <n v="199"/>
    <n v="7"/>
    <n v="1393"/>
    <n v="5"/>
  </r>
  <r>
    <s v="0495"/>
    <d v="2021-05-26T00:00:00"/>
    <n v="13"/>
    <s v="Company M"/>
    <x v="3"/>
    <x v="2"/>
    <s v="New Mexico"/>
    <x v="2"/>
    <n v="199"/>
    <n v="5"/>
    <n v="995"/>
    <n v="5"/>
  </r>
  <r>
    <s v="0499"/>
    <d v="2021-05-26T00:00:00"/>
    <n v="18"/>
    <s v="Company R"/>
    <x v="6"/>
    <x v="0"/>
    <s v="Arizona"/>
    <x v="2"/>
    <n v="199"/>
    <n v="8"/>
    <n v="1592"/>
    <n v="5"/>
  </r>
  <r>
    <s v="0501"/>
    <d v="2021-05-27T00:00:00"/>
    <n v="2"/>
    <s v="Company B"/>
    <x v="2"/>
    <x v="0"/>
    <s v="Texas"/>
    <x v="2"/>
    <n v="199"/>
    <n v="5"/>
    <n v="995"/>
    <n v="2"/>
  </r>
  <r>
    <s v="0502"/>
    <d v="2021-05-27T00:00:00"/>
    <n v="2"/>
    <s v="Company B"/>
    <x v="2"/>
    <x v="0"/>
    <s v="Texas"/>
    <x v="2"/>
    <n v="199"/>
    <n v="0"/>
    <n v="0"/>
    <n v="2"/>
  </r>
  <r>
    <s v="0504"/>
    <d v="2021-05-28T00:00:00"/>
    <n v="9"/>
    <s v="Company I"/>
    <x v="7"/>
    <x v="3"/>
    <s v="California"/>
    <x v="2"/>
    <n v="199"/>
    <n v="6"/>
    <n v="1194"/>
    <n v="8"/>
  </r>
  <r>
    <s v="0505"/>
    <d v="2021-05-29T00:00:00"/>
    <n v="12"/>
    <s v="Company L"/>
    <x v="5"/>
    <x v="1"/>
    <s v="New Mexico"/>
    <x v="2"/>
    <n v="199"/>
    <n v="2"/>
    <n v="398"/>
    <n v="6"/>
  </r>
  <r>
    <s v="0518"/>
    <d v="2021-06-02T00:00:00"/>
    <n v="9"/>
    <s v="Company I"/>
    <x v="7"/>
    <x v="3"/>
    <s v="California"/>
    <x v="2"/>
    <n v="199"/>
    <n v="7"/>
    <n v="1393"/>
    <n v="8"/>
  </r>
  <r>
    <s v="0519"/>
    <d v="2021-06-03T00:00:00"/>
    <n v="5"/>
    <s v="Company E"/>
    <x v="4"/>
    <x v="2"/>
    <s v="Texas"/>
    <x v="2"/>
    <n v="199"/>
    <n v="9"/>
    <n v="1791"/>
    <n v="2"/>
  </r>
  <r>
    <s v="0522"/>
    <d v="2021-06-03T00:00:00"/>
    <n v="12"/>
    <s v="Company L"/>
    <x v="5"/>
    <x v="1"/>
    <s v="New Mexico"/>
    <x v="2"/>
    <n v="199"/>
    <n v="9"/>
    <n v="1791"/>
    <n v="6"/>
  </r>
  <r>
    <s v="0529"/>
    <d v="2021-06-03T00:00:00"/>
    <n v="13"/>
    <s v="Company M"/>
    <x v="5"/>
    <x v="1"/>
    <s v="New Mexico"/>
    <x v="2"/>
    <n v="199"/>
    <n v="8"/>
    <n v="1592"/>
    <n v="6"/>
  </r>
  <r>
    <s v="0531"/>
    <d v="2021-06-04T00:00:00"/>
    <n v="8"/>
    <s v="Company H"/>
    <x v="7"/>
    <x v="3"/>
    <s v="California"/>
    <x v="2"/>
    <n v="199"/>
    <n v="3"/>
    <n v="597"/>
    <n v="8"/>
  </r>
  <r>
    <s v="0533"/>
    <d v="2021-06-05T00:00:00"/>
    <n v="8"/>
    <s v="Company H"/>
    <x v="1"/>
    <x v="1"/>
    <s v="California"/>
    <x v="2"/>
    <n v="199"/>
    <n v="5"/>
    <n v="995"/>
    <n v="4"/>
  </r>
  <r>
    <s v="0535"/>
    <d v="2021-06-05T00:00:00"/>
    <n v="19"/>
    <s v="Company S"/>
    <x v="6"/>
    <x v="0"/>
    <s v="Arizona"/>
    <x v="2"/>
    <n v="199"/>
    <n v="2"/>
    <n v="398"/>
    <n v="5"/>
  </r>
  <r>
    <s v="0537"/>
    <d v="2021-06-06T00:00:00"/>
    <n v="9"/>
    <s v="Company I"/>
    <x v="1"/>
    <x v="1"/>
    <s v="California"/>
    <x v="2"/>
    <n v="199"/>
    <n v="1"/>
    <n v="199"/>
    <n v="4"/>
  </r>
  <r>
    <s v="0538"/>
    <d v="2021-06-06T00:00:00"/>
    <n v="8"/>
    <s v="Company H"/>
    <x v="1"/>
    <x v="1"/>
    <s v="California"/>
    <x v="2"/>
    <n v="199"/>
    <n v="2"/>
    <n v="398"/>
    <n v="4"/>
  </r>
  <r>
    <s v="0539"/>
    <d v="2021-06-07T00:00:00"/>
    <n v="19"/>
    <s v="Company S"/>
    <x v="6"/>
    <x v="0"/>
    <s v="Arizona"/>
    <x v="2"/>
    <n v="199"/>
    <n v="0"/>
    <n v="0"/>
    <n v="5"/>
  </r>
  <r>
    <s v="0546"/>
    <d v="2021-06-10T00:00:00"/>
    <n v="4"/>
    <s v="Company D"/>
    <x v="4"/>
    <x v="2"/>
    <s v="Texas"/>
    <x v="2"/>
    <n v="199"/>
    <n v="5"/>
    <n v="995"/>
    <n v="2"/>
  </r>
  <r>
    <s v="0548"/>
    <d v="2021-06-11T00:00:00"/>
    <n v="2"/>
    <s v="Company B"/>
    <x v="4"/>
    <x v="2"/>
    <s v="Texas"/>
    <x v="2"/>
    <n v="199"/>
    <n v="7"/>
    <n v="1393"/>
    <n v="2"/>
  </r>
  <r>
    <s v="0549"/>
    <d v="2021-06-11T00:00:00"/>
    <n v="17"/>
    <s v="Company Q"/>
    <x v="6"/>
    <x v="0"/>
    <s v="Arizona"/>
    <x v="2"/>
    <n v="199"/>
    <n v="2"/>
    <n v="398"/>
    <n v="5"/>
  </r>
  <r>
    <s v="0554"/>
    <d v="2021-06-12T00:00:00"/>
    <n v="19"/>
    <s v="Company S"/>
    <x v="6"/>
    <x v="0"/>
    <s v="Arizona"/>
    <x v="2"/>
    <n v="199"/>
    <n v="4"/>
    <n v="796"/>
    <n v="5"/>
  </r>
  <r>
    <s v="0555"/>
    <d v="2021-06-12T00:00:00"/>
    <n v="6"/>
    <s v="Company F"/>
    <x v="7"/>
    <x v="3"/>
    <s v="California"/>
    <x v="2"/>
    <n v="199"/>
    <n v="9"/>
    <n v="1791"/>
    <n v="8"/>
  </r>
  <r>
    <s v="0565"/>
    <d v="2021-06-16T00:00:00"/>
    <n v="1"/>
    <s v="Company A"/>
    <x v="2"/>
    <x v="0"/>
    <s v="Texas"/>
    <x v="2"/>
    <n v="199"/>
    <n v="0"/>
    <n v="0"/>
    <n v="2"/>
  </r>
  <r>
    <s v="0585"/>
    <d v="2021-06-22T00:00:00"/>
    <n v="5"/>
    <s v="Company E"/>
    <x v="2"/>
    <x v="0"/>
    <s v="Texas"/>
    <x v="2"/>
    <n v="199"/>
    <n v="1"/>
    <n v="199"/>
    <n v="2"/>
  </r>
  <r>
    <s v="0595"/>
    <d v="2021-06-26T00:00:00"/>
    <n v="10"/>
    <s v="Company J"/>
    <x v="1"/>
    <x v="1"/>
    <s v="California"/>
    <x v="2"/>
    <n v="199"/>
    <n v="6"/>
    <n v="1194"/>
    <n v="4"/>
  </r>
  <r>
    <s v="0602"/>
    <d v="2021-06-28T00:00:00"/>
    <n v="12"/>
    <s v="Company L"/>
    <x v="5"/>
    <x v="1"/>
    <s v="New Mexico"/>
    <x v="2"/>
    <n v="199"/>
    <n v="3"/>
    <n v="597"/>
    <n v="6"/>
  </r>
  <r>
    <s v="0617"/>
    <d v="2021-07-06T00:00:00"/>
    <n v="19"/>
    <s v="Company S"/>
    <x v="0"/>
    <x v="0"/>
    <s v="Arizona"/>
    <x v="2"/>
    <n v="199"/>
    <n v="8"/>
    <n v="1592"/>
    <n v="3"/>
  </r>
  <r>
    <s v="0623"/>
    <d v="2021-07-07T00:00:00"/>
    <n v="14"/>
    <s v="Company N"/>
    <x v="5"/>
    <x v="1"/>
    <s v="New Mexico"/>
    <x v="2"/>
    <n v="199"/>
    <n v="0"/>
    <n v="0"/>
    <n v="6"/>
  </r>
  <r>
    <s v="0624"/>
    <d v="2021-07-08T00:00:00"/>
    <n v="3"/>
    <s v="Company C"/>
    <x v="4"/>
    <x v="2"/>
    <s v="Texas"/>
    <x v="2"/>
    <n v="199"/>
    <n v="4"/>
    <n v="796"/>
    <n v="2"/>
  </r>
  <r>
    <s v="0631"/>
    <d v="2021-07-10T00:00:00"/>
    <n v="13"/>
    <s v="Company M"/>
    <x v="3"/>
    <x v="2"/>
    <s v="New Mexico"/>
    <x v="2"/>
    <n v="199"/>
    <n v="4"/>
    <n v="796"/>
    <n v="5"/>
  </r>
  <r>
    <s v="0644"/>
    <d v="2021-07-16T00:00:00"/>
    <n v="6"/>
    <s v="Company F"/>
    <x v="1"/>
    <x v="1"/>
    <s v="California"/>
    <x v="2"/>
    <n v="199"/>
    <n v="6"/>
    <n v="1194"/>
    <n v="4"/>
  </r>
  <r>
    <s v="0646"/>
    <d v="2021-07-16T00:00:00"/>
    <n v="14"/>
    <s v="Company N"/>
    <x v="3"/>
    <x v="2"/>
    <s v="New Mexico"/>
    <x v="2"/>
    <n v="199"/>
    <n v="0"/>
    <n v="0"/>
    <n v="5"/>
  </r>
  <r>
    <s v="0648"/>
    <d v="2021-07-16T00:00:00"/>
    <n v="8"/>
    <s v="Company H"/>
    <x v="7"/>
    <x v="3"/>
    <s v="California"/>
    <x v="2"/>
    <n v="199"/>
    <n v="1"/>
    <n v="199"/>
    <n v="8"/>
  </r>
  <r>
    <s v="0659"/>
    <d v="2021-07-19T00:00:00"/>
    <n v="15"/>
    <s v="Company O"/>
    <x v="5"/>
    <x v="1"/>
    <s v="New Mexico"/>
    <x v="2"/>
    <n v="199"/>
    <n v="1"/>
    <n v="199"/>
    <n v="6"/>
  </r>
  <r>
    <s v="0670"/>
    <d v="2021-07-24T00:00:00"/>
    <n v="2"/>
    <s v="Company B"/>
    <x v="2"/>
    <x v="0"/>
    <s v="Texas"/>
    <x v="2"/>
    <n v="199"/>
    <n v="1"/>
    <n v="199"/>
    <n v="2"/>
  </r>
  <r>
    <s v="0685"/>
    <d v="2021-07-27T00:00:00"/>
    <n v="11"/>
    <s v="Company K"/>
    <x v="5"/>
    <x v="1"/>
    <s v="New Mexico"/>
    <x v="2"/>
    <n v="199"/>
    <n v="4"/>
    <n v="796"/>
    <n v="6"/>
  </r>
  <r>
    <s v="0688"/>
    <d v="2021-07-27T00:00:00"/>
    <n v="19"/>
    <s v="Company S"/>
    <x v="6"/>
    <x v="0"/>
    <s v="Arizona"/>
    <x v="2"/>
    <n v="199"/>
    <n v="5"/>
    <n v="995"/>
    <n v="5"/>
  </r>
  <r>
    <s v="0693"/>
    <d v="2021-07-27T00:00:00"/>
    <n v="11"/>
    <s v="Company K"/>
    <x v="3"/>
    <x v="2"/>
    <s v="New Mexico"/>
    <x v="2"/>
    <n v="199"/>
    <n v="5"/>
    <n v="995"/>
    <n v="5"/>
  </r>
  <r>
    <s v="0696"/>
    <d v="2021-07-29T00:00:00"/>
    <n v="3"/>
    <s v="Company C"/>
    <x v="4"/>
    <x v="2"/>
    <s v="Texas"/>
    <x v="2"/>
    <n v="199"/>
    <n v="8"/>
    <n v="1592"/>
    <n v="2"/>
  </r>
  <r>
    <s v="0699"/>
    <d v="2021-07-31T00:00:00"/>
    <n v="5"/>
    <s v="Company E"/>
    <x v="4"/>
    <x v="2"/>
    <s v="Texas"/>
    <x v="2"/>
    <n v="199"/>
    <n v="3"/>
    <n v="597"/>
    <n v="2"/>
  </r>
  <r>
    <s v="0702"/>
    <d v="2021-08-03T00:00:00"/>
    <n v="6"/>
    <s v="Company F"/>
    <x v="1"/>
    <x v="1"/>
    <s v="California"/>
    <x v="2"/>
    <n v="199"/>
    <n v="3"/>
    <n v="597"/>
    <n v="4"/>
  </r>
  <r>
    <s v="0707"/>
    <d v="2021-08-03T00:00:00"/>
    <n v="10"/>
    <s v="Company J"/>
    <x v="1"/>
    <x v="1"/>
    <s v="California"/>
    <x v="2"/>
    <n v="199"/>
    <n v="1"/>
    <n v="199"/>
    <n v="4"/>
  </r>
  <r>
    <s v="0711"/>
    <d v="2021-08-03T00:00:00"/>
    <n v="19"/>
    <s v="Company S"/>
    <x v="6"/>
    <x v="0"/>
    <s v="Arizona"/>
    <x v="2"/>
    <n v="199"/>
    <n v="1"/>
    <n v="199"/>
    <n v="5"/>
  </r>
  <r>
    <s v="0717"/>
    <d v="2021-08-05T00:00:00"/>
    <n v="12"/>
    <s v="Company L"/>
    <x v="3"/>
    <x v="2"/>
    <s v="New Mexico"/>
    <x v="2"/>
    <n v="199"/>
    <n v="2"/>
    <n v="398"/>
    <n v="5"/>
  </r>
  <r>
    <s v="0729"/>
    <d v="2021-08-09T00:00:00"/>
    <n v="6"/>
    <s v="Company F"/>
    <x v="1"/>
    <x v="1"/>
    <s v="California"/>
    <x v="2"/>
    <n v="199"/>
    <n v="7"/>
    <n v="1393"/>
    <n v="4"/>
  </r>
  <r>
    <s v="0740"/>
    <d v="2021-08-13T00:00:00"/>
    <n v="19"/>
    <s v="Company S"/>
    <x v="0"/>
    <x v="0"/>
    <s v="Arizona"/>
    <x v="2"/>
    <n v="199"/>
    <n v="4"/>
    <n v="796"/>
    <n v="3"/>
  </r>
  <r>
    <s v="0747"/>
    <d v="2021-08-17T00:00:00"/>
    <n v="6"/>
    <s v="Company F"/>
    <x v="7"/>
    <x v="3"/>
    <s v="California"/>
    <x v="2"/>
    <n v="199"/>
    <n v="3"/>
    <n v="597"/>
    <n v="8"/>
  </r>
  <r>
    <s v="0748"/>
    <d v="2021-08-18T00:00:00"/>
    <n v="8"/>
    <s v="Company H"/>
    <x v="7"/>
    <x v="3"/>
    <s v="California"/>
    <x v="2"/>
    <n v="199"/>
    <n v="7"/>
    <n v="1393"/>
    <n v="8"/>
  </r>
  <r>
    <s v="0754"/>
    <d v="2021-08-20T00:00:00"/>
    <n v="14"/>
    <s v="Company N"/>
    <x v="5"/>
    <x v="1"/>
    <s v="New Mexico"/>
    <x v="2"/>
    <n v="199"/>
    <n v="2"/>
    <n v="398"/>
    <n v="6"/>
  </r>
  <r>
    <s v="0755"/>
    <d v="2021-08-20T00:00:00"/>
    <n v="20"/>
    <s v="Company T"/>
    <x v="6"/>
    <x v="0"/>
    <s v="Arizona"/>
    <x v="2"/>
    <n v="199"/>
    <n v="6"/>
    <n v="1194"/>
    <n v="5"/>
  </r>
  <r>
    <s v="0767"/>
    <d v="2021-08-23T00:00:00"/>
    <n v="13"/>
    <s v="Company M"/>
    <x v="3"/>
    <x v="2"/>
    <s v="New Mexico"/>
    <x v="2"/>
    <n v="199"/>
    <n v="1"/>
    <n v="199"/>
    <n v="5"/>
  </r>
  <r>
    <s v="0784"/>
    <d v="2021-08-29T00:00:00"/>
    <n v="2"/>
    <s v="Company B"/>
    <x v="2"/>
    <x v="0"/>
    <s v="Texas"/>
    <x v="2"/>
    <n v="199"/>
    <n v="5"/>
    <n v="995"/>
    <n v="2"/>
  </r>
  <r>
    <s v="0788"/>
    <d v="2021-08-30T00:00:00"/>
    <n v="14"/>
    <s v="Company N"/>
    <x v="5"/>
    <x v="1"/>
    <s v="New Mexico"/>
    <x v="2"/>
    <n v="199"/>
    <n v="6"/>
    <n v="1194"/>
    <n v="6"/>
  </r>
  <r>
    <s v="0794"/>
    <d v="2021-09-01T00:00:00"/>
    <n v="11"/>
    <s v="Company K"/>
    <x v="3"/>
    <x v="2"/>
    <s v="New Mexico"/>
    <x v="2"/>
    <n v="199"/>
    <n v="8"/>
    <n v="1592"/>
    <n v="5"/>
  </r>
  <r>
    <s v="0795"/>
    <d v="2021-09-01T00:00:00"/>
    <n v="13"/>
    <s v="Company M"/>
    <x v="5"/>
    <x v="1"/>
    <s v="New Mexico"/>
    <x v="2"/>
    <n v="199"/>
    <n v="9"/>
    <n v="1791"/>
    <n v="6"/>
  </r>
  <r>
    <s v="0803"/>
    <d v="2021-09-03T00:00:00"/>
    <n v="17"/>
    <s v="Company Q"/>
    <x v="0"/>
    <x v="0"/>
    <s v="Arizona"/>
    <x v="2"/>
    <n v="199"/>
    <n v="5"/>
    <n v="995"/>
    <n v="3"/>
  </r>
  <r>
    <s v="0809"/>
    <d v="2021-09-06T00:00:00"/>
    <n v="19"/>
    <s v="Company S"/>
    <x v="6"/>
    <x v="0"/>
    <s v="Arizona"/>
    <x v="2"/>
    <n v="199"/>
    <n v="9"/>
    <n v="1791"/>
    <n v="5"/>
  </r>
  <r>
    <s v="0828"/>
    <d v="2021-09-12T00:00:00"/>
    <n v="5"/>
    <s v="Company E"/>
    <x v="2"/>
    <x v="0"/>
    <s v="Texas"/>
    <x v="2"/>
    <n v="199"/>
    <n v="3"/>
    <n v="597"/>
    <n v="2"/>
  </r>
  <r>
    <s v="0831"/>
    <d v="2021-09-14T00:00:00"/>
    <n v="1"/>
    <s v="Company A"/>
    <x v="2"/>
    <x v="0"/>
    <s v="Texas"/>
    <x v="2"/>
    <n v="199"/>
    <n v="1"/>
    <n v="199"/>
    <n v="2"/>
  </r>
  <r>
    <s v="0837"/>
    <d v="2021-09-17T00:00:00"/>
    <n v="3"/>
    <s v="Company C"/>
    <x v="4"/>
    <x v="2"/>
    <s v="Texas"/>
    <x v="2"/>
    <n v="199"/>
    <n v="6"/>
    <n v="1194"/>
    <n v="2"/>
  </r>
  <r>
    <s v="0842"/>
    <d v="2021-09-20T00:00:00"/>
    <n v="12"/>
    <s v="Company L"/>
    <x v="5"/>
    <x v="1"/>
    <s v="New Mexico"/>
    <x v="2"/>
    <n v="199"/>
    <n v="4"/>
    <n v="796"/>
    <n v="6"/>
  </r>
  <r>
    <s v="0843"/>
    <d v="2021-09-20T00:00:00"/>
    <n v="4"/>
    <s v="Company D"/>
    <x v="2"/>
    <x v="0"/>
    <s v="Texas"/>
    <x v="2"/>
    <n v="199"/>
    <n v="7"/>
    <n v="1393"/>
    <n v="2"/>
  </r>
  <r>
    <s v="0846"/>
    <d v="2021-09-22T00:00:00"/>
    <n v="8"/>
    <s v="Company H"/>
    <x v="1"/>
    <x v="1"/>
    <s v="California"/>
    <x v="2"/>
    <n v="199"/>
    <n v="8"/>
    <n v="1592"/>
    <n v="4"/>
  </r>
  <r>
    <s v="0849"/>
    <d v="2021-09-22T00:00:00"/>
    <n v="4"/>
    <s v="Company D"/>
    <x v="2"/>
    <x v="0"/>
    <s v="Texas"/>
    <x v="2"/>
    <n v="199"/>
    <n v="8"/>
    <n v="1592"/>
    <n v="2"/>
  </r>
  <r>
    <s v="0854"/>
    <d v="2021-09-22T00:00:00"/>
    <n v="7"/>
    <s v="Company G"/>
    <x v="7"/>
    <x v="3"/>
    <s v="California"/>
    <x v="2"/>
    <n v="199"/>
    <n v="5"/>
    <n v="995"/>
    <n v="8"/>
  </r>
  <r>
    <s v="0860"/>
    <d v="2021-09-24T00:00:00"/>
    <n v="6"/>
    <s v="Company F"/>
    <x v="1"/>
    <x v="1"/>
    <s v="California"/>
    <x v="2"/>
    <n v="199"/>
    <n v="8"/>
    <n v="1592"/>
    <n v="4"/>
  </r>
  <r>
    <s v="0863"/>
    <d v="2021-09-25T00:00:00"/>
    <n v="16"/>
    <s v="Company P"/>
    <x v="6"/>
    <x v="0"/>
    <s v="Arizona"/>
    <x v="2"/>
    <n v="199"/>
    <n v="0"/>
    <n v="0"/>
    <n v="5"/>
  </r>
  <r>
    <s v="0867"/>
    <d v="2021-09-27T00:00:00"/>
    <n v="7"/>
    <s v="Company G"/>
    <x v="1"/>
    <x v="1"/>
    <s v="California"/>
    <x v="2"/>
    <n v="199"/>
    <n v="6"/>
    <n v="1194"/>
    <n v="4"/>
  </r>
  <r>
    <s v="0873"/>
    <d v="2021-09-29T00:00:00"/>
    <n v="20"/>
    <s v="Company T"/>
    <x v="6"/>
    <x v="0"/>
    <s v="Arizona"/>
    <x v="2"/>
    <n v="199"/>
    <n v="3"/>
    <n v="597"/>
    <n v="5"/>
  </r>
  <r>
    <s v="0879"/>
    <d v="2021-09-30T00:00:00"/>
    <n v="20"/>
    <s v="Company T"/>
    <x v="0"/>
    <x v="0"/>
    <s v="Arizona"/>
    <x v="2"/>
    <n v="199"/>
    <n v="1"/>
    <n v="199"/>
    <n v="3"/>
  </r>
  <r>
    <s v="0880"/>
    <d v="2021-09-30T00:00:00"/>
    <n v="6"/>
    <s v="Company F"/>
    <x v="7"/>
    <x v="3"/>
    <s v="California"/>
    <x v="2"/>
    <n v="199"/>
    <n v="7"/>
    <n v="1393"/>
    <n v="8"/>
  </r>
  <r>
    <s v="0883"/>
    <d v="2021-10-02T00:00:00"/>
    <n v="3"/>
    <s v="Company C"/>
    <x v="4"/>
    <x v="2"/>
    <s v="Texas"/>
    <x v="2"/>
    <n v="199"/>
    <n v="5"/>
    <n v="995"/>
    <n v="2"/>
  </r>
  <r>
    <s v="0888"/>
    <d v="2021-10-04T00:00:00"/>
    <n v="15"/>
    <s v="Company O"/>
    <x v="3"/>
    <x v="2"/>
    <s v="New Mexico"/>
    <x v="2"/>
    <n v="199"/>
    <n v="3"/>
    <n v="597"/>
    <n v="5"/>
  </r>
  <r>
    <s v="0889"/>
    <d v="2021-10-05T00:00:00"/>
    <n v="20"/>
    <s v="Company T"/>
    <x v="6"/>
    <x v="0"/>
    <s v="Arizona"/>
    <x v="2"/>
    <n v="199"/>
    <n v="3"/>
    <n v="597"/>
    <n v="5"/>
  </r>
  <r>
    <s v="0891"/>
    <d v="2021-10-05T00:00:00"/>
    <n v="4"/>
    <s v="Company D"/>
    <x v="2"/>
    <x v="0"/>
    <s v="Texas"/>
    <x v="2"/>
    <n v="199"/>
    <n v="9"/>
    <n v="1791"/>
    <n v="2"/>
  </r>
  <r>
    <s v="0895"/>
    <d v="2021-10-06T00:00:00"/>
    <n v="9"/>
    <s v="Company I"/>
    <x v="7"/>
    <x v="3"/>
    <s v="California"/>
    <x v="2"/>
    <n v="199"/>
    <n v="2"/>
    <n v="398"/>
    <n v="8"/>
  </r>
  <r>
    <s v="0896"/>
    <d v="2021-10-06T00:00:00"/>
    <n v="6"/>
    <s v="Company F"/>
    <x v="1"/>
    <x v="1"/>
    <s v="California"/>
    <x v="2"/>
    <n v="199"/>
    <n v="8"/>
    <n v="1592"/>
    <n v="4"/>
  </r>
  <r>
    <s v="0898"/>
    <d v="2021-10-06T00:00:00"/>
    <n v="17"/>
    <s v="Company Q"/>
    <x v="0"/>
    <x v="0"/>
    <s v="Arizona"/>
    <x v="2"/>
    <n v="199"/>
    <n v="2"/>
    <n v="398"/>
    <n v="3"/>
  </r>
  <r>
    <s v="0899"/>
    <d v="2021-10-07T00:00:00"/>
    <n v="1"/>
    <s v="Company A"/>
    <x v="4"/>
    <x v="2"/>
    <s v="Texas"/>
    <x v="2"/>
    <n v="199"/>
    <n v="4"/>
    <n v="796"/>
    <n v="2"/>
  </r>
  <r>
    <s v="0906"/>
    <d v="2021-10-11T00:00:00"/>
    <n v="19"/>
    <s v="Company S"/>
    <x v="6"/>
    <x v="0"/>
    <s v="Arizona"/>
    <x v="2"/>
    <n v="199"/>
    <n v="5"/>
    <n v="995"/>
    <n v="5"/>
  </r>
  <r>
    <s v="0907"/>
    <d v="2021-10-12T00:00:00"/>
    <n v="10"/>
    <s v="Company J"/>
    <x v="7"/>
    <x v="3"/>
    <s v="California"/>
    <x v="2"/>
    <n v="199"/>
    <n v="1"/>
    <n v="199"/>
    <n v="8"/>
  </r>
  <r>
    <s v="0910"/>
    <d v="2021-10-13T00:00:00"/>
    <n v="19"/>
    <s v="Company S"/>
    <x v="6"/>
    <x v="0"/>
    <s v="Arizona"/>
    <x v="2"/>
    <n v="199"/>
    <n v="3"/>
    <n v="597"/>
    <n v="5"/>
  </r>
  <r>
    <s v="0913"/>
    <d v="2021-10-13T00:00:00"/>
    <n v="9"/>
    <s v="Company I"/>
    <x v="1"/>
    <x v="1"/>
    <s v="California"/>
    <x v="2"/>
    <n v="199"/>
    <n v="5"/>
    <n v="995"/>
    <n v="4"/>
  </r>
  <r>
    <s v="0920"/>
    <d v="2021-10-15T00:00:00"/>
    <n v="2"/>
    <s v="Company B"/>
    <x v="4"/>
    <x v="2"/>
    <s v="Texas"/>
    <x v="2"/>
    <n v="199"/>
    <n v="3"/>
    <n v="597"/>
    <n v="2"/>
  </r>
  <r>
    <s v="0925"/>
    <d v="2021-10-16T00:00:00"/>
    <n v="12"/>
    <s v="Company L"/>
    <x v="3"/>
    <x v="2"/>
    <s v="New Mexico"/>
    <x v="2"/>
    <n v="199"/>
    <n v="7"/>
    <n v="1393"/>
    <n v="5"/>
  </r>
  <r>
    <s v="0926"/>
    <d v="2021-10-17T00:00:00"/>
    <n v="1"/>
    <s v="Company A"/>
    <x v="4"/>
    <x v="2"/>
    <s v="Texas"/>
    <x v="2"/>
    <n v="199"/>
    <n v="0"/>
    <n v="0"/>
    <n v="2"/>
  </r>
  <r>
    <s v="0927"/>
    <d v="2021-10-17T00:00:00"/>
    <n v="8"/>
    <s v="Company H"/>
    <x v="1"/>
    <x v="1"/>
    <s v="California"/>
    <x v="2"/>
    <n v="199"/>
    <n v="8"/>
    <n v="1592"/>
    <n v="4"/>
  </r>
  <r>
    <s v="0930"/>
    <d v="2021-10-17T00:00:00"/>
    <n v="10"/>
    <s v="Company J"/>
    <x v="1"/>
    <x v="1"/>
    <s v="California"/>
    <x v="2"/>
    <n v="199"/>
    <n v="3"/>
    <n v="597"/>
    <n v="4"/>
  </r>
  <r>
    <s v="0932"/>
    <d v="2021-10-19T00:00:00"/>
    <n v="5"/>
    <s v="Company E"/>
    <x v="4"/>
    <x v="2"/>
    <s v="Texas"/>
    <x v="2"/>
    <n v="199"/>
    <n v="6"/>
    <n v="1194"/>
    <n v="2"/>
  </r>
  <r>
    <s v="0940"/>
    <d v="2021-10-22T00:00:00"/>
    <n v="5"/>
    <s v="Company E"/>
    <x v="2"/>
    <x v="0"/>
    <s v="Texas"/>
    <x v="2"/>
    <n v="199"/>
    <n v="5"/>
    <n v="995"/>
    <n v="2"/>
  </r>
  <r>
    <s v="0945"/>
    <d v="2021-10-24T00:00:00"/>
    <n v="17"/>
    <s v="Company Q"/>
    <x v="0"/>
    <x v="0"/>
    <s v="Arizona"/>
    <x v="2"/>
    <n v="199"/>
    <n v="5"/>
    <n v="995"/>
    <n v="3"/>
  </r>
  <r>
    <s v="0946"/>
    <d v="2021-10-25T00:00:00"/>
    <n v="1"/>
    <s v="Company A"/>
    <x v="2"/>
    <x v="0"/>
    <s v="Texas"/>
    <x v="2"/>
    <n v="199"/>
    <n v="1"/>
    <n v="199"/>
    <n v="2"/>
  </r>
  <r>
    <s v="0948"/>
    <d v="2021-10-25T00:00:00"/>
    <n v="9"/>
    <s v="Company I"/>
    <x v="1"/>
    <x v="1"/>
    <s v="California"/>
    <x v="2"/>
    <n v="199"/>
    <n v="5"/>
    <n v="995"/>
    <n v="4"/>
  </r>
  <r>
    <s v="0951"/>
    <d v="2021-10-27T00:00:00"/>
    <n v="17"/>
    <s v="Company Q"/>
    <x v="0"/>
    <x v="0"/>
    <s v="Arizona"/>
    <x v="2"/>
    <n v="199"/>
    <n v="1"/>
    <n v="199"/>
    <n v="3"/>
  </r>
  <r>
    <s v="0953"/>
    <d v="2021-10-27T00:00:00"/>
    <n v="3"/>
    <s v="Company C"/>
    <x v="4"/>
    <x v="2"/>
    <s v="Texas"/>
    <x v="2"/>
    <n v="199"/>
    <n v="1"/>
    <n v="199"/>
    <n v="2"/>
  </r>
  <r>
    <s v="0954"/>
    <d v="2021-10-27T00:00:00"/>
    <n v="4"/>
    <s v="Company D"/>
    <x v="2"/>
    <x v="0"/>
    <s v="Texas"/>
    <x v="2"/>
    <n v="199"/>
    <n v="8"/>
    <n v="1592"/>
    <n v="2"/>
  </r>
  <r>
    <s v="0955"/>
    <d v="2021-10-28T00:00:00"/>
    <n v="10"/>
    <s v="Company J"/>
    <x v="7"/>
    <x v="3"/>
    <s v="California"/>
    <x v="2"/>
    <n v="199"/>
    <n v="0"/>
    <n v="0"/>
    <n v="8"/>
  </r>
  <r>
    <s v="0965"/>
    <d v="2021-10-29T00:00:00"/>
    <n v="2"/>
    <s v="Company B"/>
    <x v="4"/>
    <x v="2"/>
    <s v="Texas"/>
    <x v="2"/>
    <n v="199"/>
    <n v="7"/>
    <n v="1393"/>
    <n v="2"/>
  </r>
  <r>
    <s v="0971"/>
    <d v="2021-11-01T00:00:00"/>
    <n v="14"/>
    <s v="Company N"/>
    <x v="5"/>
    <x v="1"/>
    <s v="New Mexico"/>
    <x v="2"/>
    <n v="199"/>
    <n v="0"/>
    <n v="0"/>
    <n v="6"/>
  </r>
  <r>
    <s v="0977"/>
    <d v="2021-11-05T00:00:00"/>
    <n v="5"/>
    <s v="Company E"/>
    <x v="4"/>
    <x v="2"/>
    <s v="Texas"/>
    <x v="2"/>
    <n v="199"/>
    <n v="9"/>
    <n v="1791"/>
    <n v="2"/>
  </r>
  <r>
    <s v="0982"/>
    <d v="2021-11-08T00:00:00"/>
    <n v="8"/>
    <s v="Company H"/>
    <x v="1"/>
    <x v="1"/>
    <s v="California"/>
    <x v="2"/>
    <n v="199"/>
    <n v="1"/>
    <n v="199"/>
    <n v="4"/>
  </r>
  <r>
    <s v="0987"/>
    <d v="2021-11-09T00:00:00"/>
    <n v="8"/>
    <s v="Company H"/>
    <x v="7"/>
    <x v="3"/>
    <s v="California"/>
    <x v="2"/>
    <n v="199"/>
    <n v="7"/>
    <n v="1393"/>
    <n v="8"/>
  </r>
  <r>
    <s v="0988"/>
    <d v="2021-11-09T00:00:00"/>
    <n v="17"/>
    <s v="Company Q"/>
    <x v="6"/>
    <x v="0"/>
    <s v="Arizona"/>
    <x v="2"/>
    <n v="199"/>
    <n v="2"/>
    <n v="398"/>
    <n v="5"/>
  </r>
  <r>
    <s v="0992"/>
    <d v="2021-11-10T00:00:00"/>
    <n v="19"/>
    <s v="Company S"/>
    <x v="0"/>
    <x v="0"/>
    <s v="Arizona"/>
    <x v="2"/>
    <n v="199"/>
    <n v="8"/>
    <n v="1592"/>
    <n v="3"/>
  </r>
  <r>
    <s v="0996"/>
    <d v="2021-11-11T00:00:00"/>
    <n v="7"/>
    <s v="Company G"/>
    <x v="7"/>
    <x v="3"/>
    <s v="California"/>
    <x v="2"/>
    <n v="199"/>
    <n v="0"/>
    <n v="0"/>
    <n v="8"/>
  </r>
  <r>
    <s v="0997"/>
    <d v="2021-11-11T00:00:00"/>
    <n v="13"/>
    <s v="Company M"/>
    <x v="5"/>
    <x v="1"/>
    <s v="New Mexico"/>
    <x v="2"/>
    <n v="199"/>
    <n v="9"/>
    <n v="1791"/>
    <n v="6"/>
  </r>
  <r>
    <s v="0998"/>
    <d v="2021-11-12T00:00:00"/>
    <n v="14"/>
    <s v="Company N"/>
    <x v="5"/>
    <x v="1"/>
    <s v="New Mexico"/>
    <x v="2"/>
    <n v="199"/>
    <n v="5"/>
    <n v="995"/>
    <n v="6"/>
  </r>
  <r>
    <s v="0999"/>
    <d v="2021-11-13T00:00:00"/>
    <n v="2"/>
    <s v="Company B"/>
    <x v="2"/>
    <x v="0"/>
    <s v="Texas"/>
    <x v="2"/>
    <n v="199"/>
    <n v="3"/>
    <n v="597"/>
    <n v="2"/>
  </r>
  <r>
    <s v="1000"/>
    <d v="2021-11-14T00:00:00"/>
    <n v="1"/>
    <s v="Company A"/>
    <x v="4"/>
    <x v="2"/>
    <s v="Texas"/>
    <x v="2"/>
    <n v="199"/>
    <n v="7"/>
    <n v="1393"/>
    <n v="2"/>
  </r>
  <r>
    <s v="1002"/>
    <d v="2021-11-15T00:00:00"/>
    <n v="2"/>
    <s v="Company B"/>
    <x v="4"/>
    <x v="2"/>
    <s v="Texas"/>
    <x v="2"/>
    <n v="199"/>
    <n v="2"/>
    <n v="398"/>
    <n v="2"/>
  </r>
  <r>
    <s v="1004"/>
    <d v="2021-11-15T00:00:00"/>
    <n v="17"/>
    <s v="Company Q"/>
    <x v="6"/>
    <x v="0"/>
    <s v="Arizona"/>
    <x v="2"/>
    <n v="199"/>
    <n v="9"/>
    <n v="1791"/>
    <n v="5"/>
  </r>
  <r>
    <s v="1005"/>
    <d v="2021-11-15T00:00:00"/>
    <n v="10"/>
    <s v="Company J"/>
    <x v="7"/>
    <x v="3"/>
    <s v="California"/>
    <x v="2"/>
    <n v="199"/>
    <n v="1"/>
    <n v="199"/>
    <n v="8"/>
  </r>
  <r>
    <s v="1007"/>
    <d v="2021-11-15T00:00:00"/>
    <n v="6"/>
    <s v="Company F"/>
    <x v="7"/>
    <x v="3"/>
    <s v="California"/>
    <x v="2"/>
    <n v="199"/>
    <n v="7"/>
    <n v="1393"/>
    <n v="8"/>
  </r>
  <r>
    <s v="1010"/>
    <d v="2021-11-17T00:00:00"/>
    <n v="1"/>
    <s v="Company A"/>
    <x v="2"/>
    <x v="0"/>
    <s v="Texas"/>
    <x v="2"/>
    <n v="199"/>
    <n v="2"/>
    <n v="398"/>
    <n v="2"/>
  </r>
  <r>
    <s v="1014"/>
    <d v="2021-11-18T00:00:00"/>
    <n v="2"/>
    <s v="Company B"/>
    <x v="4"/>
    <x v="2"/>
    <s v="Texas"/>
    <x v="2"/>
    <n v="199"/>
    <n v="6"/>
    <n v="1194"/>
    <n v="2"/>
  </r>
  <r>
    <s v="1017"/>
    <d v="2021-11-19T00:00:00"/>
    <n v="12"/>
    <s v="Company L"/>
    <x v="3"/>
    <x v="2"/>
    <s v="New Mexico"/>
    <x v="2"/>
    <n v="199"/>
    <n v="4"/>
    <n v="796"/>
    <n v="5"/>
  </r>
  <r>
    <s v="1025"/>
    <d v="2021-11-22T00:00:00"/>
    <n v="2"/>
    <s v="Company B"/>
    <x v="4"/>
    <x v="2"/>
    <s v="Texas"/>
    <x v="2"/>
    <n v="199"/>
    <n v="9"/>
    <n v="1791"/>
    <n v="2"/>
  </r>
  <r>
    <s v="1032"/>
    <d v="2021-11-22T00:00:00"/>
    <n v="13"/>
    <s v="Company M"/>
    <x v="3"/>
    <x v="2"/>
    <s v="New Mexico"/>
    <x v="2"/>
    <n v="199"/>
    <n v="7"/>
    <n v="1393"/>
    <n v="5"/>
  </r>
  <r>
    <s v="1038"/>
    <d v="2021-11-23T00:00:00"/>
    <n v="17"/>
    <s v="Company Q"/>
    <x v="0"/>
    <x v="0"/>
    <s v="Arizona"/>
    <x v="2"/>
    <n v="199"/>
    <n v="3"/>
    <n v="597"/>
    <n v="3"/>
  </r>
  <r>
    <s v="1040"/>
    <d v="2021-11-24T00:00:00"/>
    <n v="7"/>
    <s v="Company G"/>
    <x v="1"/>
    <x v="1"/>
    <s v="California"/>
    <x v="2"/>
    <n v="199"/>
    <n v="5"/>
    <n v="995"/>
    <n v="4"/>
  </r>
  <r>
    <s v="1057"/>
    <d v="2021-11-29T00:00:00"/>
    <n v="8"/>
    <s v="Company H"/>
    <x v="1"/>
    <x v="1"/>
    <s v="California"/>
    <x v="2"/>
    <n v="199"/>
    <n v="3"/>
    <n v="597"/>
    <n v="4"/>
  </r>
  <r>
    <s v="1069"/>
    <d v="2021-12-06T00:00:00"/>
    <n v="4"/>
    <s v="Company D"/>
    <x v="2"/>
    <x v="0"/>
    <s v="Texas"/>
    <x v="2"/>
    <n v="199"/>
    <n v="2"/>
    <n v="398"/>
    <n v="2"/>
  </r>
  <r>
    <s v="1070"/>
    <d v="2021-12-06T00:00:00"/>
    <n v="14"/>
    <s v="Company N"/>
    <x v="3"/>
    <x v="2"/>
    <s v="New Mexico"/>
    <x v="2"/>
    <n v="199"/>
    <n v="3"/>
    <n v="597"/>
    <n v="5"/>
  </r>
  <r>
    <s v="1071"/>
    <d v="2021-12-06T00:00:00"/>
    <n v="4"/>
    <s v="Company D"/>
    <x v="2"/>
    <x v="0"/>
    <s v="Texas"/>
    <x v="2"/>
    <n v="199"/>
    <n v="5"/>
    <n v="995"/>
    <n v="2"/>
  </r>
  <r>
    <s v="1084"/>
    <d v="2021-12-13T00:00:00"/>
    <n v="2"/>
    <s v="Company B"/>
    <x v="2"/>
    <x v="0"/>
    <s v="Texas"/>
    <x v="2"/>
    <n v="199"/>
    <n v="4"/>
    <n v="796"/>
    <n v="2"/>
  </r>
  <r>
    <s v="1085"/>
    <d v="2021-12-13T00:00:00"/>
    <n v="5"/>
    <s v="Company E"/>
    <x v="4"/>
    <x v="2"/>
    <s v="Texas"/>
    <x v="2"/>
    <n v="199"/>
    <n v="9"/>
    <n v="1791"/>
    <n v="2"/>
  </r>
  <r>
    <s v="1098"/>
    <d v="2021-12-18T00:00:00"/>
    <n v="10"/>
    <s v="Company J"/>
    <x v="7"/>
    <x v="3"/>
    <s v="California"/>
    <x v="2"/>
    <n v="199"/>
    <n v="3"/>
    <n v="597"/>
    <n v="8"/>
  </r>
  <r>
    <s v="1104"/>
    <d v="2021-12-18T00:00:00"/>
    <n v="12"/>
    <s v="Company L"/>
    <x v="5"/>
    <x v="1"/>
    <s v="New Mexico"/>
    <x v="2"/>
    <n v="199"/>
    <n v="2"/>
    <n v="398"/>
    <n v="6"/>
  </r>
  <r>
    <s v="1107"/>
    <d v="2021-12-18T00:00:00"/>
    <n v="7"/>
    <s v="Company G"/>
    <x v="1"/>
    <x v="1"/>
    <s v="California"/>
    <x v="2"/>
    <n v="199"/>
    <n v="9"/>
    <n v="1791"/>
    <n v="4"/>
  </r>
  <r>
    <s v="1115"/>
    <d v="2021-12-20T00:00:00"/>
    <n v="20"/>
    <s v="Company T"/>
    <x v="0"/>
    <x v="0"/>
    <s v="Arizona"/>
    <x v="2"/>
    <n v="199"/>
    <n v="1"/>
    <n v="199"/>
    <n v="3"/>
  </r>
  <r>
    <s v="1119"/>
    <d v="2021-12-20T00:00:00"/>
    <n v="10"/>
    <s v="Company J"/>
    <x v="7"/>
    <x v="3"/>
    <s v="California"/>
    <x v="2"/>
    <n v="199"/>
    <n v="6"/>
    <n v="1194"/>
    <n v="8"/>
  </r>
  <r>
    <s v="1127"/>
    <d v="2021-12-23T00:00:00"/>
    <n v="17"/>
    <s v="Company Q"/>
    <x v="0"/>
    <x v="0"/>
    <s v="Arizona"/>
    <x v="2"/>
    <n v="199"/>
    <n v="9"/>
    <n v="1791"/>
    <n v="3"/>
  </r>
  <r>
    <s v="1130"/>
    <d v="2021-12-25T00:00:00"/>
    <n v="18"/>
    <s v="Company R"/>
    <x v="0"/>
    <x v="0"/>
    <s v="Arizona"/>
    <x v="2"/>
    <n v="199"/>
    <n v="8"/>
    <n v="1592"/>
    <n v="3"/>
  </r>
  <r>
    <s v="1132"/>
    <d v="2021-12-25T00:00:00"/>
    <n v="17"/>
    <s v="Company Q"/>
    <x v="6"/>
    <x v="0"/>
    <s v="Arizona"/>
    <x v="2"/>
    <n v="199"/>
    <n v="3"/>
    <n v="597"/>
    <n v="5"/>
  </r>
  <r>
    <s v="1146"/>
    <d v="2021-12-31T00:00:00"/>
    <n v="4"/>
    <s v="Company D"/>
    <x v="2"/>
    <x v="0"/>
    <s v="Texas"/>
    <x v="2"/>
    <n v="199"/>
    <n v="8"/>
    <n v="1592"/>
    <n v="2"/>
  </r>
  <r>
    <s v="1148"/>
    <d v="2022-01-02T00:00:00"/>
    <n v="19"/>
    <s v="Company S"/>
    <x v="0"/>
    <x v="0"/>
    <s v="Arizona"/>
    <x v="2"/>
    <n v="199"/>
    <n v="0"/>
    <n v="0"/>
    <n v="3"/>
  </r>
  <r>
    <s v="1158"/>
    <d v="2022-01-05T00:00:00"/>
    <n v="17"/>
    <s v="Company Q"/>
    <x v="6"/>
    <x v="0"/>
    <s v="Arizona"/>
    <x v="2"/>
    <n v="199"/>
    <n v="6"/>
    <n v="1194"/>
    <n v="5"/>
  </r>
  <r>
    <s v="1160"/>
    <d v="2022-01-06T00:00:00"/>
    <n v="20"/>
    <s v="Company T"/>
    <x v="0"/>
    <x v="0"/>
    <s v="Arizona"/>
    <x v="2"/>
    <n v="199"/>
    <n v="0"/>
    <n v="0"/>
    <n v="3"/>
  </r>
  <r>
    <s v="1162"/>
    <d v="2022-01-06T00:00:00"/>
    <n v="15"/>
    <s v="Company O"/>
    <x v="5"/>
    <x v="1"/>
    <s v="New Mexico"/>
    <x v="2"/>
    <n v="199"/>
    <n v="7"/>
    <n v="1393"/>
    <n v="6"/>
  </r>
  <r>
    <s v="1163"/>
    <d v="2022-01-07T00:00:00"/>
    <n v="17"/>
    <s v="Company Q"/>
    <x v="0"/>
    <x v="0"/>
    <s v="Arizona"/>
    <x v="2"/>
    <n v="199"/>
    <n v="0"/>
    <n v="0"/>
    <n v="3"/>
  </r>
  <r>
    <s v="1165"/>
    <d v="2022-01-07T00:00:00"/>
    <n v="6"/>
    <s v="Company F"/>
    <x v="7"/>
    <x v="3"/>
    <s v="California"/>
    <x v="2"/>
    <n v="199"/>
    <n v="1"/>
    <n v="199"/>
    <n v="8"/>
  </r>
  <r>
    <s v="1171"/>
    <d v="2022-01-10T00:00:00"/>
    <n v="14"/>
    <s v="Company N"/>
    <x v="3"/>
    <x v="2"/>
    <s v="New Mexico"/>
    <x v="2"/>
    <n v="199"/>
    <n v="7"/>
    <n v="1393"/>
    <n v="5"/>
  </r>
  <r>
    <s v="1173"/>
    <d v="2022-01-10T00:00:00"/>
    <n v="6"/>
    <s v="Company F"/>
    <x v="1"/>
    <x v="1"/>
    <s v="California"/>
    <x v="2"/>
    <n v="199"/>
    <n v="2"/>
    <n v="398"/>
    <n v="4"/>
  </r>
  <r>
    <s v="1174"/>
    <d v="2022-01-11T00:00:00"/>
    <n v="11"/>
    <s v="Company K"/>
    <x v="3"/>
    <x v="2"/>
    <s v="New Mexico"/>
    <x v="2"/>
    <n v="199"/>
    <n v="6"/>
    <n v="1194"/>
    <n v="5"/>
  </r>
  <r>
    <s v="1177"/>
    <d v="2022-01-12T00:00:00"/>
    <n v="5"/>
    <s v="Company E"/>
    <x v="4"/>
    <x v="2"/>
    <s v="Texas"/>
    <x v="2"/>
    <n v="199"/>
    <n v="9"/>
    <n v="1791"/>
    <n v="2"/>
  </r>
  <r>
    <s v="1184"/>
    <d v="2022-01-13T00:00:00"/>
    <n v="15"/>
    <s v="Company O"/>
    <x v="5"/>
    <x v="1"/>
    <s v="New Mexico"/>
    <x v="2"/>
    <n v="199"/>
    <n v="3"/>
    <n v="597"/>
    <n v="6"/>
  </r>
  <r>
    <s v="1197"/>
    <d v="2022-01-16T00:00:00"/>
    <n v="6"/>
    <s v="Company F"/>
    <x v="7"/>
    <x v="3"/>
    <s v="California"/>
    <x v="2"/>
    <n v="199"/>
    <n v="2"/>
    <n v="398"/>
    <n v="8"/>
  </r>
  <r>
    <s v="1210"/>
    <d v="2022-01-18T00:00:00"/>
    <n v="11"/>
    <s v="Company K"/>
    <x v="5"/>
    <x v="1"/>
    <s v="New Mexico"/>
    <x v="2"/>
    <n v="199"/>
    <n v="7"/>
    <n v="1393"/>
    <n v="6"/>
  </r>
  <r>
    <s v="1224"/>
    <d v="2022-01-26T00:00:00"/>
    <n v="4"/>
    <s v="Company D"/>
    <x v="2"/>
    <x v="0"/>
    <s v="Texas"/>
    <x v="2"/>
    <n v="199"/>
    <n v="5"/>
    <n v="995"/>
    <n v="2"/>
  </r>
  <r>
    <s v="1229"/>
    <d v="2022-01-28T00:00:00"/>
    <n v="12"/>
    <s v="Company L"/>
    <x v="5"/>
    <x v="1"/>
    <s v="New Mexico"/>
    <x v="2"/>
    <n v="199"/>
    <n v="4"/>
    <n v="796"/>
    <n v="6"/>
  </r>
  <r>
    <s v="1240"/>
    <d v="2022-02-03T00:00:00"/>
    <n v="12"/>
    <s v="Company L"/>
    <x v="3"/>
    <x v="2"/>
    <s v="New Mexico"/>
    <x v="2"/>
    <n v="199"/>
    <n v="3"/>
    <n v="597"/>
    <n v="5"/>
  </r>
  <r>
    <s v="1245"/>
    <d v="2022-02-05T00:00:00"/>
    <n v="8"/>
    <s v="Company H"/>
    <x v="7"/>
    <x v="3"/>
    <s v="California"/>
    <x v="2"/>
    <n v="199"/>
    <n v="0"/>
    <n v="0"/>
    <n v="8"/>
  </r>
  <r>
    <s v="1251"/>
    <d v="2022-02-05T00:00:00"/>
    <n v="3"/>
    <s v="Company C"/>
    <x v="4"/>
    <x v="2"/>
    <s v="Texas"/>
    <x v="2"/>
    <n v="199"/>
    <n v="1"/>
    <n v="199"/>
    <n v="2"/>
  </r>
  <r>
    <s v="1254"/>
    <d v="2022-02-07T00:00:00"/>
    <n v="15"/>
    <s v="Company O"/>
    <x v="3"/>
    <x v="2"/>
    <s v="New Mexico"/>
    <x v="2"/>
    <n v="199"/>
    <n v="8"/>
    <n v="1592"/>
    <n v="5"/>
  </r>
  <r>
    <s v="1260"/>
    <d v="2022-02-09T00:00:00"/>
    <n v="8"/>
    <s v="Company H"/>
    <x v="1"/>
    <x v="1"/>
    <s v="California"/>
    <x v="2"/>
    <n v="199"/>
    <n v="3"/>
    <n v="597"/>
    <n v="4"/>
  </r>
  <r>
    <s v="1261"/>
    <d v="2022-02-10T00:00:00"/>
    <n v="5"/>
    <s v="Company E"/>
    <x v="4"/>
    <x v="2"/>
    <s v="Texas"/>
    <x v="2"/>
    <n v="199"/>
    <n v="5"/>
    <n v="995"/>
    <n v="2"/>
  </r>
  <r>
    <s v="1266"/>
    <d v="2022-02-13T00:00:00"/>
    <n v="8"/>
    <s v="Company H"/>
    <x v="1"/>
    <x v="1"/>
    <s v="California"/>
    <x v="2"/>
    <n v="199"/>
    <n v="7"/>
    <n v="1393"/>
    <n v="4"/>
  </r>
  <r>
    <s v="1267"/>
    <d v="2022-02-13T00:00:00"/>
    <n v="17"/>
    <s v="Company Q"/>
    <x v="6"/>
    <x v="0"/>
    <s v="Arizona"/>
    <x v="2"/>
    <n v="199"/>
    <n v="9"/>
    <n v="1791"/>
    <n v="5"/>
  </r>
  <r>
    <s v="1271"/>
    <d v="2022-02-16T00:00:00"/>
    <n v="16"/>
    <s v="Company P"/>
    <x v="6"/>
    <x v="0"/>
    <s v="Arizona"/>
    <x v="2"/>
    <n v="199"/>
    <n v="1"/>
    <n v="199"/>
    <n v="5"/>
  </r>
  <r>
    <s v="1273"/>
    <d v="2022-02-18T00:00:00"/>
    <n v="20"/>
    <s v="Company T"/>
    <x v="0"/>
    <x v="0"/>
    <s v="Arizona"/>
    <x v="2"/>
    <n v="199"/>
    <n v="5"/>
    <n v="995"/>
    <n v="3"/>
  </r>
  <r>
    <s v="1281"/>
    <d v="2022-02-19T00:00:00"/>
    <n v="19"/>
    <s v="Company S"/>
    <x v="6"/>
    <x v="0"/>
    <s v="Arizona"/>
    <x v="2"/>
    <n v="199"/>
    <n v="0"/>
    <n v="0"/>
    <n v="5"/>
  </r>
  <r>
    <s v="1284"/>
    <d v="2022-02-19T00:00:00"/>
    <n v="8"/>
    <s v="Company H"/>
    <x v="1"/>
    <x v="1"/>
    <s v="California"/>
    <x v="2"/>
    <n v="199"/>
    <n v="5"/>
    <n v="995"/>
    <n v="4"/>
  </r>
  <r>
    <s v="1288"/>
    <d v="2022-02-19T00:00:00"/>
    <n v="7"/>
    <s v="Company G"/>
    <x v="1"/>
    <x v="1"/>
    <s v="California"/>
    <x v="2"/>
    <n v="199"/>
    <n v="1"/>
    <n v="199"/>
    <n v="4"/>
  </r>
  <r>
    <s v="1289"/>
    <d v="2022-02-19T00:00:00"/>
    <n v="17"/>
    <s v="Company Q"/>
    <x v="0"/>
    <x v="0"/>
    <s v="Arizona"/>
    <x v="2"/>
    <n v="199"/>
    <n v="4"/>
    <n v="796"/>
    <n v="3"/>
  </r>
  <r>
    <s v="1292"/>
    <d v="2022-02-20T00:00:00"/>
    <n v="2"/>
    <s v="Company B"/>
    <x v="2"/>
    <x v="0"/>
    <s v="Texas"/>
    <x v="2"/>
    <n v="199"/>
    <n v="3"/>
    <n v="597"/>
    <n v="2"/>
  </r>
  <r>
    <s v="1299"/>
    <d v="2022-02-22T00:00:00"/>
    <n v="16"/>
    <s v="Company P"/>
    <x v="0"/>
    <x v="0"/>
    <s v="Arizona"/>
    <x v="2"/>
    <n v="199"/>
    <n v="2"/>
    <n v="398"/>
    <n v="3"/>
  </r>
  <r>
    <s v="1301"/>
    <d v="2022-02-22T00:00:00"/>
    <n v="3"/>
    <s v="Company C"/>
    <x v="4"/>
    <x v="2"/>
    <s v="Texas"/>
    <x v="2"/>
    <n v="199"/>
    <n v="9"/>
    <n v="1791"/>
    <n v="2"/>
  </r>
  <r>
    <s v="1305"/>
    <d v="2022-02-23T00:00:00"/>
    <n v="6"/>
    <s v="Company F"/>
    <x v="1"/>
    <x v="1"/>
    <s v="California"/>
    <x v="2"/>
    <n v="199"/>
    <n v="8"/>
    <n v="1592"/>
    <n v="4"/>
  </r>
  <r>
    <s v="1314"/>
    <d v="2022-02-26T00:00:00"/>
    <n v="11"/>
    <s v="Company K"/>
    <x v="3"/>
    <x v="2"/>
    <s v="New Mexico"/>
    <x v="2"/>
    <n v="199"/>
    <n v="9"/>
    <n v="1791"/>
    <n v="5"/>
  </r>
  <r>
    <s v="1319"/>
    <d v="2022-02-27T00:00:00"/>
    <n v="11"/>
    <s v="Company K"/>
    <x v="5"/>
    <x v="1"/>
    <s v="New Mexico"/>
    <x v="2"/>
    <n v="199"/>
    <n v="9"/>
    <n v="1791"/>
    <n v="6"/>
  </r>
  <r>
    <s v="1327"/>
    <d v="2022-03-01T00:00:00"/>
    <n v="3"/>
    <s v="Company C"/>
    <x v="2"/>
    <x v="0"/>
    <s v="Texas"/>
    <x v="2"/>
    <n v="199"/>
    <n v="6"/>
    <n v="1194"/>
    <n v="2"/>
  </r>
  <r>
    <s v="1333"/>
    <d v="2022-03-05T00:00:00"/>
    <n v="16"/>
    <s v="Company P"/>
    <x v="0"/>
    <x v="0"/>
    <s v="Arizona"/>
    <x v="2"/>
    <n v="199"/>
    <n v="5"/>
    <n v="995"/>
    <n v="3"/>
  </r>
  <r>
    <s v="1340"/>
    <d v="2022-03-07T00:00:00"/>
    <n v="2"/>
    <s v="Company B"/>
    <x v="2"/>
    <x v="0"/>
    <s v="Texas"/>
    <x v="2"/>
    <n v="199"/>
    <n v="7"/>
    <n v="1393"/>
    <n v="2"/>
  </r>
  <r>
    <s v="1343"/>
    <d v="2022-03-07T00:00:00"/>
    <n v="4"/>
    <s v="Company D"/>
    <x v="4"/>
    <x v="2"/>
    <s v="Texas"/>
    <x v="2"/>
    <n v="199"/>
    <n v="1"/>
    <n v="199"/>
    <n v="2"/>
  </r>
  <r>
    <s v="1344"/>
    <d v="2022-03-07T00:00:00"/>
    <n v="6"/>
    <s v="Company F"/>
    <x v="7"/>
    <x v="3"/>
    <s v="California"/>
    <x v="2"/>
    <n v="199"/>
    <n v="0"/>
    <n v="0"/>
    <n v="8"/>
  </r>
  <r>
    <s v="1348"/>
    <d v="2022-03-09T00:00:00"/>
    <n v="4"/>
    <s v="Company D"/>
    <x v="4"/>
    <x v="2"/>
    <s v="Texas"/>
    <x v="2"/>
    <n v="199"/>
    <n v="6"/>
    <n v="1194"/>
    <n v="2"/>
  </r>
  <r>
    <s v="1349"/>
    <d v="2022-03-09T00:00:00"/>
    <n v="19"/>
    <s v="Company S"/>
    <x v="0"/>
    <x v="0"/>
    <s v="Arizona"/>
    <x v="2"/>
    <n v="199"/>
    <n v="4"/>
    <n v="796"/>
    <n v="3"/>
  </r>
  <r>
    <s v="1350"/>
    <d v="2022-03-09T00:00:00"/>
    <n v="8"/>
    <s v="Company H"/>
    <x v="7"/>
    <x v="3"/>
    <s v="California"/>
    <x v="2"/>
    <n v="199"/>
    <n v="7"/>
    <n v="1393"/>
    <n v="8"/>
  </r>
  <r>
    <s v="1352"/>
    <d v="2022-03-10T00:00:00"/>
    <n v="15"/>
    <s v="Company O"/>
    <x v="5"/>
    <x v="1"/>
    <s v="New Mexico"/>
    <x v="2"/>
    <n v="199"/>
    <n v="2"/>
    <n v="398"/>
    <n v="6"/>
  </r>
  <r>
    <s v="1365"/>
    <d v="2022-03-11T00:00:00"/>
    <n v="14"/>
    <s v="Company N"/>
    <x v="3"/>
    <x v="2"/>
    <s v="New Mexico"/>
    <x v="2"/>
    <n v="199"/>
    <n v="1"/>
    <n v="199"/>
    <n v="5"/>
  </r>
  <r>
    <s v="1367"/>
    <d v="2022-03-11T00:00:00"/>
    <n v="8"/>
    <s v="Company H"/>
    <x v="7"/>
    <x v="3"/>
    <s v="California"/>
    <x v="2"/>
    <n v="199"/>
    <n v="5"/>
    <n v="995"/>
    <n v="8"/>
  </r>
  <r>
    <s v="1369"/>
    <d v="2022-03-13T00:00:00"/>
    <n v="11"/>
    <s v="Company K"/>
    <x v="3"/>
    <x v="2"/>
    <s v="New Mexico"/>
    <x v="2"/>
    <n v="199"/>
    <n v="0"/>
    <n v="0"/>
    <n v="5"/>
  </r>
  <r>
    <s v="1373"/>
    <d v="2022-03-15T00:00:00"/>
    <n v="1"/>
    <s v="Company A"/>
    <x v="4"/>
    <x v="2"/>
    <s v="Texas"/>
    <x v="2"/>
    <n v="199"/>
    <n v="4"/>
    <n v="796"/>
    <n v="2"/>
  </r>
  <r>
    <s v="1384"/>
    <d v="2022-03-19T00:00:00"/>
    <n v="15"/>
    <s v="Company O"/>
    <x v="3"/>
    <x v="2"/>
    <s v="New Mexico"/>
    <x v="2"/>
    <n v="199"/>
    <n v="9"/>
    <n v="1791"/>
    <n v="5"/>
  </r>
  <r>
    <s v="1386"/>
    <d v="2022-03-19T00:00:00"/>
    <n v="2"/>
    <s v="Company B"/>
    <x v="4"/>
    <x v="2"/>
    <s v="Texas"/>
    <x v="2"/>
    <n v="199"/>
    <n v="8"/>
    <n v="1592"/>
    <n v="2"/>
  </r>
  <r>
    <s v="1395"/>
    <d v="2022-03-21T00:00:00"/>
    <n v="4"/>
    <s v="Company D"/>
    <x v="2"/>
    <x v="0"/>
    <s v="Texas"/>
    <x v="2"/>
    <n v="199"/>
    <n v="3"/>
    <n v="597"/>
    <n v="2"/>
  </r>
  <r>
    <s v="1399"/>
    <d v="2022-03-23T00:00:00"/>
    <n v="2"/>
    <s v="Company B"/>
    <x v="4"/>
    <x v="2"/>
    <s v="Texas"/>
    <x v="2"/>
    <n v="199"/>
    <n v="8"/>
    <n v="1592"/>
    <n v="2"/>
  </r>
  <r>
    <s v="1405"/>
    <d v="2022-03-23T00:00:00"/>
    <n v="11"/>
    <s v="Company K"/>
    <x v="5"/>
    <x v="1"/>
    <s v="New Mexico"/>
    <x v="2"/>
    <n v="199"/>
    <n v="8"/>
    <n v="1592"/>
    <n v="6"/>
  </r>
  <r>
    <s v="1411"/>
    <d v="2022-03-26T00:00:00"/>
    <n v="8"/>
    <s v="Company H"/>
    <x v="1"/>
    <x v="1"/>
    <s v="California"/>
    <x v="2"/>
    <n v="199"/>
    <n v="1"/>
    <n v="199"/>
    <n v="4"/>
  </r>
  <r>
    <s v="1417"/>
    <d v="2022-03-27T00:00:00"/>
    <n v="18"/>
    <s v="Company R"/>
    <x v="6"/>
    <x v="0"/>
    <s v="Arizona"/>
    <x v="2"/>
    <n v="199"/>
    <n v="2"/>
    <n v="398"/>
    <n v="5"/>
  </r>
  <r>
    <s v="1420"/>
    <d v="2022-03-29T00:00:00"/>
    <n v="18"/>
    <s v="Company R"/>
    <x v="0"/>
    <x v="0"/>
    <s v="Arizona"/>
    <x v="2"/>
    <n v="199"/>
    <n v="0"/>
    <n v="0"/>
    <n v="3"/>
  </r>
  <r>
    <s v="1421"/>
    <d v="2022-03-29T00:00:00"/>
    <n v="2"/>
    <s v="Company B"/>
    <x v="2"/>
    <x v="0"/>
    <s v="Texas"/>
    <x v="2"/>
    <n v="199"/>
    <n v="0"/>
    <n v="0"/>
    <n v="2"/>
  </r>
  <r>
    <s v="1422"/>
    <d v="2022-03-30T00:00:00"/>
    <n v="2"/>
    <s v="Company B"/>
    <x v="4"/>
    <x v="2"/>
    <s v="Texas"/>
    <x v="2"/>
    <n v="199"/>
    <n v="9"/>
    <n v="1791"/>
    <n v="2"/>
  </r>
  <r>
    <s v="1428"/>
    <d v="2022-03-31T00:00:00"/>
    <n v="5"/>
    <s v="Company E"/>
    <x v="4"/>
    <x v="2"/>
    <s v="Texas"/>
    <x v="2"/>
    <n v="199"/>
    <n v="9"/>
    <n v="1791"/>
    <n v="2"/>
  </r>
  <r>
    <s v="1430"/>
    <d v="2022-04-01T00:00:00"/>
    <n v="10"/>
    <s v="Company J"/>
    <x v="7"/>
    <x v="3"/>
    <s v="California"/>
    <x v="2"/>
    <n v="199"/>
    <n v="6"/>
    <n v="1194"/>
    <n v="8"/>
  </r>
  <r>
    <s v="1437"/>
    <d v="2022-04-05T00:00:00"/>
    <n v="7"/>
    <s v="Company G"/>
    <x v="1"/>
    <x v="1"/>
    <s v="California"/>
    <x v="2"/>
    <n v="199"/>
    <n v="8"/>
    <n v="1592"/>
    <n v="4"/>
  </r>
  <r>
    <s v="1439"/>
    <d v="2022-04-05T00:00:00"/>
    <n v="16"/>
    <s v="Company P"/>
    <x v="0"/>
    <x v="0"/>
    <s v="Arizona"/>
    <x v="2"/>
    <n v="199"/>
    <n v="9"/>
    <n v="1791"/>
    <n v="3"/>
  </r>
  <r>
    <s v="1440"/>
    <d v="2022-04-05T00:00:00"/>
    <n v="18"/>
    <s v="Company R"/>
    <x v="0"/>
    <x v="0"/>
    <s v="Arizona"/>
    <x v="2"/>
    <n v="199"/>
    <n v="2"/>
    <n v="398"/>
    <n v="3"/>
  </r>
  <r>
    <s v="1441"/>
    <d v="2022-04-05T00:00:00"/>
    <n v="13"/>
    <s v="Company M"/>
    <x v="5"/>
    <x v="1"/>
    <s v="New Mexico"/>
    <x v="2"/>
    <n v="199"/>
    <n v="5"/>
    <n v="995"/>
    <n v="6"/>
  </r>
  <r>
    <s v="1445"/>
    <d v="2022-04-06T00:00:00"/>
    <n v="1"/>
    <s v="Company A"/>
    <x v="4"/>
    <x v="2"/>
    <s v="Texas"/>
    <x v="2"/>
    <n v="199"/>
    <n v="3"/>
    <n v="597"/>
    <n v="2"/>
  </r>
  <r>
    <s v="1450"/>
    <d v="2022-04-07T00:00:00"/>
    <n v="4"/>
    <s v="Company D"/>
    <x v="4"/>
    <x v="2"/>
    <s v="Texas"/>
    <x v="2"/>
    <n v="199"/>
    <n v="5"/>
    <n v="995"/>
    <n v="2"/>
  </r>
  <r>
    <s v="1456"/>
    <d v="2022-04-09T00:00:00"/>
    <n v="17"/>
    <s v="Company Q"/>
    <x v="6"/>
    <x v="0"/>
    <s v="Arizona"/>
    <x v="2"/>
    <n v="199"/>
    <n v="7"/>
    <n v="1393"/>
    <n v="5"/>
  </r>
  <r>
    <s v="1459"/>
    <d v="2022-04-10T00:00:00"/>
    <n v="17"/>
    <s v="Company Q"/>
    <x v="0"/>
    <x v="0"/>
    <s v="Arizona"/>
    <x v="2"/>
    <n v="199"/>
    <n v="5"/>
    <n v="995"/>
    <n v="3"/>
  </r>
  <r>
    <s v="1460"/>
    <d v="2022-04-11T00:00:00"/>
    <n v="13"/>
    <s v="Company M"/>
    <x v="3"/>
    <x v="2"/>
    <s v="New Mexico"/>
    <x v="2"/>
    <n v="199"/>
    <n v="9"/>
    <n v="1791"/>
    <n v="5"/>
  </r>
  <r>
    <s v="1463"/>
    <d v="2022-04-12T00:00:00"/>
    <n v="13"/>
    <s v="Company M"/>
    <x v="3"/>
    <x v="2"/>
    <s v="New Mexico"/>
    <x v="2"/>
    <n v="199"/>
    <n v="3"/>
    <n v="597"/>
    <n v="5"/>
  </r>
  <r>
    <s v="1467"/>
    <d v="2022-04-15T00:00:00"/>
    <n v="3"/>
    <s v="Company C"/>
    <x v="4"/>
    <x v="2"/>
    <s v="Texas"/>
    <x v="2"/>
    <n v="199"/>
    <n v="5"/>
    <n v="995"/>
    <n v="2"/>
  </r>
  <r>
    <s v="1488"/>
    <d v="2022-04-23T00:00:00"/>
    <n v="12"/>
    <s v="Company L"/>
    <x v="5"/>
    <x v="1"/>
    <s v="New Mexico"/>
    <x v="2"/>
    <n v="199"/>
    <n v="8"/>
    <n v="1592"/>
    <n v="6"/>
  </r>
  <r>
    <s v="1497"/>
    <d v="2022-04-26T00:00:00"/>
    <n v="13"/>
    <s v="Company M"/>
    <x v="5"/>
    <x v="1"/>
    <s v="New Mexico"/>
    <x v="2"/>
    <n v="199"/>
    <n v="5"/>
    <n v="995"/>
    <n v="6"/>
  </r>
  <r>
    <s v="1508"/>
    <d v="2022-05-01T00:00:00"/>
    <n v="2"/>
    <s v="Company B"/>
    <x v="2"/>
    <x v="0"/>
    <s v="Texas"/>
    <x v="2"/>
    <n v="199"/>
    <n v="4"/>
    <n v="796"/>
    <n v="2"/>
  </r>
  <r>
    <s v="1514"/>
    <d v="2022-05-03T00:00:00"/>
    <n v="11"/>
    <s v="Company K"/>
    <x v="3"/>
    <x v="2"/>
    <s v="New Mexico"/>
    <x v="2"/>
    <n v="199"/>
    <n v="2"/>
    <n v="398"/>
    <n v="5"/>
  </r>
  <r>
    <s v="1529"/>
    <d v="2022-05-07T00:00:00"/>
    <n v="18"/>
    <s v="Company R"/>
    <x v="0"/>
    <x v="0"/>
    <s v="Arizona"/>
    <x v="2"/>
    <n v="199"/>
    <n v="1"/>
    <n v="199"/>
    <n v="3"/>
  </r>
  <r>
    <s v="1531"/>
    <d v="2022-05-08T00:00:00"/>
    <n v="4"/>
    <s v="Company D"/>
    <x v="2"/>
    <x v="0"/>
    <s v="Texas"/>
    <x v="2"/>
    <n v="199"/>
    <n v="7"/>
    <n v="1393"/>
    <n v="2"/>
  </r>
  <r>
    <s v="1539"/>
    <d v="2022-05-11T00:00:00"/>
    <n v="15"/>
    <s v="Company O"/>
    <x v="5"/>
    <x v="1"/>
    <s v="New Mexico"/>
    <x v="2"/>
    <n v="199"/>
    <n v="7"/>
    <n v="1393"/>
    <n v="6"/>
  </r>
  <r>
    <s v="1542"/>
    <d v="2022-05-13T00:00:00"/>
    <n v="5"/>
    <s v="Company E"/>
    <x v="4"/>
    <x v="2"/>
    <s v="Texas"/>
    <x v="2"/>
    <n v="199"/>
    <n v="6"/>
    <n v="1194"/>
    <n v="2"/>
  </r>
  <r>
    <s v="1544"/>
    <d v="2022-05-13T00:00:00"/>
    <n v="19"/>
    <s v="Company S"/>
    <x v="0"/>
    <x v="0"/>
    <s v="Arizona"/>
    <x v="2"/>
    <n v="199"/>
    <n v="5"/>
    <n v="995"/>
    <n v="3"/>
  </r>
  <r>
    <s v="1546"/>
    <d v="2022-05-15T00:00:00"/>
    <n v="15"/>
    <s v="Company O"/>
    <x v="5"/>
    <x v="1"/>
    <s v="New Mexico"/>
    <x v="2"/>
    <n v="199"/>
    <n v="7"/>
    <n v="1393"/>
    <n v="6"/>
  </r>
  <r>
    <s v="1550"/>
    <d v="2022-05-17T00:00:00"/>
    <n v="15"/>
    <s v="Company O"/>
    <x v="3"/>
    <x v="2"/>
    <s v="New Mexico"/>
    <x v="2"/>
    <n v="199"/>
    <n v="3"/>
    <n v="597"/>
    <n v="5"/>
  </r>
  <r>
    <s v="1556"/>
    <d v="2022-05-17T00:00:00"/>
    <n v="17"/>
    <s v="Company Q"/>
    <x v="6"/>
    <x v="0"/>
    <s v="Arizona"/>
    <x v="2"/>
    <n v="199"/>
    <n v="2"/>
    <n v="398"/>
    <n v="5"/>
  </r>
  <r>
    <s v="1560"/>
    <d v="2022-05-19T00:00:00"/>
    <n v="20"/>
    <s v="Company T"/>
    <x v="6"/>
    <x v="0"/>
    <s v="Arizona"/>
    <x v="2"/>
    <n v="199"/>
    <n v="2"/>
    <n v="398"/>
    <n v="5"/>
  </r>
  <r>
    <s v="1564"/>
    <d v="2022-05-20T00:00:00"/>
    <n v="2"/>
    <s v="Company B"/>
    <x v="2"/>
    <x v="0"/>
    <s v="Texas"/>
    <x v="2"/>
    <n v="199"/>
    <n v="9"/>
    <n v="1791"/>
    <n v="2"/>
  </r>
  <r>
    <s v="1577"/>
    <d v="2022-05-25T00:00:00"/>
    <n v="13"/>
    <s v="Company M"/>
    <x v="5"/>
    <x v="1"/>
    <s v="New Mexico"/>
    <x v="2"/>
    <n v="199"/>
    <n v="0"/>
    <n v="0"/>
    <n v="6"/>
  </r>
  <r>
    <s v="1579"/>
    <d v="2022-05-25T00:00:00"/>
    <n v="1"/>
    <s v="Company A"/>
    <x v="4"/>
    <x v="2"/>
    <s v="Texas"/>
    <x v="2"/>
    <n v="199"/>
    <n v="1"/>
    <n v="199"/>
    <n v="2"/>
  </r>
  <r>
    <s v="1580"/>
    <d v="2022-05-25T00:00:00"/>
    <n v="11"/>
    <s v="Company K"/>
    <x v="5"/>
    <x v="1"/>
    <s v="New Mexico"/>
    <x v="2"/>
    <n v="199"/>
    <n v="6"/>
    <n v="1194"/>
    <n v="6"/>
  </r>
  <r>
    <s v="1584"/>
    <d v="2022-05-25T00:00:00"/>
    <n v="5"/>
    <s v="Company E"/>
    <x v="4"/>
    <x v="2"/>
    <s v="Texas"/>
    <x v="2"/>
    <n v="199"/>
    <n v="8"/>
    <n v="1592"/>
    <n v="2"/>
  </r>
  <r>
    <s v="1587"/>
    <d v="2022-05-26T00:00:00"/>
    <n v="11"/>
    <s v="Company K"/>
    <x v="5"/>
    <x v="1"/>
    <s v="New Mexico"/>
    <x v="2"/>
    <n v="199"/>
    <n v="1"/>
    <n v="199"/>
    <n v="6"/>
  </r>
  <r>
    <s v="1595"/>
    <d v="2022-05-27T00:00:00"/>
    <n v="19"/>
    <s v="Company S"/>
    <x v="6"/>
    <x v="0"/>
    <s v="Arizona"/>
    <x v="2"/>
    <n v="199"/>
    <n v="0"/>
    <n v="0"/>
    <n v="5"/>
  </r>
  <r>
    <s v="1597"/>
    <d v="2022-05-28T00:00:00"/>
    <n v="16"/>
    <s v="Company P"/>
    <x v="6"/>
    <x v="0"/>
    <s v="Arizona"/>
    <x v="2"/>
    <n v="199"/>
    <n v="8"/>
    <n v="1592"/>
    <n v="5"/>
  </r>
  <r>
    <s v="1600"/>
    <d v="2022-05-28T00:00:00"/>
    <n v="9"/>
    <s v="Company I"/>
    <x v="1"/>
    <x v="1"/>
    <s v="California"/>
    <x v="2"/>
    <n v="199"/>
    <n v="1"/>
    <n v="199"/>
    <n v="4"/>
  </r>
  <r>
    <s v="1602"/>
    <d v="2022-05-29T00:00:00"/>
    <n v="4"/>
    <s v="Company D"/>
    <x v="4"/>
    <x v="2"/>
    <s v="Texas"/>
    <x v="2"/>
    <n v="199"/>
    <n v="1"/>
    <n v="199"/>
    <n v="2"/>
  </r>
  <r>
    <s v="1603"/>
    <d v="2022-05-29T00:00:00"/>
    <n v="18"/>
    <s v="Company R"/>
    <x v="6"/>
    <x v="0"/>
    <s v="Arizona"/>
    <x v="2"/>
    <n v="199"/>
    <n v="8"/>
    <n v="1592"/>
    <n v="5"/>
  </r>
  <r>
    <s v="1604"/>
    <d v="2022-05-29T00:00:00"/>
    <n v="13"/>
    <s v="Company M"/>
    <x v="5"/>
    <x v="1"/>
    <s v="New Mexico"/>
    <x v="2"/>
    <n v="199"/>
    <n v="7"/>
    <n v="1393"/>
    <n v="6"/>
  </r>
  <r>
    <s v="1625"/>
    <d v="2022-06-06T00:00:00"/>
    <n v="14"/>
    <s v="Company N"/>
    <x v="5"/>
    <x v="1"/>
    <s v="New Mexico"/>
    <x v="2"/>
    <n v="199"/>
    <n v="7"/>
    <n v="1393"/>
    <n v="6"/>
  </r>
  <r>
    <s v="1626"/>
    <d v="2022-06-06T00:00:00"/>
    <n v="15"/>
    <s v="Company O"/>
    <x v="3"/>
    <x v="2"/>
    <s v="New Mexico"/>
    <x v="2"/>
    <n v="199"/>
    <n v="6"/>
    <n v="1194"/>
    <n v="5"/>
  </r>
  <r>
    <s v="1638"/>
    <d v="2022-06-08T00:00:00"/>
    <n v="4"/>
    <s v="Company D"/>
    <x v="4"/>
    <x v="2"/>
    <s v="Texas"/>
    <x v="2"/>
    <n v="199"/>
    <n v="1"/>
    <n v="199"/>
    <n v="2"/>
  </r>
  <r>
    <s v="1643"/>
    <d v="2022-06-08T00:00:00"/>
    <n v="7"/>
    <s v="Company G"/>
    <x v="1"/>
    <x v="1"/>
    <s v="California"/>
    <x v="2"/>
    <n v="199"/>
    <n v="9"/>
    <n v="1791"/>
    <n v="4"/>
  </r>
  <r>
    <s v="1646"/>
    <d v="2022-06-10T00:00:00"/>
    <n v="11"/>
    <s v="Company K"/>
    <x v="3"/>
    <x v="2"/>
    <s v="New Mexico"/>
    <x v="2"/>
    <n v="199"/>
    <n v="4"/>
    <n v="796"/>
    <n v="5"/>
  </r>
  <r>
    <s v="1652"/>
    <d v="2022-06-11T00:00:00"/>
    <n v="9"/>
    <s v="Company I"/>
    <x v="1"/>
    <x v="1"/>
    <s v="California"/>
    <x v="2"/>
    <n v="199"/>
    <n v="5"/>
    <n v="995"/>
    <n v="4"/>
  </r>
  <r>
    <s v="1655"/>
    <d v="2022-06-14T00:00:00"/>
    <n v="17"/>
    <s v="Company Q"/>
    <x v="0"/>
    <x v="0"/>
    <s v="Arizona"/>
    <x v="2"/>
    <n v="199"/>
    <n v="8"/>
    <n v="1592"/>
    <n v="3"/>
  </r>
  <r>
    <s v="1665"/>
    <d v="2022-06-15T00:00:00"/>
    <n v="17"/>
    <s v="Company Q"/>
    <x v="0"/>
    <x v="0"/>
    <s v="Arizona"/>
    <x v="2"/>
    <n v="199"/>
    <n v="3"/>
    <n v="597"/>
    <n v="3"/>
  </r>
  <r>
    <s v="1666"/>
    <d v="2022-06-16T00:00:00"/>
    <n v="20"/>
    <s v="Company T"/>
    <x v="0"/>
    <x v="0"/>
    <s v="Arizona"/>
    <x v="2"/>
    <n v="199"/>
    <n v="7"/>
    <n v="1393"/>
    <n v="3"/>
  </r>
  <r>
    <s v="1675"/>
    <d v="2022-06-19T00:00:00"/>
    <n v="13"/>
    <s v="Company M"/>
    <x v="3"/>
    <x v="2"/>
    <s v="New Mexico"/>
    <x v="2"/>
    <n v="199"/>
    <n v="0"/>
    <n v="0"/>
    <n v="5"/>
  </r>
  <r>
    <s v="1676"/>
    <d v="2022-06-19T00:00:00"/>
    <n v="11"/>
    <s v="Company K"/>
    <x v="3"/>
    <x v="2"/>
    <s v="New Mexico"/>
    <x v="2"/>
    <n v="199"/>
    <n v="7"/>
    <n v="1393"/>
    <n v="5"/>
  </r>
  <r>
    <s v="1679"/>
    <d v="2022-06-21T00:00:00"/>
    <n v="20"/>
    <s v="Company T"/>
    <x v="6"/>
    <x v="0"/>
    <s v="Arizona"/>
    <x v="2"/>
    <n v="199"/>
    <n v="7"/>
    <n v="1393"/>
    <n v="5"/>
  </r>
  <r>
    <s v="1682"/>
    <d v="2022-06-22T00:00:00"/>
    <n v="3"/>
    <s v="Company C"/>
    <x v="4"/>
    <x v="2"/>
    <s v="Texas"/>
    <x v="2"/>
    <n v="199"/>
    <n v="5"/>
    <n v="995"/>
    <n v="2"/>
  </r>
  <r>
    <s v="1695"/>
    <d v="2022-06-29T00:00:00"/>
    <n v="8"/>
    <s v="Company H"/>
    <x v="1"/>
    <x v="1"/>
    <s v="California"/>
    <x v="2"/>
    <n v="199"/>
    <n v="3"/>
    <n v="597"/>
    <n v="4"/>
  </r>
  <r>
    <s v="1698"/>
    <d v="2022-07-02T00:00:00"/>
    <n v="8"/>
    <s v="Company H"/>
    <x v="1"/>
    <x v="1"/>
    <s v="California"/>
    <x v="2"/>
    <n v="199"/>
    <n v="3"/>
    <n v="597"/>
    <n v="4"/>
  </r>
  <r>
    <s v="1702"/>
    <d v="2022-07-05T00:00:00"/>
    <n v="8"/>
    <s v="Company H"/>
    <x v="7"/>
    <x v="3"/>
    <s v="California"/>
    <x v="2"/>
    <n v="199"/>
    <n v="5"/>
    <n v="995"/>
    <n v="8"/>
  </r>
  <r>
    <s v="1705"/>
    <d v="2022-07-07T00:00:00"/>
    <n v="9"/>
    <s v="Company I"/>
    <x v="7"/>
    <x v="3"/>
    <s v="California"/>
    <x v="2"/>
    <n v="199"/>
    <n v="2"/>
    <n v="398"/>
    <n v="8"/>
  </r>
  <r>
    <s v="1708"/>
    <d v="2022-07-10T00:00:00"/>
    <n v="5"/>
    <s v="Company E"/>
    <x v="2"/>
    <x v="0"/>
    <s v="Texas"/>
    <x v="2"/>
    <n v="199"/>
    <n v="3"/>
    <n v="597"/>
    <n v="2"/>
  </r>
  <r>
    <s v="1709"/>
    <d v="2022-07-10T00:00:00"/>
    <n v="8"/>
    <s v="Company H"/>
    <x v="1"/>
    <x v="1"/>
    <s v="California"/>
    <x v="2"/>
    <n v="199"/>
    <n v="6"/>
    <n v="1194"/>
    <n v="4"/>
  </r>
  <r>
    <s v="1714"/>
    <d v="2022-07-12T00:00:00"/>
    <n v="13"/>
    <s v="Company M"/>
    <x v="3"/>
    <x v="2"/>
    <s v="New Mexico"/>
    <x v="2"/>
    <n v="199"/>
    <n v="3"/>
    <n v="597"/>
    <n v="5"/>
  </r>
  <r>
    <s v="1721"/>
    <d v="2022-07-13T00:00:00"/>
    <n v="6"/>
    <s v="Company F"/>
    <x v="1"/>
    <x v="1"/>
    <s v="California"/>
    <x v="2"/>
    <n v="199"/>
    <n v="1"/>
    <n v="199"/>
    <n v="4"/>
  </r>
  <r>
    <s v="1722"/>
    <d v="2022-07-14T00:00:00"/>
    <n v="16"/>
    <s v="Company P"/>
    <x v="0"/>
    <x v="0"/>
    <s v="Arizona"/>
    <x v="2"/>
    <n v="199"/>
    <n v="8"/>
    <n v="1592"/>
    <n v="3"/>
  </r>
  <r>
    <s v="1723"/>
    <d v="2022-07-14T00:00:00"/>
    <n v="10"/>
    <s v="Company J"/>
    <x v="1"/>
    <x v="1"/>
    <s v="California"/>
    <x v="2"/>
    <n v="199"/>
    <n v="2"/>
    <n v="398"/>
    <n v="4"/>
  </r>
  <r>
    <s v="1727"/>
    <d v="2022-07-14T00:00:00"/>
    <n v="4"/>
    <s v="Company D"/>
    <x v="2"/>
    <x v="0"/>
    <s v="Texas"/>
    <x v="2"/>
    <n v="199"/>
    <n v="3"/>
    <n v="597"/>
    <n v="2"/>
  </r>
  <r>
    <s v="1740"/>
    <d v="2022-07-20T00:00:00"/>
    <n v="2"/>
    <s v="Company B"/>
    <x v="2"/>
    <x v="0"/>
    <s v="Texas"/>
    <x v="2"/>
    <n v="199"/>
    <n v="4"/>
    <n v="796"/>
    <n v="2"/>
  </r>
  <r>
    <s v="1745"/>
    <d v="2022-07-21T00:00:00"/>
    <n v="9"/>
    <s v="Company I"/>
    <x v="1"/>
    <x v="1"/>
    <s v="California"/>
    <x v="2"/>
    <n v="199"/>
    <n v="5"/>
    <n v="995"/>
    <n v="4"/>
  </r>
  <r>
    <s v="1747"/>
    <d v="2022-07-22T00:00:00"/>
    <n v="6"/>
    <s v="Company F"/>
    <x v="1"/>
    <x v="1"/>
    <s v="California"/>
    <x v="2"/>
    <n v="199"/>
    <n v="0"/>
    <n v="0"/>
    <n v="4"/>
  </r>
  <r>
    <s v="1760"/>
    <d v="2022-07-27T00:00:00"/>
    <n v="18"/>
    <s v="Company R"/>
    <x v="6"/>
    <x v="0"/>
    <s v="Arizona"/>
    <x v="2"/>
    <n v="199"/>
    <n v="0"/>
    <n v="0"/>
    <n v="5"/>
  </r>
  <r>
    <s v="1761"/>
    <d v="2022-07-28T00:00:00"/>
    <n v="11"/>
    <s v="Company K"/>
    <x v="3"/>
    <x v="2"/>
    <s v="New Mexico"/>
    <x v="2"/>
    <n v="199"/>
    <n v="4"/>
    <n v="796"/>
    <n v="5"/>
  </r>
  <r>
    <s v="1763"/>
    <d v="2022-07-29T00:00:00"/>
    <n v="2"/>
    <s v="Company B"/>
    <x v="2"/>
    <x v="0"/>
    <s v="Texas"/>
    <x v="2"/>
    <n v="199"/>
    <n v="7"/>
    <n v="1393"/>
    <n v="2"/>
  </r>
  <r>
    <s v="1765"/>
    <d v="2022-07-30T00:00:00"/>
    <n v="9"/>
    <s v="Company I"/>
    <x v="1"/>
    <x v="1"/>
    <s v="California"/>
    <x v="2"/>
    <n v="199"/>
    <n v="3"/>
    <n v="597"/>
    <n v="4"/>
  </r>
  <r>
    <s v="1771"/>
    <d v="2022-08-03T00:00:00"/>
    <n v="4"/>
    <s v="Company D"/>
    <x v="2"/>
    <x v="0"/>
    <s v="Texas"/>
    <x v="2"/>
    <n v="199"/>
    <n v="7"/>
    <n v="1393"/>
    <n v="2"/>
  </r>
  <r>
    <s v="1772"/>
    <d v="2022-08-04T00:00:00"/>
    <n v="18"/>
    <s v="Company R"/>
    <x v="0"/>
    <x v="0"/>
    <s v="Arizona"/>
    <x v="2"/>
    <n v="199"/>
    <n v="8"/>
    <n v="1592"/>
    <n v="3"/>
  </r>
  <r>
    <s v="1773"/>
    <d v="2022-08-04T00:00:00"/>
    <n v="5"/>
    <s v="Company E"/>
    <x v="2"/>
    <x v="0"/>
    <s v="Texas"/>
    <x v="2"/>
    <n v="199"/>
    <n v="2"/>
    <n v="398"/>
    <n v="2"/>
  </r>
  <r>
    <s v="1774"/>
    <d v="2022-08-04T00:00:00"/>
    <n v="8"/>
    <s v="Company H"/>
    <x v="1"/>
    <x v="1"/>
    <s v="California"/>
    <x v="2"/>
    <n v="199"/>
    <n v="1"/>
    <n v="199"/>
    <n v="4"/>
  </r>
  <r>
    <s v="1782"/>
    <d v="2022-08-08T00:00:00"/>
    <n v="13"/>
    <s v="Company M"/>
    <x v="3"/>
    <x v="2"/>
    <s v="New Mexico"/>
    <x v="2"/>
    <n v="199"/>
    <n v="3"/>
    <n v="597"/>
    <n v="5"/>
  </r>
  <r>
    <s v="1789"/>
    <d v="2022-08-10T00:00:00"/>
    <n v="4"/>
    <s v="Company D"/>
    <x v="4"/>
    <x v="2"/>
    <s v="Texas"/>
    <x v="2"/>
    <n v="199"/>
    <n v="9"/>
    <n v="1791"/>
    <n v="2"/>
  </r>
  <r>
    <s v="1797"/>
    <d v="2022-08-12T00:00:00"/>
    <n v="10"/>
    <s v="Company J"/>
    <x v="7"/>
    <x v="3"/>
    <s v="California"/>
    <x v="2"/>
    <n v="199"/>
    <n v="2"/>
    <n v="398"/>
    <n v="8"/>
  </r>
  <r>
    <s v="1800"/>
    <d v="2022-08-12T00:00:00"/>
    <n v="9"/>
    <s v="Company I"/>
    <x v="7"/>
    <x v="3"/>
    <s v="California"/>
    <x v="2"/>
    <n v="199"/>
    <n v="8"/>
    <n v="1592"/>
    <n v="8"/>
  </r>
  <r>
    <s v="1802"/>
    <d v="2022-08-12T00:00:00"/>
    <n v="6"/>
    <s v="Company F"/>
    <x v="1"/>
    <x v="1"/>
    <s v="California"/>
    <x v="2"/>
    <n v="199"/>
    <n v="6"/>
    <n v="1194"/>
    <n v="4"/>
  </r>
  <r>
    <s v="1804"/>
    <d v="2022-08-12T00:00:00"/>
    <n v="8"/>
    <s v="Company H"/>
    <x v="1"/>
    <x v="1"/>
    <s v="California"/>
    <x v="2"/>
    <n v="199"/>
    <n v="6"/>
    <n v="1194"/>
    <n v="4"/>
  </r>
  <r>
    <s v="1808"/>
    <d v="2022-08-13T00:00:00"/>
    <n v="9"/>
    <s v="Company I"/>
    <x v="1"/>
    <x v="1"/>
    <s v="California"/>
    <x v="2"/>
    <n v="199"/>
    <n v="3"/>
    <n v="597"/>
    <n v="4"/>
  </r>
  <r>
    <s v="1815"/>
    <d v="2022-08-16T00:00:00"/>
    <n v="5"/>
    <s v="Company E"/>
    <x v="4"/>
    <x v="2"/>
    <s v="Texas"/>
    <x v="2"/>
    <n v="199"/>
    <n v="2"/>
    <n v="398"/>
    <n v="2"/>
  </r>
  <r>
    <s v="1818"/>
    <d v="2022-08-17T00:00:00"/>
    <n v="5"/>
    <s v="Company E"/>
    <x v="2"/>
    <x v="0"/>
    <s v="Texas"/>
    <x v="2"/>
    <n v="199"/>
    <n v="4"/>
    <n v="796"/>
    <n v="2"/>
  </r>
  <r>
    <s v="1819"/>
    <d v="2022-08-17T00:00:00"/>
    <n v="9"/>
    <s v="Company I"/>
    <x v="7"/>
    <x v="3"/>
    <s v="California"/>
    <x v="2"/>
    <n v="199"/>
    <n v="9"/>
    <n v="1791"/>
    <n v="8"/>
  </r>
  <r>
    <s v="1821"/>
    <d v="2022-08-17T00:00:00"/>
    <n v="7"/>
    <s v="Company G"/>
    <x v="1"/>
    <x v="1"/>
    <s v="California"/>
    <x v="2"/>
    <n v="199"/>
    <n v="6"/>
    <n v="1194"/>
    <n v="4"/>
  </r>
  <r>
    <s v="1823"/>
    <d v="2022-08-18T00:00:00"/>
    <n v="9"/>
    <s v="Company I"/>
    <x v="7"/>
    <x v="3"/>
    <s v="California"/>
    <x v="2"/>
    <n v="199"/>
    <n v="3"/>
    <n v="597"/>
    <n v="8"/>
  </r>
  <r>
    <s v="1825"/>
    <d v="2022-08-19T00:00:00"/>
    <n v="11"/>
    <s v="Company K"/>
    <x v="3"/>
    <x v="2"/>
    <s v="New Mexico"/>
    <x v="2"/>
    <n v="199"/>
    <n v="5"/>
    <n v="995"/>
    <n v="5"/>
  </r>
  <r>
    <s v="1831"/>
    <d v="2022-08-21T00:00:00"/>
    <n v="8"/>
    <s v="Company H"/>
    <x v="7"/>
    <x v="3"/>
    <s v="California"/>
    <x v="2"/>
    <n v="199"/>
    <n v="3"/>
    <n v="597"/>
    <n v="8"/>
  </r>
  <r>
    <s v="1834"/>
    <d v="2022-08-21T00:00:00"/>
    <n v="5"/>
    <s v="Company E"/>
    <x v="4"/>
    <x v="2"/>
    <s v="Texas"/>
    <x v="2"/>
    <n v="199"/>
    <n v="7"/>
    <n v="1393"/>
    <n v="2"/>
  </r>
  <r>
    <s v="1836"/>
    <d v="2022-08-21T00:00:00"/>
    <n v="9"/>
    <s v="Company I"/>
    <x v="1"/>
    <x v="1"/>
    <s v="California"/>
    <x v="2"/>
    <n v="199"/>
    <n v="5"/>
    <n v="995"/>
    <n v="4"/>
  </r>
  <r>
    <s v="1840"/>
    <d v="2022-08-22T00:00:00"/>
    <n v="17"/>
    <s v="Company Q"/>
    <x v="0"/>
    <x v="0"/>
    <s v="Arizona"/>
    <x v="2"/>
    <n v="199"/>
    <n v="5"/>
    <n v="995"/>
    <n v="3"/>
  </r>
  <r>
    <s v="1841"/>
    <d v="2022-08-22T00:00:00"/>
    <n v="3"/>
    <s v="Company C"/>
    <x v="4"/>
    <x v="2"/>
    <s v="Texas"/>
    <x v="2"/>
    <n v="199"/>
    <n v="4"/>
    <n v="796"/>
    <n v="2"/>
  </r>
  <r>
    <s v="1843"/>
    <d v="2022-08-22T00:00:00"/>
    <n v="20"/>
    <s v="Company T"/>
    <x v="6"/>
    <x v="0"/>
    <s v="Arizona"/>
    <x v="2"/>
    <n v="199"/>
    <n v="1"/>
    <n v="199"/>
    <n v="5"/>
  </r>
  <r>
    <s v="1844"/>
    <d v="2022-08-22T00:00:00"/>
    <n v="5"/>
    <s v="Company E"/>
    <x v="2"/>
    <x v="0"/>
    <s v="Texas"/>
    <x v="2"/>
    <n v="199"/>
    <n v="4"/>
    <n v="796"/>
    <n v="2"/>
  </r>
  <r>
    <s v="1857"/>
    <d v="2022-08-30T00:00:00"/>
    <n v="7"/>
    <s v="Company G"/>
    <x v="1"/>
    <x v="1"/>
    <s v="California"/>
    <x v="2"/>
    <n v="199"/>
    <n v="1"/>
    <n v="199"/>
    <n v="4"/>
  </r>
  <r>
    <s v="1868"/>
    <d v="2022-09-02T00:00:00"/>
    <n v="15"/>
    <s v="Company O"/>
    <x v="3"/>
    <x v="2"/>
    <s v="New Mexico"/>
    <x v="2"/>
    <n v="199"/>
    <n v="5"/>
    <n v="995"/>
    <n v="5"/>
  </r>
  <r>
    <s v="1873"/>
    <d v="2022-09-05T00:00:00"/>
    <n v="8"/>
    <s v="Company H"/>
    <x v="1"/>
    <x v="1"/>
    <s v="California"/>
    <x v="2"/>
    <n v="199"/>
    <n v="6"/>
    <n v="1194"/>
    <n v="4"/>
  </r>
  <r>
    <s v="1876"/>
    <d v="2022-09-06T00:00:00"/>
    <n v="16"/>
    <s v="Company P"/>
    <x v="6"/>
    <x v="0"/>
    <s v="Arizona"/>
    <x v="2"/>
    <n v="199"/>
    <n v="8"/>
    <n v="1592"/>
    <n v="5"/>
  </r>
  <r>
    <s v="1882"/>
    <d v="2022-09-07T00:00:00"/>
    <n v="2"/>
    <s v="Company B"/>
    <x v="2"/>
    <x v="0"/>
    <s v="Texas"/>
    <x v="2"/>
    <n v="199"/>
    <n v="1"/>
    <n v="199"/>
    <n v="2"/>
  </r>
  <r>
    <s v="1885"/>
    <d v="2022-09-08T00:00:00"/>
    <n v="14"/>
    <s v="Company N"/>
    <x v="5"/>
    <x v="1"/>
    <s v="New Mexico"/>
    <x v="2"/>
    <n v="199"/>
    <n v="3"/>
    <n v="597"/>
    <n v="6"/>
  </r>
  <r>
    <s v="1890"/>
    <d v="2022-09-10T00:00:00"/>
    <n v="10"/>
    <s v="Company J"/>
    <x v="1"/>
    <x v="1"/>
    <s v="California"/>
    <x v="2"/>
    <n v="199"/>
    <n v="5"/>
    <n v="995"/>
    <n v="4"/>
  </r>
  <r>
    <s v="1893"/>
    <d v="2022-09-11T00:00:00"/>
    <n v="15"/>
    <s v="Company O"/>
    <x v="5"/>
    <x v="1"/>
    <s v="New Mexico"/>
    <x v="2"/>
    <n v="199"/>
    <n v="1"/>
    <n v="199"/>
    <n v="6"/>
  </r>
  <r>
    <s v="1898"/>
    <d v="2022-09-13T00:00:00"/>
    <n v="3"/>
    <s v="Company C"/>
    <x v="4"/>
    <x v="2"/>
    <s v="Texas"/>
    <x v="2"/>
    <n v="199"/>
    <n v="1"/>
    <n v="199"/>
    <n v="2"/>
  </r>
  <r>
    <s v="1899"/>
    <d v="2022-09-14T00:00:00"/>
    <n v="9"/>
    <s v="Company I"/>
    <x v="1"/>
    <x v="1"/>
    <s v="California"/>
    <x v="2"/>
    <n v="199"/>
    <n v="0"/>
    <n v="0"/>
    <n v="4"/>
  </r>
  <r>
    <s v="1900"/>
    <d v="2022-09-15T00:00:00"/>
    <n v="2"/>
    <s v="Company B"/>
    <x v="2"/>
    <x v="0"/>
    <s v="Texas"/>
    <x v="2"/>
    <n v="199"/>
    <n v="6"/>
    <n v="1194"/>
    <n v="2"/>
  </r>
  <r>
    <s v="1908"/>
    <d v="2022-09-18T00:00:00"/>
    <n v="20"/>
    <s v="Company T"/>
    <x v="0"/>
    <x v="0"/>
    <s v="Arizona"/>
    <x v="2"/>
    <n v="199"/>
    <n v="7"/>
    <n v="1393"/>
    <n v="3"/>
  </r>
  <r>
    <s v="1915"/>
    <d v="2022-09-19T00:00:00"/>
    <n v="11"/>
    <s v="Company K"/>
    <x v="3"/>
    <x v="2"/>
    <s v="New Mexico"/>
    <x v="2"/>
    <n v="199"/>
    <n v="9"/>
    <n v="1791"/>
    <n v="5"/>
  </r>
  <r>
    <s v="1919"/>
    <d v="2022-09-20T00:00:00"/>
    <n v="11"/>
    <s v="Company K"/>
    <x v="5"/>
    <x v="1"/>
    <s v="New Mexico"/>
    <x v="2"/>
    <n v="199"/>
    <n v="4"/>
    <n v="796"/>
    <n v="6"/>
  </r>
  <r>
    <s v="1924"/>
    <d v="2022-09-20T00:00:00"/>
    <n v="6"/>
    <s v="Company F"/>
    <x v="7"/>
    <x v="3"/>
    <s v="California"/>
    <x v="2"/>
    <n v="199"/>
    <n v="0"/>
    <n v="0"/>
    <n v="8"/>
  </r>
  <r>
    <s v="1926"/>
    <d v="2022-09-22T00:00:00"/>
    <n v="1"/>
    <s v="Company A"/>
    <x v="2"/>
    <x v="0"/>
    <s v="Texas"/>
    <x v="2"/>
    <n v="199"/>
    <n v="3"/>
    <n v="597"/>
    <n v="2"/>
  </r>
  <r>
    <s v="1929"/>
    <d v="2022-09-22T00:00:00"/>
    <n v="9"/>
    <s v="Company I"/>
    <x v="1"/>
    <x v="1"/>
    <s v="California"/>
    <x v="2"/>
    <n v="199"/>
    <n v="3"/>
    <n v="597"/>
    <n v="4"/>
  </r>
  <r>
    <s v="1942"/>
    <d v="2022-09-28T00:00:00"/>
    <n v="4"/>
    <s v="Company D"/>
    <x v="2"/>
    <x v="0"/>
    <s v="Texas"/>
    <x v="2"/>
    <n v="199"/>
    <n v="0"/>
    <n v="0"/>
    <n v="2"/>
  </r>
  <r>
    <s v="1944"/>
    <d v="2022-09-29T00:00:00"/>
    <n v="12"/>
    <s v="Company L"/>
    <x v="5"/>
    <x v="1"/>
    <s v="New Mexico"/>
    <x v="2"/>
    <n v="199"/>
    <n v="2"/>
    <n v="398"/>
    <n v="6"/>
  </r>
  <r>
    <s v="1946"/>
    <d v="2022-09-29T00:00:00"/>
    <n v="16"/>
    <s v="Company P"/>
    <x v="0"/>
    <x v="0"/>
    <s v="Arizona"/>
    <x v="2"/>
    <n v="199"/>
    <n v="4"/>
    <n v="796"/>
    <n v="3"/>
  </r>
  <r>
    <s v="1947"/>
    <d v="2022-09-29T00:00:00"/>
    <n v="19"/>
    <s v="Company S"/>
    <x v="0"/>
    <x v="0"/>
    <s v="Arizona"/>
    <x v="2"/>
    <n v="199"/>
    <n v="2"/>
    <n v="398"/>
    <n v="3"/>
  </r>
  <r>
    <s v="1955"/>
    <d v="2022-10-02T00:00:00"/>
    <n v="10"/>
    <s v="Company J"/>
    <x v="7"/>
    <x v="3"/>
    <s v="California"/>
    <x v="2"/>
    <n v="199"/>
    <n v="7"/>
    <n v="1393"/>
    <n v="8"/>
  </r>
  <r>
    <s v="1965"/>
    <d v="2022-10-05T00:00:00"/>
    <n v="4"/>
    <s v="Company D"/>
    <x v="4"/>
    <x v="2"/>
    <s v="Texas"/>
    <x v="2"/>
    <n v="199"/>
    <n v="2"/>
    <n v="398"/>
    <n v="2"/>
  </r>
  <r>
    <s v="1969"/>
    <d v="2022-10-05T00:00:00"/>
    <n v="3"/>
    <s v="Company C"/>
    <x v="4"/>
    <x v="2"/>
    <s v="Texas"/>
    <x v="2"/>
    <n v="199"/>
    <n v="1"/>
    <n v="199"/>
    <n v="2"/>
  </r>
  <r>
    <s v="1978"/>
    <d v="2022-10-08T00:00:00"/>
    <n v="14"/>
    <s v="Company N"/>
    <x v="5"/>
    <x v="1"/>
    <s v="New Mexico"/>
    <x v="2"/>
    <n v="199"/>
    <n v="0"/>
    <n v="0"/>
    <n v="6"/>
  </r>
  <r>
    <s v="1984"/>
    <d v="2022-10-11T00:00:00"/>
    <n v="20"/>
    <s v="Company T"/>
    <x v="6"/>
    <x v="0"/>
    <s v="Arizona"/>
    <x v="2"/>
    <n v="199"/>
    <n v="1"/>
    <n v="199"/>
    <n v="5"/>
  </r>
  <r>
    <s v="1988"/>
    <d v="2022-10-13T00:00:00"/>
    <n v="2"/>
    <s v="Company B"/>
    <x v="4"/>
    <x v="2"/>
    <s v="Texas"/>
    <x v="2"/>
    <n v="199"/>
    <n v="5"/>
    <n v="995"/>
    <n v="2"/>
  </r>
  <r>
    <s v="1990"/>
    <d v="2022-10-13T00:00:00"/>
    <n v="11"/>
    <s v="Company K"/>
    <x v="3"/>
    <x v="2"/>
    <s v="New Mexico"/>
    <x v="2"/>
    <n v="199"/>
    <n v="4"/>
    <n v="796"/>
    <n v="5"/>
  </r>
  <r>
    <s v="1991"/>
    <d v="2022-10-14T00:00:00"/>
    <n v="3"/>
    <s v="Company C"/>
    <x v="2"/>
    <x v="0"/>
    <s v="Texas"/>
    <x v="2"/>
    <n v="199"/>
    <n v="7"/>
    <n v="1393"/>
    <n v="2"/>
  </r>
  <r>
    <s v="1993"/>
    <d v="2022-10-16T00:00:00"/>
    <n v="15"/>
    <s v="Company O"/>
    <x v="5"/>
    <x v="1"/>
    <s v="New Mexico"/>
    <x v="2"/>
    <n v="199"/>
    <n v="1"/>
    <n v="199"/>
    <n v="6"/>
  </r>
  <r>
    <s v="1995"/>
    <d v="2022-10-16T00:00:00"/>
    <n v="1"/>
    <s v="Company A"/>
    <x v="2"/>
    <x v="0"/>
    <s v="Texas"/>
    <x v="2"/>
    <n v="199"/>
    <n v="8"/>
    <n v="1592"/>
    <n v="2"/>
  </r>
  <r>
    <s v="2000"/>
    <d v="2022-10-16T00:00:00"/>
    <n v="14"/>
    <s v="Company N"/>
    <x v="3"/>
    <x v="2"/>
    <s v="New Mexico"/>
    <x v="2"/>
    <n v="199"/>
    <n v="4"/>
    <n v="796"/>
    <n v="5"/>
  </r>
  <r>
    <s v="0003"/>
    <d v="2021-01-03T00:00:00"/>
    <n v="9"/>
    <s v="Company I"/>
    <x v="7"/>
    <x v="3"/>
    <s v="California"/>
    <x v="3"/>
    <n v="159"/>
    <n v="3"/>
    <n v="477"/>
    <n v="8"/>
  </r>
  <r>
    <s v="0018"/>
    <d v="2021-01-07T00:00:00"/>
    <n v="19"/>
    <s v="Company S"/>
    <x v="6"/>
    <x v="0"/>
    <s v="Arizona"/>
    <x v="3"/>
    <n v="159"/>
    <n v="5"/>
    <n v="795"/>
    <n v="5"/>
  </r>
  <r>
    <s v="0023"/>
    <d v="2021-01-07T00:00:00"/>
    <n v="8"/>
    <s v="Company H"/>
    <x v="1"/>
    <x v="1"/>
    <s v="California"/>
    <x v="3"/>
    <n v="159"/>
    <n v="4"/>
    <n v="636"/>
    <n v="4"/>
  </r>
  <r>
    <s v="0031"/>
    <d v="2021-01-09T00:00:00"/>
    <n v="6"/>
    <s v="Company F"/>
    <x v="7"/>
    <x v="3"/>
    <s v="California"/>
    <x v="3"/>
    <n v="159"/>
    <n v="2"/>
    <n v="318"/>
    <n v="8"/>
  </r>
  <r>
    <s v="0043"/>
    <d v="2021-01-13T00:00:00"/>
    <n v="13"/>
    <s v="Company M"/>
    <x v="5"/>
    <x v="1"/>
    <s v="New Mexico"/>
    <x v="3"/>
    <n v="159"/>
    <n v="8"/>
    <n v="1272"/>
    <n v="6"/>
  </r>
  <r>
    <s v="0046"/>
    <d v="2021-01-13T00:00:00"/>
    <n v="14"/>
    <s v="Company N"/>
    <x v="3"/>
    <x v="2"/>
    <s v="New Mexico"/>
    <x v="3"/>
    <n v="159"/>
    <n v="7"/>
    <n v="1113"/>
    <n v="5"/>
  </r>
  <r>
    <s v="0049"/>
    <d v="2021-01-13T00:00:00"/>
    <n v="4"/>
    <s v="Company D"/>
    <x v="4"/>
    <x v="2"/>
    <s v="Texas"/>
    <x v="3"/>
    <n v="159"/>
    <n v="5"/>
    <n v="795"/>
    <n v="2"/>
  </r>
  <r>
    <s v="0050"/>
    <d v="2021-01-13T00:00:00"/>
    <n v="5"/>
    <s v="Company E"/>
    <x v="4"/>
    <x v="2"/>
    <s v="Texas"/>
    <x v="3"/>
    <n v="159"/>
    <n v="7"/>
    <n v="1113"/>
    <n v="2"/>
  </r>
  <r>
    <s v="0061"/>
    <d v="2021-01-16T00:00:00"/>
    <n v="2"/>
    <s v="Company B"/>
    <x v="2"/>
    <x v="0"/>
    <s v="Texas"/>
    <x v="3"/>
    <n v="159"/>
    <n v="8"/>
    <n v="1272"/>
    <n v="2"/>
  </r>
  <r>
    <s v="0062"/>
    <d v="2021-01-17T00:00:00"/>
    <n v="20"/>
    <s v="Company T"/>
    <x v="0"/>
    <x v="0"/>
    <s v="Arizona"/>
    <x v="3"/>
    <n v="159"/>
    <n v="9"/>
    <n v="1431"/>
    <n v="3"/>
  </r>
  <r>
    <s v="0071"/>
    <d v="2021-01-21T00:00:00"/>
    <n v="17"/>
    <s v="Company Q"/>
    <x v="6"/>
    <x v="0"/>
    <s v="Arizona"/>
    <x v="3"/>
    <n v="159"/>
    <n v="4"/>
    <n v="636"/>
    <n v="5"/>
  </r>
  <r>
    <s v="0073"/>
    <d v="2021-01-23T00:00:00"/>
    <n v="15"/>
    <s v="Company O"/>
    <x v="5"/>
    <x v="1"/>
    <s v="New Mexico"/>
    <x v="3"/>
    <n v="159"/>
    <n v="1"/>
    <n v="159"/>
    <n v="6"/>
  </r>
  <r>
    <s v="0087"/>
    <d v="2021-01-27T00:00:00"/>
    <n v="17"/>
    <s v="Company Q"/>
    <x v="0"/>
    <x v="0"/>
    <s v="Arizona"/>
    <x v="3"/>
    <n v="159"/>
    <n v="3"/>
    <n v="477"/>
    <n v="3"/>
  </r>
  <r>
    <s v="0098"/>
    <d v="2021-01-30T00:00:00"/>
    <n v="19"/>
    <s v="Company S"/>
    <x v="6"/>
    <x v="0"/>
    <s v="Arizona"/>
    <x v="3"/>
    <n v="159"/>
    <n v="8"/>
    <n v="1272"/>
    <n v="5"/>
  </r>
  <r>
    <s v="0105"/>
    <d v="2021-02-02T00:00:00"/>
    <n v="11"/>
    <s v="Company K"/>
    <x v="3"/>
    <x v="2"/>
    <s v="New Mexico"/>
    <x v="3"/>
    <n v="159"/>
    <n v="0"/>
    <n v="0"/>
    <n v="5"/>
  </r>
  <r>
    <s v="0106"/>
    <d v="2021-02-02T00:00:00"/>
    <n v="2"/>
    <s v="Company B"/>
    <x v="4"/>
    <x v="2"/>
    <s v="Texas"/>
    <x v="3"/>
    <n v="159"/>
    <n v="5"/>
    <n v="795"/>
    <n v="2"/>
  </r>
  <r>
    <s v="0107"/>
    <d v="2021-02-02T00:00:00"/>
    <n v="7"/>
    <s v="Company G"/>
    <x v="7"/>
    <x v="3"/>
    <s v="California"/>
    <x v="3"/>
    <n v="159"/>
    <n v="5"/>
    <n v="795"/>
    <n v="8"/>
  </r>
  <r>
    <s v="0109"/>
    <d v="2021-02-02T00:00:00"/>
    <n v="20"/>
    <s v="Company T"/>
    <x v="6"/>
    <x v="0"/>
    <s v="Arizona"/>
    <x v="3"/>
    <n v="159"/>
    <n v="7"/>
    <n v="1113"/>
    <n v="5"/>
  </r>
  <r>
    <s v="0114"/>
    <d v="2021-02-05T00:00:00"/>
    <n v="9"/>
    <s v="Company I"/>
    <x v="7"/>
    <x v="3"/>
    <s v="California"/>
    <x v="3"/>
    <n v="159"/>
    <n v="4"/>
    <n v="636"/>
    <n v="8"/>
  </r>
  <r>
    <s v="0120"/>
    <d v="2021-02-06T00:00:00"/>
    <n v="14"/>
    <s v="Company N"/>
    <x v="3"/>
    <x v="2"/>
    <s v="New Mexico"/>
    <x v="3"/>
    <n v="159"/>
    <n v="3"/>
    <n v="477"/>
    <n v="5"/>
  </r>
  <r>
    <s v="0125"/>
    <d v="2021-02-08T00:00:00"/>
    <n v="10"/>
    <s v="Company J"/>
    <x v="7"/>
    <x v="3"/>
    <s v="California"/>
    <x v="3"/>
    <n v="159"/>
    <n v="0"/>
    <n v="0"/>
    <n v="8"/>
  </r>
  <r>
    <s v="0127"/>
    <d v="2021-02-08T00:00:00"/>
    <n v="8"/>
    <s v="Company H"/>
    <x v="1"/>
    <x v="1"/>
    <s v="California"/>
    <x v="3"/>
    <n v="159"/>
    <n v="4"/>
    <n v="636"/>
    <n v="4"/>
  </r>
  <r>
    <s v="0132"/>
    <d v="2021-02-11T00:00:00"/>
    <n v="7"/>
    <s v="Company G"/>
    <x v="7"/>
    <x v="3"/>
    <s v="California"/>
    <x v="3"/>
    <n v="159"/>
    <n v="9"/>
    <n v="1431"/>
    <n v="8"/>
  </r>
  <r>
    <s v="0134"/>
    <d v="2021-02-12T00:00:00"/>
    <n v="13"/>
    <s v="Company M"/>
    <x v="3"/>
    <x v="2"/>
    <s v="New Mexico"/>
    <x v="3"/>
    <n v="159"/>
    <n v="7"/>
    <n v="1113"/>
    <n v="5"/>
  </r>
  <r>
    <s v="0141"/>
    <d v="2021-02-13T00:00:00"/>
    <n v="10"/>
    <s v="Company J"/>
    <x v="7"/>
    <x v="3"/>
    <s v="California"/>
    <x v="3"/>
    <n v="159"/>
    <n v="8"/>
    <n v="1272"/>
    <n v="8"/>
  </r>
  <r>
    <s v="0144"/>
    <d v="2021-02-13T00:00:00"/>
    <n v="13"/>
    <s v="Company M"/>
    <x v="5"/>
    <x v="1"/>
    <s v="New Mexico"/>
    <x v="3"/>
    <n v="159"/>
    <n v="2"/>
    <n v="318"/>
    <n v="6"/>
  </r>
  <r>
    <s v="0147"/>
    <d v="2021-02-13T00:00:00"/>
    <n v="13"/>
    <s v="Company M"/>
    <x v="5"/>
    <x v="1"/>
    <s v="New Mexico"/>
    <x v="3"/>
    <n v="159"/>
    <n v="5"/>
    <n v="795"/>
    <n v="6"/>
  </r>
  <r>
    <s v="0152"/>
    <d v="2021-02-13T00:00:00"/>
    <n v="12"/>
    <s v="Company L"/>
    <x v="3"/>
    <x v="2"/>
    <s v="New Mexico"/>
    <x v="3"/>
    <n v="159"/>
    <n v="6"/>
    <n v="954"/>
    <n v="5"/>
  </r>
  <r>
    <s v="0156"/>
    <d v="2021-02-15T00:00:00"/>
    <n v="18"/>
    <s v="Company R"/>
    <x v="0"/>
    <x v="0"/>
    <s v="Arizona"/>
    <x v="3"/>
    <n v="159"/>
    <n v="4"/>
    <n v="636"/>
    <n v="3"/>
  </r>
  <r>
    <s v="0159"/>
    <d v="2021-02-16T00:00:00"/>
    <n v="20"/>
    <s v="Company T"/>
    <x v="6"/>
    <x v="0"/>
    <s v="Arizona"/>
    <x v="3"/>
    <n v="159"/>
    <n v="6"/>
    <n v="954"/>
    <n v="5"/>
  </r>
  <r>
    <s v="0165"/>
    <d v="2021-02-17T00:00:00"/>
    <n v="4"/>
    <s v="Company D"/>
    <x v="2"/>
    <x v="0"/>
    <s v="Texas"/>
    <x v="3"/>
    <n v="159"/>
    <n v="1"/>
    <n v="159"/>
    <n v="2"/>
  </r>
  <r>
    <s v="0168"/>
    <d v="2021-02-18T00:00:00"/>
    <n v="7"/>
    <s v="Company G"/>
    <x v="7"/>
    <x v="3"/>
    <s v="California"/>
    <x v="3"/>
    <n v="159"/>
    <n v="2"/>
    <n v="318"/>
    <n v="8"/>
  </r>
  <r>
    <s v="0178"/>
    <d v="2021-02-21T00:00:00"/>
    <n v="13"/>
    <s v="Company M"/>
    <x v="3"/>
    <x v="2"/>
    <s v="New Mexico"/>
    <x v="3"/>
    <n v="159"/>
    <n v="1"/>
    <n v="159"/>
    <n v="5"/>
  </r>
  <r>
    <s v="0182"/>
    <d v="2021-02-21T00:00:00"/>
    <n v="1"/>
    <s v="Company A"/>
    <x v="2"/>
    <x v="0"/>
    <s v="Texas"/>
    <x v="3"/>
    <n v="159"/>
    <n v="2"/>
    <n v="318"/>
    <n v="2"/>
  </r>
  <r>
    <s v="0184"/>
    <d v="2021-02-23T00:00:00"/>
    <n v="12"/>
    <s v="Company L"/>
    <x v="5"/>
    <x v="1"/>
    <s v="New Mexico"/>
    <x v="3"/>
    <n v="159"/>
    <n v="7"/>
    <n v="1113"/>
    <n v="6"/>
  </r>
  <r>
    <s v="0191"/>
    <d v="2021-02-25T00:00:00"/>
    <n v="11"/>
    <s v="Company K"/>
    <x v="3"/>
    <x v="2"/>
    <s v="New Mexico"/>
    <x v="3"/>
    <n v="159"/>
    <n v="4"/>
    <n v="636"/>
    <n v="5"/>
  </r>
  <r>
    <s v="0193"/>
    <d v="2021-02-27T00:00:00"/>
    <n v="9"/>
    <s v="Company I"/>
    <x v="1"/>
    <x v="1"/>
    <s v="California"/>
    <x v="3"/>
    <n v="159"/>
    <n v="1"/>
    <n v="159"/>
    <n v="4"/>
  </r>
  <r>
    <s v="0195"/>
    <d v="2021-02-27T00:00:00"/>
    <n v="15"/>
    <s v="Company O"/>
    <x v="5"/>
    <x v="1"/>
    <s v="New Mexico"/>
    <x v="3"/>
    <n v="159"/>
    <n v="8"/>
    <n v="1272"/>
    <n v="6"/>
  </r>
  <r>
    <s v="0198"/>
    <d v="2021-03-01T00:00:00"/>
    <n v="18"/>
    <s v="Company R"/>
    <x v="6"/>
    <x v="0"/>
    <s v="Arizona"/>
    <x v="3"/>
    <n v="159"/>
    <n v="6"/>
    <n v="954"/>
    <n v="5"/>
  </r>
  <r>
    <s v="0199"/>
    <d v="2021-03-02T00:00:00"/>
    <n v="17"/>
    <s v="Company Q"/>
    <x v="0"/>
    <x v="0"/>
    <s v="Arizona"/>
    <x v="3"/>
    <n v="159"/>
    <n v="4"/>
    <n v="636"/>
    <n v="3"/>
  </r>
  <r>
    <s v="0209"/>
    <d v="2021-03-08T00:00:00"/>
    <n v="16"/>
    <s v="Company P"/>
    <x v="0"/>
    <x v="0"/>
    <s v="Arizona"/>
    <x v="3"/>
    <n v="159"/>
    <n v="3"/>
    <n v="477"/>
    <n v="3"/>
  </r>
  <r>
    <s v="0213"/>
    <d v="2021-03-09T00:00:00"/>
    <n v="1"/>
    <s v="Company A"/>
    <x v="4"/>
    <x v="2"/>
    <s v="Texas"/>
    <x v="3"/>
    <n v="159"/>
    <n v="2"/>
    <n v="318"/>
    <n v="2"/>
  </r>
  <r>
    <s v="0218"/>
    <d v="2021-03-11T00:00:00"/>
    <n v="8"/>
    <s v="Company H"/>
    <x v="1"/>
    <x v="1"/>
    <s v="California"/>
    <x v="3"/>
    <n v="159"/>
    <n v="2"/>
    <n v="318"/>
    <n v="4"/>
  </r>
  <r>
    <s v="0219"/>
    <d v="2021-03-11T00:00:00"/>
    <n v="7"/>
    <s v="Company G"/>
    <x v="1"/>
    <x v="1"/>
    <s v="California"/>
    <x v="3"/>
    <n v="159"/>
    <n v="1"/>
    <n v="159"/>
    <n v="4"/>
  </r>
  <r>
    <s v="0220"/>
    <d v="2021-03-11T00:00:00"/>
    <n v="17"/>
    <s v="Company Q"/>
    <x v="0"/>
    <x v="0"/>
    <s v="Arizona"/>
    <x v="3"/>
    <n v="159"/>
    <n v="2"/>
    <n v="318"/>
    <n v="3"/>
  </r>
  <r>
    <s v="0221"/>
    <d v="2021-03-11T00:00:00"/>
    <n v="13"/>
    <s v="Company M"/>
    <x v="3"/>
    <x v="2"/>
    <s v="New Mexico"/>
    <x v="3"/>
    <n v="159"/>
    <n v="3"/>
    <n v="477"/>
    <n v="5"/>
  </r>
  <r>
    <s v="0223"/>
    <d v="2021-03-11T00:00:00"/>
    <n v="10"/>
    <s v="Company J"/>
    <x v="1"/>
    <x v="1"/>
    <s v="California"/>
    <x v="3"/>
    <n v="159"/>
    <n v="8"/>
    <n v="1272"/>
    <n v="4"/>
  </r>
  <r>
    <s v="0244"/>
    <d v="2021-03-17T00:00:00"/>
    <n v="4"/>
    <s v="Company D"/>
    <x v="2"/>
    <x v="0"/>
    <s v="Texas"/>
    <x v="3"/>
    <n v="159"/>
    <n v="2"/>
    <n v="318"/>
    <n v="2"/>
  </r>
  <r>
    <s v="0245"/>
    <d v="2021-03-18T00:00:00"/>
    <n v="19"/>
    <s v="Company S"/>
    <x v="6"/>
    <x v="0"/>
    <s v="Arizona"/>
    <x v="3"/>
    <n v="159"/>
    <n v="0"/>
    <n v="0"/>
    <n v="5"/>
  </r>
  <r>
    <s v="0250"/>
    <d v="2021-03-18T00:00:00"/>
    <n v="8"/>
    <s v="Company H"/>
    <x v="7"/>
    <x v="3"/>
    <s v="California"/>
    <x v="3"/>
    <n v="159"/>
    <n v="7"/>
    <n v="1113"/>
    <n v="8"/>
  </r>
  <r>
    <s v="0254"/>
    <d v="2021-03-19T00:00:00"/>
    <n v="6"/>
    <s v="Company F"/>
    <x v="7"/>
    <x v="3"/>
    <s v="California"/>
    <x v="3"/>
    <n v="159"/>
    <n v="4"/>
    <n v="636"/>
    <n v="8"/>
  </r>
  <r>
    <s v="0256"/>
    <d v="2021-03-19T00:00:00"/>
    <n v="18"/>
    <s v="Company R"/>
    <x v="6"/>
    <x v="0"/>
    <s v="Arizona"/>
    <x v="3"/>
    <n v="159"/>
    <n v="2"/>
    <n v="318"/>
    <n v="5"/>
  </r>
  <r>
    <s v="0262"/>
    <d v="2021-03-22T00:00:00"/>
    <n v="8"/>
    <s v="Company H"/>
    <x v="1"/>
    <x v="1"/>
    <s v="California"/>
    <x v="3"/>
    <n v="159"/>
    <n v="1"/>
    <n v="159"/>
    <n v="4"/>
  </r>
  <r>
    <s v="0263"/>
    <d v="2021-03-23T00:00:00"/>
    <n v="7"/>
    <s v="Company G"/>
    <x v="1"/>
    <x v="1"/>
    <s v="California"/>
    <x v="3"/>
    <n v="159"/>
    <n v="5"/>
    <n v="795"/>
    <n v="4"/>
  </r>
  <r>
    <s v="0276"/>
    <d v="2021-03-25T00:00:00"/>
    <n v="2"/>
    <s v="Company B"/>
    <x v="2"/>
    <x v="0"/>
    <s v="Texas"/>
    <x v="3"/>
    <n v="159"/>
    <n v="7"/>
    <n v="1113"/>
    <n v="2"/>
  </r>
  <r>
    <s v="0282"/>
    <d v="2021-03-27T00:00:00"/>
    <n v="16"/>
    <s v="Company P"/>
    <x v="6"/>
    <x v="0"/>
    <s v="Arizona"/>
    <x v="3"/>
    <n v="159"/>
    <n v="6"/>
    <n v="954"/>
    <n v="5"/>
  </r>
  <r>
    <s v="0283"/>
    <d v="2021-03-27T00:00:00"/>
    <n v="20"/>
    <s v="Company T"/>
    <x v="0"/>
    <x v="0"/>
    <s v="Arizona"/>
    <x v="3"/>
    <n v="159"/>
    <n v="0"/>
    <n v="0"/>
    <n v="3"/>
  </r>
  <r>
    <s v="0284"/>
    <d v="2021-03-27T00:00:00"/>
    <n v="2"/>
    <s v="Company B"/>
    <x v="2"/>
    <x v="0"/>
    <s v="Texas"/>
    <x v="3"/>
    <n v="159"/>
    <n v="4"/>
    <n v="636"/>
    <n v="2"/>
  </r>
  <r>
    <s v="0288"/>
    <d v="2021-03-27T00:00:00"/>
    <n v="3"/>
    <s v="Company C"/>
    <x v="4"/>
    <x v="2"/>
    <s v="Texas"/>
    <x v="3"/>
    <n v="159"/>
    <n v="2"/>
    <n v="318"/>
    <n v="2"/>
  </r>
  <r>
    <s v="0290"/>
    <d v="2021-03-29T00:00:00"/>
    <n v="3"/>
    <s v="Company C"/>
    <x v="2"/>
    <x v="0"/>
    <s v="Texas"/>
    <x v="3"/>
    <n v="159"/>
    <n v="9"/>
    <n v="1431"/>
    <n v="2"/>
  </r>
  <r>
    <s v="0292"/>
    <d v="2021-03-30T00:00:00"/>
    <n v="1"/>
    <s v="Company A"/>
    <x v="4"/>
    <x v="2"/>
    <s v="Texas"/>
    <x v="3"/>
    <n v="159"/>
    <n v="0"/>
    <n v="0"/>
    <n v="2"/>
  </r>
  <r>
    <s v="0294"/>
    <d v="2021-03-30T00:00:00"/>
    <n v="16"/>
    <s v="Company P"/>
    <x v="6"/>
    <x v="0"/>
    <s v="Arizona"/>
    <x v="3"/>
    <n v="159"/>
    <n v="2"/>
    <n v="318"/>
    <n v="5"/>
  </r>
  <r>
    <s v="0303"/>
    <d v="2021-04-04T00:00:00"/>
    <n v="20"/>
    <s v="Company T"/>
    <x v="6"/>
    <x v="0"/>
    <s v="Arizona"/>
    <x v="3"/>
    <n v="159"/>
    <n v="0"/>
    <n v="0"/>
    <n v="5"/>
  </r>
  <r>
    <s v="0306"/>
    <d v="2021-04-05T00:00:00"/>
    <n v="1"/>
    <s v="Company A"/>
    <x v="2"/>
    <x v="0"/>
    <s v="Texas"/>
    <x v="3"/>
    <n v="159"/>
    <n v="3"/>
    <n v="477"/>
    <n v="2"/>
  </r>
  <r>
    <s v="0324"/>
    <d v="2021-04-14T00:00:00"/>
    <n v="17"/>
    <s v="Company Q"/>
    <x v="0"/>
    <x v="0"/>
    <s v="Arizona"/>
    <x v="3"/>
    <n v="159"/>
    <n v="4"/>
    <n v="636"/>
    <n v="3"/>
  </r>
  <r>
    <s v="0336"/>
    <d v="2021-04-16T00:00:00"/>
    <n v="4"/>
    <s v="Company D"/>
    <x v="2"/>
    <x v="0"/>
    <s v="Texas"/>
    <x v="3"/>
    <n v="159"/>
    <n v="9"/>
    <n v="1431"/>
    <n v="2"/>
  </r>
  <r>
    <s v="0340"/>
    <d v="2021-04-19T00:00:00"/>
    <n v="8"/>
    <s v="Company H"/>
    <x v="1"/>
    <x v="1"/>
    <s v="California"/>
    <x v="3"/>
    <n v="159"/>
    <n v="6"/>
    <n v="954"/>
    <n v="4"/>
  </r>
  <r>
    <s v="0343"/>
    <d v="2021-04-19T00:00:00"/>
    <n v="5"/>
    <s v="Company E"/>
    <x v="2"/>
    <x v="0"/>
    <s v="Texas"/>
    <x v="3"/>
    <n v="159"/>
    <n v="0"/>
    <n v="0"/>
    <n v="2"/>
  </r>
  <r>
    <s v="0349"/>
    <d v="2021-04-19T00:00:00"/>
    <n v="13"/>
    <s v="Company M"/>
    <x v="5"/>
    <x v="1"/>
    <s v="New Mexico"/>
    <x v="3"/>
    <n v="159"/>
    <n v="5"/>
    <n v="795"/>
    <n v="6"/>
  </r>
  <r>
    <s v="0352"/>
    <d v="2021-04-19T00:00:00"/>
    <n v="10"/>
    <s v="Company J"/>
    <x v="1"/>
    <x v="1"/>
    <s v="California"/>
    <x v="3"/>
    <n v="159"/>
    <n v="9"/>
    <n v="1431"/>
    <n v="4"/>
  </r>
  <r>
    <s v="0363"/>
    <d v="2021-04-22T00:00:00"/>
    <n v="5"/>
    <s v="Company E"/>
    <x v="4"/>
    <x v="2"/>
    <s v="Texas"/>
    <x v="3"/>
    <n v="159"/>
    <n v="5"/>
    <n v="795"/>
    <n v="2"/>
  </r>
  <r>
    <s v="0364"/>
    <d v="2021-04-22T00:00:00"/>
    <n v="16"/>
    <s v="Company P"/>
    <x v="0"/>
    <x v="0"/>
    <s v="Arizona"/>
    <x v="3"/>
    <n v="159"/>
    <n v="9"/>
    <n v="1431"/>
    <n v="3"/>
  </r>
  <r>
    <s v="0369"/>
    <d v="2021-04-24T00:00:00"/>
    <n v="6"/>
    <s v="Company F"/>
    <x v="1"/>
    <x v="1"/>
    <s v="California"/>
    <x v="3"/>
    <n v="159"/>
    <n v="7"/>
    <n v="1113"/>
    <n v="4"/>
  </r>
  <r>
    <s v="0371"/>
    <d v="2021-04-24T00:00:00"/>
    <n v="18"/>
    <s v="Company R"/>
    <x v="0"/>
    <x v="0"/>
    <s v="Arizona"/>
    <x v="3"/>
    <n v="159"/>
    <n v="8"/>
    <n v="1272"/>
    <n v="3"/>
  </r>
  <r>
    <s v="0375"/>
    <d v="2021-04-25T00:00:00"/>
    <n v="15"/>
    <s v="Company O"/>
    <x v="5"/>
    <x v="1"/>
    <s v="New Mexico"/>
    <x v="3"/>
    <n v="159"/>
    <n v="4"/>
    <n v="636"/>
    <n v="6"/>
  </r>
  <r>
    <s v="0379"/>
    <d v="2021-04-25T00:00:00"/>
    <n v="15"/>
    <s v="Company O"/>
    <x v="3"/>
    <x v="2"/>
    <s v="New Mexico"/>
    <x v="3"/>
    <n v="159"/>
    <n v="0"/>
    <n v="0"/>
    <n v="5"/>
  </r>
  <r>
    <s v="0380"/>
    <d v="2021-04-26T00:00:00"/>
    <n v="19"/>
    <s v="Company S"/>
    <x v="0"/>
    <x v="0"/>
    <s v="Arizona"/>
    <x v="3"/>
    <n v="159"/>
    <n v="5"/>
    <n v="795"/>
    <n v="3"/>
  </r>
  <r>
    <s v="0383"/>
    <d v="2021-04-28T00:00:00"/>
    <n v="2"/>
    <s v="Company B"/>
    <x v="2"/>
    <x v="0"/>
    <s v="Texas"/>
    <x v="3"/>
    <n v="159"/>
    <n v="7"/>
    <n v="1113"/>
    <n v="2"/>
  </r>
  <r>
    <s v="0384"/>
    <d v="2021-04-28T00:00:00"/>
    <n v="1"/>
    <s v="Company A"/>
    <x v="4"/>
    <x v="2"/>
    <s v="Texas"/>
    <x v="3"/>
    <n v="159"/>
    <n v="5"/>
    <n v="795"/>
    <n v="2"/>
  </r>
  <r>
    <s v="0387"/>
    <d v="2021-04-28T00:00:00"/>
    <n v="9"/>
    <s v="Company I"/>
    <x v="1"/>
    <x v="1"/>
    <s v="California"/>
    <x v="3"/>
    <n v="159"/>
    <n v="8"/>
    <n v="1272"/>
    <n v="4"/>
  </r>
  <r>
    <s v="0396"/>
    <d v="2021-05-02T00:00:00"/>
    <n v="14"/>
    <s v="Company N"/>
    <x v="5"/>
    <x v="1"/>
    <s v="New Mexico"/>
    <x v="3"/>
    <n v="159"/>
    <n v="5"/>
    <n v="795"/>
    <n v="6"/>
  </r>
  <r>
    <s v="0398"/>
    <d v="2021-05-03T00:00:00"/>
    <n v="18"/>
    <s v="Company R"/>
    <x v="0"/>
    <x v="0"/>
    <s v="Arizona"/>
    <x v="3"/>
    <n v="159"/>
    <n v="0"/>
    <n v="0"/>
    <n v="3"/>
  </r>
  <r>
    <s v="0404"/>
    <d v="2021-05-06T00:00:00"/>
    <n v="5"/>
    <s v="Company E"/>
    <x v="2"/>
    <x v="0"/>
    <s v="Texas"/>
    <x v="3"/>
    <n v="159"/>
    <n v="9"/>
    <n v="1431"/>
    <n v="2"/>
  </r>
  <r>
    <s v="0405"/>
    <d v="2021-05-06T00:00:00"/>
    <n v="1"/>
    <s v="Company A"/>
    <x v="2"/>
    <x v="0"/>
    <s v="Texas"/>
    <x v="3"/>
    <n v="159"/>
    <n v="5"/>
    <n v="795"/>
    <n v="2"/>
  </r>
  <r>
    <s v="0406"/>
    <d v="2021-05-06T00:00:00"/>
    <n v="6"/>
    <s v="Company F"/>
    <x v="1"/>
    <x v="1"/>
    <s v="California"/>
    <x v="3"/>
    <n v="159"/>
    <n v="8"/>
    <n v="1272"/>
    <n v="4"/>
  </r>
  <r>
    <s v="0410"/>
    <d v="2021-05-06T00:00:00"/>
    <n v="16"/>
    <s v="Company P"/>
    <x v="0"/>
    <x v="0"/>
    <s v="Arizona"/>
    <x v="3"/>
    <n v="159"/>
    <n v="4"/>
    <n v="636"/>
    <n v="3"/>
  </r>
  <r>
    <s v="0411"/>
    <d v="2021-05-06T00:00:00"/>
    <n v="8"/>
    <s v="Company H"/>
    <x v="1"/>
    <x v="1"/>
    <s v="California"/>
    <x v="3"/>
    <n v="159"/>
    <n v="4"/>
    <n v="636"/>
    <n v="4"/>
  </r>
  <r>
    <s v="0415"/>
    <d v="2021-05-08T00:00:00"/>
    <n v="17"/>
    <s v="Company Q"/>
    <x v="0"/>
    <x v="0"/>
    <s v="Arizona"/>
    <x v="3"/>
    <n v="159"/>
    <n v="7"/>
    <n v="1113"/>
    <n v="3"/>
  </r>
  <r>
    <s v="0418"/>
    <d v="2021-05-10T00:00:00"/>
    <n v="6"/>
    <s v="Company F"/>
    <x v="1"/>
    <x v="1"/>
    <s v="California"/>
    <x v="3"/>
    <n v="159"/>
    <n v="9"/>
    <n v="1431"/>
    <n v="4"/>
  </r>
  <r>
    <s v="0420"/>
    <d v="2021-05-11T00:00:00"/>
    <n v="18"/>
    <s v="Company R"/>
    <x v="0"/>
    <x v="0"/>
    <s v="Arizona"/>
    <x v="3"/>
    <n v="159"/>
    <n v="9"/>
    <n v="1431"/>
    <n v="3"/>
  </r>
  <r>
    <s v="0421"/>
    <d v="2021-05-11T00:00:00"/>
    <n v="6"/>
    <s v="Company F"/>
    <x v="1"/>
    <x v="1"/>
    <s v="California"/>
    <x v="3"/>
    <n v="159"/>
    <n v="4"/>
    <n v="636"/>
    <n v="4"/>
  </r>
  <r>
    <s v="0422"/>
    <d v="2021-05-12T00:00:00"/>
    <n v="4"/>
    <s v="Company D"/>
    <x v="4"/>
    <x v="2"/>
    <s v="Texas"/>
    <x v="3"/>
    <n v="159"/>
    <n v="9"/>
    <n v="1431"/>
    <n v="2"/>
  </r>
  <r>
    <s v="0439"/>
    <d v="2021-05-15T00:00:00"/>
    <n v="16"/>
    <s v="Company P"/>
    <x v="0"/>
    <x v="0"/>
    <s v="Arizona"/>
    <x v="3"/>
    <n v="159"/>
    <n v="1"/>
    <n v="159"/>
    <n v="3"/>
  </r>
  <r>
    <s v="0448"/>
    <d v="2021-05-16T00:00:00"/>
    <n v="10"/>
    <s v="Company J"/>
    <x v="7"/>
    <x v="3"/>
    <s v="California"/>
    <x v="3"/>
    <n v="159"/>
    <n v="1"/>
    <n v="159"/>
    <n v="8"/>
  </r>
  <r>
    <s v="0454"/>
    <d v="2021-05-16T00:00:00"/>
    <n v="13"/>
    <s v="Company M"/>
    <x v="3"/>
    <x v="2"/>
    <s v="New Mexico"/>
    <x v="3"/>
    <n v="159"/>
    <n v="8"/>
    <n v="1272"/>
    <n v="5"/>
  </r>
  <r>
    <s v="0457"/>
    <d v="2021-05-17T00:00:00"/>
    <n v="3"/>
    <s v="Company C"/>
    <x v="2"/>
    <x v="0"/>
    <s v="Texas"/>
    <x v="3"/>
    <n v="159"/>
    <n v="9"/>
    <n v="1431"/>
    <n v="2"/>
  </r>
  <r>
    <s v="0459"/>
    <d v="2021-05-17T00:00:00"/>
    <n v="5"/>
    <s v="Company E"/>
    <x v="4"/>
    <x v="2"/>
    <s v="Texas"/>
    <x v="3"/>
    <n v="159"/>
    <n v="1"/>
    <n v="159"/>
    <n v="2"/>
  </r>
  <r>
    <s v="0460"/>
    <d v="2021-05-18T00:00:00"/>
    <n v="11"/>
    <s v="Company K"/>
    <x v="5"/>
    <x v="1"/>
    <s v="New Mexico"/>
    <x v="3"/>
    <n v="159"/>
    <n v="4"/>
    <n v="636"/>
    <n v="6"/>
  </r>
  <r>
    <s v="0465"/>
    <d v="2021-05-19T00:00:00"/>
    <n v="11"/>
    <s v="Company K"/>
    <x v="5"/>
    <x v="1"/>
    <s v="New Mexico"/>
    <x v="3"/>
    <n v="159"/>
    <n v="9"/>
    <n v="1431"/>
    <n v="6"/>
  </r>
  <r>
    <s v="0466"/>
    <d v="2021-05-19T00:00:00"/>
    <n v="2"/>
    <s v="Company B"/>
    <x v="2"/>
    <x v="0"/>
    <s v="Texas"/>
    <x v="3"/>
    <n v="159"/>
    <n v="3"/>
    <n v="477"/>
    <n v="2"/>
  </r>
  <r>
    <s v="0468"/>
    <d v="2021-05-19T00:00:00"/>
    <n v="18"/>
    <s v="Company R"/>
    <x v="0"/>
    <x v="0"/>
    <s v="Arizona"/>
    <x v="3"/>
    <n v="159"/>
    <n v="9"/>
    <n v="1431"/>
    <n v="3"/>
  </r>
  <r>
    <s v="0476"/>
    <d v="2021-05-23T00:00:00"/>
    <n v="8"/>
    <s v="Company H"/>
    <x v="7"/>
    <x v="3"/>
    <s v="California"/>
    <x v="3"/>
    <n v="159"/>
    <n v="3"/>
    <n v="477"/>
    <n v="8"/>
  </r>
  <r>
    <s v="0478"/>
    <d v="2021-05-23T00:00:00"/>
    <n v="6"/>
    <s v="Company F"/>
    <x v="7"/>
    <x v="3"/>
    <s v="California"/>
    <x v="3"/>
    <n v="159"/>
    <n v="3"/>
    <n v="477"/>
    <n v="8"/>
  </r>
  <r>
    <s v="0479"/>
    <d v="2021-05-23T00:00:00"/>
    <n v="7"/>
    <s v="Company G"/>
    <x v="7"/>
    <x v="3"/>
    <s v="California"/>
    <x v="3"/>
    <n v="159"/>
    <n v="2"/>
    <n v="318"/>
    <n v="8"/>
  </r>
  <r>
    <s v="0486"/>
    <d v="2021-05-25T00:00:00"/>
    <n v="8"/>
    <s v="Company H"/>
    <x v="7"/>
    <x v="3"/>
    <s v="California"/>
    <x v="3"/>
    <n v="159"/>
    <n v="4"/>
    <n v="636"/>
    <n v="8"/>
  </r>
  <r>
    <s v="0488"/>
    <d v="2021-05-25T00:00:00"/>
    <n v="20"/>
    <s v="Company T"/>
    <x v="6"/>
    <x v="0"/>
    <s v="Arizona"/>
    <x v="3"/>
    <n v="159"/>
    <n v="2"/>
    <n v="318"/>
    <n v="5"/>
  </r>
  <r>
    <s v="0489"/>
    <d v="2021-05-25T00:00:00"/>
    <n v="13"/>
    <s v="Company M"/>
    <x v="3"/>
    <x v="2"/>
    <s v="New Mexico"/>
    <x v="3"/>
    <n v="159"/>
    <n v="7"/>
    <n v="1113"/>
    <n v="5"/>
  </r>
  <r>
    <s v="0490"/>
    <d v="2021-05-25T00:00:00"/>
    <n v="13"/>
    <s v="Company M"/>
    <x v="3"/>
    <x v="2"/>
    <s v="New Mexico"/>
    <x v="3"/>
    <n v="159"/>
    <n v="4"/>
    <n v="636"/>
    <n v="5"/>
  </r>
  <r>
    <s v="0494"/>
    <d v="2021-05-26T00:00:00"/>
    <n v="16"/>
    <s v="Company P"/>
    <x v="0"/>
    <x v="0"/>
    <s v="Arizona"/>
    <x v="3"/>
    <n v="159"/>
    <n v="9"/>
    <n v="1431"/>
    <n v="3"/>
  </r>
  <r>
    <s v="0509"/>
    <d v="2021-05-30T00:00:00"/>
    <n v="19"/>
    <s v="Company S"/>
    <x v="6"/>
    <x v="0"/>
    <s v="Arizona"/>
    <x v="3"/>
    <n v="159"/>
    <n v="8"/>
    <n v="1272"/>
    <n v="5"/>
  </r>
  <r>
    <s v="0525"/>
    <d v="2021-06-03T00:00:00"/>
    <n v="7"/>
    <s v="Company G"/>
    <x v="7"/>
    <x v="3"/>
    <s v="California"/>
    <x v="3"/>
    <n v="159"/>
    <n v="3"/>
    <n v="477"/>
    <n v="8"/>
  </r>
  <r>
    <s v="0534"/>
    <d v="2021-06-05T00:00:00"/>
    <n v="7"/>
    <s v="Company G"/>
    <x v="1"/>
    <x v="1"/>
    <s v="California"/>
    <x v="3"/>
    <n v="159"/>
    <n v="9"/>
    <n v="1431"/>
    <n v="4"/>
  </r>
  <r>
    <s v="0540"/>
    <d v="2021-06-08T00:00:00"/>
    <n v="9"/>
    <s v="Company I"/>
    <x v="1"/>
    <x v="1"/>
    <s v="California"/>
    <x v="3"/>
    <n v="159"/>
    <n v="3"/>
    <n v="477"/>
    <n v="4"/>
  </r>
  <r>
    <s v="0543"/>
    <d v="2021-06-08T00:00:00"/>
    <n v="20"/>
    <s v="Company T"/>
    <x v="0"/>
    <x v="0"/>
    <s v="Arizona"/>
    <x v="3"/>
    <n v="159"/>
    <n v="5"/>
    <n v="795"/>
    <n v="3"/>
  </r>
  <r>
    <s v="0550"/>
    <d v="2021-06-11T00:00:00"/>
    <n v="18"/>
    <s v="Company R"/>
    <x v="6"/>
    <x v="0"/>
    <s v="Arizona"/>
    <x v="3"/>
    <n v="159"/>
    <n v="0"/>
    <n v="0"/>
    <n v="5"/>
  </r>
  <r>
    <s v="0557"/>
    <d v="2021-06-12T00:00:00"/>
    <n v="5"/>
    <s v="Company E"/>
    <x v="4"/>
    <x v="2"/>
    <s v="Texas"/>
    <x v="3"/>
    <n v="159"/>
    <n v="1"/>
    <n v="159"/>
    <n v="2"/>
  </r>
  <r>
    <s v="0566"/>
    <d v="2021-06-16T00:00:00"/>
    <n v="10"/>
    <s v="Company J"/>
    <x v="7"/>
    <x v="3"/>
    <s v="California"/>
    <x v="3"/>
    <n v="159"/>
    <n v="8"/>
    <n v="1272"/>
    <n v="8"/>
  </r>
  <r>
    <s v="0567"/>
    <d v="2021-06-16T00:00:00"/>
    <n v="1"/>
    <s v="Company A"/>
    <x v="4"/>
    <x v="2"/>
    <s v="Texas"/>
    <x v="3"/>
    <n v="159"/>
    <n v="8"/>
    <n v="1272"/>
    <n v="2"/>
  </r>
  <r>
    <s v="0569"/>
    <d v="2021-06-17T00:00:00"/>
    <n v="18"/>
    <s v="Company R"/>
    <x v="6"/>
    <x v="0"/>
    <s v="Arizona"/>
    <x v="3"/>
    <n v="159"/>
    <n v="7"/>
    <n v="1113"/>
    <n v="5"/>
  </r>
  <r>
    <s v="0572"/>
    <d v="2021-06-18T00:00:00"/>
    <n v="11"/>
    <s v="Company K"/>
    <x v="5"/>
    <x v="1"/>
    <s v="New Mexico"/>
    <x v="3"/>
    <n v="159"/>
    <n v="4"/>
    <n v="636"/>
    <n v="6"/>
  </r>
  <r>
    <s v="0574"/>
    <d v="2021-06-20T00:00:00"/>
    <n v="5"/>
    <s v="Company E"/>
    <x v="2"/>
    <x v="0"/>
    <s v="Texas"/>
    <x v="3"/>
    <n v="159"/>
    <n v="3"/>
    <n v="477"/>
    <n v="2"/>
  </r>
  <r>
    <s v="0577"/>
    <d v="2021-06-20T00:00:00"/>
    <n v="12"/>
    <s v="Company L"/>
    <x v="3"/>
    <x v="2"/>
    <s v="New Mexico"/>
    <x v="3"/>
    <n v="159"/>
    <n v="6"/>
    <n v="954"/>
    <n v="5"/>
  </r>
  <r>
    <s v="0580"/>
    <d v="2021-06-22T00:00:00"/>
    <n v="15"/>
    <s v="Company O"/>
    <x v="5"/>
    <x v="1"/>
    <s v="New Mexico"/>
    <x v="3"/>
    <n v="159"/>
    <n v="6"/>
    <n v="954"/>
    <n v="6"/>
  </r>
  <r>
    <s v="0581"/>
    <d v="2021-06-22T00:00:00"/>
    <n v="15"/>
    <s v="Company O"/>
    <x v="3"/>
    <x v="2"/>
    <s v="New Mexico"/>
    <x v="3"/>
    <n v="159"/>
    <n v="8"/>
    <n v="1272"/>
    <n v="5"/>
  </r>
  <r>
    <s v="0590"/>
    <d v="2021-06-24T00:00:00"/>
    <n v="18"/>
    <s v="Company R"/>
    <x v="0"/>
    <x v="0"/>
    <s v="Arizona"/>
    <x v="3"/>
    <n v="159"/>
    <n v="5"/>
    <n v="795"/>
    <n v="3"/>
  </r>
  <r>
    <s v="0599"/>
    <d v="2021-06-28T00:00:00"/>
    <n v="2"/>
    <s v="Company B"/>
    <x v="2"/>
    <x v="0"/>
    <s v="Texas"/>
    <x v="3"/>
    <n v="159"/>
    <n v="5"/>
    <n v="795"/>
    <n v="2"/>
  </r>
  <r>
    <s v="0605"/>
    <d v="2021-06-29T00:00:00"/>
    <n v="15"/>
    <s v="Company O"/>
    <x v="5"/>
    <x v="1"/>
    <s v="New Mexico"/>
    <x v="3"/>
    <n v="159"/>
    <n v="5"/>
    <n v="795"/>
    <n v="6"/>
  </r>
  <r>
    <s v="0615"/>
    <d v="2021-07-04T00:00:00"/>
    <n v="10"/>
    <s v="Company J"/>
    <x v="7"/>
    <x v="3"/>
    <s v="California"/>
    <x v="3"/>
    <n v="159"/>
    <n v="2"/>
    <n v="318"/>
    <n v="8"/>
  </r>
  <r>
    <s v="0620"/>
    <d v="2021-07-07T00:00:00"/>
    <n v="20"/>
    <s v="Company T"/>
    <x v="0"/>
    <x v="0"/>
    <s v="Arizona"/>
    <x v="3"/>
    <n v="159"/>
    <n v="9"/>
    <n v="1431"/>
    <n v="3"/>
  </r>
  <r>
    <s v="0621"/>
    <d v="2021-07-07T00:00:00"/>
    <n v="10"/>
    <s v="Company J"/>
    <x v="1"/>
    <x v="1"/>
    <s v="California"/>
    <x v="3"/>
    <n v="159"/>
    <n v="7"/>
    <n v="1113"/>
    <n v="4"/>
  </r>
  <r>
    <s v="0622"/>
    <d v="2021-07-07T00:00:00"/>
    <n v="13"/>
    <s v="Company M"/>
    <x v="5"/>
    <x v="1"/>
    <s v="New Mexico"/>
    <x v="3"/>
    <n v="159"/>
    <n v="9"/>
    <n v="1431"/>
    <n v="6"/>
  </r>
  <r>
    <s v="0630"/>
    <d v="2021-07-09T00:00:00"/>
    <n v="10"/>
    <s v="Company J"/>
    <x v="7"/>
    <x v="3"/>
    <s v="California"/>
    <x v="3"/>
    <n v="159"/>
    <n v="3"/>
    <n v="477"/>
    <n v="8"/>
  </r>
  <r>
    <s v="0633"/>
    <d v="2021-07-11T00:00:00"/>
    <n v="20"/>
    <s v="Company T"/>
    <x v="6"/>
    <x v="0"/>
    <s v="Arizona"/>
    <x v="3"/>
    <n v="159"/>
    <n v="3"/>
    <n v="477"/>
    <n v="5"/>
  </r>
  <r>
    <s v="0635"/>
    <d v="2021-07-11T00:00:00"/>
    <n v="3"/>
    <s v="Company C"/>
    <x v="2"/>
    <x v="0"/>
    <s v="Texas"/>
    <x v="3"/>
    <n v="159"/>
    <n v="5"/>
    <n v="795"/>
    <n v="2"/>
  </r>
  <r>
    <s v="0637"/>
    <d v="2021-07-13T00:00:00"/>
    <n v="17"/>
    <s v="Company Q"/>
    <x v="6"/>
    <x v="0"/>
    <s v="Arizona"/>
    <x v="3"/>
    <n v="159"/>
    <n v="6"/>
    <n v="954"/>
    <n v="5"/>
  </r>
  <r>
    <s v="0638"/>
    <d v="2021-07-13T00:00:00"/>
    <n v="11"/>
    <s v="Company K"/>
    <x v="3"/>
    <x v="2"/>
    <s v="New Mexico"/>
    <x v="3"/>
    <n v="159"/>
    <n v="5"/>
    <n v="795"/>
    <n v="5"/>
  </r>
  <r>
    <s v="0651"/>
    <d v="2021-07-17T00:00:00"/>
    <n v="17"/>
    <s v="Company Q"/>
    <x v="0"/>
    <x v="0"/>
    <s v="Arizona"/>
    <x v="3"/>
    <n v="159"/>
    <n v="2"/>
    <n v="318"/>
    <n v="3"/>
  </r>
  <r>
    <s v="0652"/>
    <d v="2021-07-17T00:00:00"/>
    <n v="15"/>
    <s v="Company O"/>
    <x v="5"/>
    <x v="1"/>
    <s v="New Mexico"/>
    <x v="3"/>
    <n v="159"/>
    <n v="3"/>
    <n v="477"/>
    <n v="6"/>
  </r>
  <r>
    <s v="0653"/>
    <d v="2021-07-18T00:00:00"/>
    <n v="5"/>
    <s v="Company E"/>
    <x v="4"/>
    <x v="2"/>
    <s v="Texas"/>
    <x v="3"/>
    <n v="159"/>
    <n v="1"/>
    <n v="159"/>
    <n v="2"/>
  </r>
  <r>
    <s v="0656"/>
    <d v="2021-07-18T00:00:00"/>
    <n v="12"/>
    <s v="Company L"/>
    <x v="5"/>
    <x v="1"/>
    <s v="New Mexico"/>
    <x v="3"/>
    <n v="159"/>
    <n v="5"/>
    <n v="795"/>
    <n v="6"/>
  </r>
  <r>
    <s v="0658"/>
    <d v="2021-07-18T00:00:00"/>
    <n v="5"/>
    <s v="Company E"/>
    <x v="2"/>
    <x v="0"/>
    <s v="Texas"/>
    <x v="3"/>
    <n v="159"/>
    <n v="9"/>
    <n v="1431"/>
    <n v="2"/>
  </r>
  <r>
    <s v="0661"/>
    <d v="2021-07-20T00:00:00"/>
    <n v="16"/>
    <s v="Company P"/>
    <x v="6"/>
    <x v="0"/>
    <s v="Arizona"/>
    <x v="3"/>
    <n v="159"/>
    <n v="3"/>
    <n v="477"/>
    <n v="5"/>
  </r>
  <r>
    <s v="0663"/>
    <d v="2021-07-20T00:00:00"/>
    <n v="20"/>
    <s v="Company T"/>
    <x v="6"/>
    <x v="0"/>
    <s v="Arizona"/>
    <x v="3"/>
    <n v="159"/>
    <n v="4"/>
    <n v="636"/>
    <n v="5"/>
  </r>
  <r>
    <s v="0672"/>
    <d v="2021-07-25T00:00:00"/>
    <n v="12"/>
    <s v="Company L"/>
    <x v="3"/>
    <x v="2"/>
    <s v="New Mexico"/>
    <x v="3"/>
    <n v="159"/>
    <n v="7"/>
    <n v="1113"/>
    <n v="5"/>
  </r>
  <r>
    <s v="0673"/>
    <d v="2021-07-25T00:00:00"/>
    <n v="17"/>
    <s v="Company Q"/>
    <x v="6"/>
    <x v="0"/>
    <s v="Arizona"/>
    <x v="3"/>
    <n v="159"/>
    <n v="8"/>
    <n v="1272"/>
    <n v="5"/>
  </r>
  <r>
    <s v="0675"/>
    <d v="2021-07-26T00:00:00"/>
    <n v="13"/>
    <s v="Company M"/>
    <x v="3"/>
    <x v="2"/>
    <s v="New Mexico"/>
    <x v="3"/>
    <n v="159"/>
    <n v="4"/>
    <n v="636"/>
    <n v="5"/>
  </r>
  <r>
    <s v="0677"/>
    <d v="2021-07-26T00:00:00"/>
    <n v="15"/>
    <s v="Company O"/>
    <x v="3"/>
    <x v="2"/>
    <s v="New Mexico"/>
    <x v="3"/>
    <n v="159"/>
    <n v="9"/>
    <n v="1431"/>
    <n v="5"/>
  </r>
  <r>
    <s v="0679"/>
    <d v="2021-07-26T00:00:00"/>
    <n v="7"/>
    <s v="Company G"/>
    <x v="7"/>
    <x v="3"/>
    <s v="California"/>
    <x v="3"/>
    <n v="159"/>
    <n v="6"/>
    <n v="954"/>
    <n v="8"/>
  </r>
  <r>
    <s v="0684"/>
    <d v="2021-07-27T00:00:00"/>
    <n v="18"/>
    <s v="Company R"/>
    <x v="6"/>
    <x v="0"/>
    <s v="Arizona"/>
    <x v="3"/>
    <n v="159"/>
    <n v="3"/>
    <n v="477"/>
    <n v="5"/>
  </r>
  <r>
    <s v="0689"/>
    <d v="2021-07-27T00:00:00"/>
    <n v="19"/>
    <s v="Company S"/>
    <x v="0"/>
    <x v="0"/>
    <s v="Arizona"/>
    <x v="3"/>
    <n v="159"/>
    <n v="8"/>
    <n v="1272"/>
    <n v="3"/>
  </r>
  <r>
    <s v="0694"/>
    <d v="2021-07-27T00:00:00"/>
    <n v="8"/>
    <s v="Company H"/>
    <x v="1"/>
    <x v="1"/>
    <s v="California"/>
    <x v="3"/>
    <n v="159"/>
    <n v="8"/>
    <n v="1272"/>
    <n v="4"/>
  </r>
  <r>
    <s v="0697"/>
    <d v="2021-07-29T00:00:00"/>
    <n v="5"/>
    <s v="Company E"/>
    <x v="4"/>
    <x v="2"/>
    <s v="Texas"/>
    <x v="3"/>
    <n v="159"/>
    <n v="1"/>
    <n v="159"/>
    <n v="2"/>
  </r>
  <r>
    <s v="0706"/>
    <d v="2021-08-03T00:00:00"/>
    <n v="7"/>
    <s v="Company G"/>
    <x v="1"/>
    <x v="1"/>
    <s v="California"/>
    <x v="3"/>
    <n v="159"/>
    <n v="2"/>
    <n v="318"/>
    <n v="4"/>
  </r>
  <r>
    <s v="0709"/>
    <d v="2021-08-03T00:00:00"/>
    <n v="1"/>
    <s v="Company A"/>
    <x v="2"/>
    <x v="0"/>
    <s v="Texas"/>
    <x v="3"/>
    <n v="159"/>
    <n v="9"/>
    <n v="1431"/>
    <n v="2"/>
  </r>
  <r>
    <s v="0712"/>
    <d v="2021-08-04T00:00:00"/>
    <n v="12"/>
    <s v="Company L"/>
    <x v="3"/>
    <x v="2"/>
    <s v="New Mexico"/>
    <x v="3"/>
    <n v="159"/>
    <n v="0"/>
    <n v="0"/>
    <n v="5"/>
  </r>
  <r>
    <s v="0713"/>
    <d v="2021-08-04T00:00:00"/>
    <n v="19"/>
    <s v="Company S"/>
    <x v="6"/>
    <x v="0"/>
    <s v="Arizona"/>
    <x v="3"/>
    <n v="159"/>
    <n v="8"/>
    <n v="1272"/>
    <n v="5"/>
  </r>
  <r>
    <s v="0715"/>
    <d v="2021-08-05T00:00:00"/>
    <n v="13"/>
    <s v="Company M"/>
    <x v="5"/>
    <x v="1"/>
    <s v="New Mexico"/>
    <x v="3"/>
    <n v="159"/>
    <n v="5"/>
    <n v="795"/>
    <n v="6"/>
  </r>
  <r>
    <s v="0718"/>
    <d v="2021-08-06T00:00:00"/>
    <n v="13"/>
    <s v="Company M"/>
    <x v="5"/>
    <x v="1"/>
    <s v="New Mexico"/>
    <x v="3"/>
    <n v="159"/>
    <n v="3"/>
    <n v="477"/>
    <n v="6"/>
  </r>
  <r>
    <s v="0719"/>
    <d v="2021-08-06T00:00:00"/>
    <n v="2"/>
    <s v="Company B"/>
    <x v="4"/>
    <x v="2"/>
    <s v="Texas"/>
    <x v="3"/>
    <n v="159"/>
    <n v="4"/>
    <n v="636"/>
    <n v="2"/>
  </r>
  <r>
    <s v="0721"/>
    <d v="2021-08-07T00:00:00"/>
    <n v="7"/>
    <s v="Company G"/>
    <x v="1"/>
    <x v="1"/>
    <s v="California"/>
    <x v="3"/>
    <n v="159"/>
    <n v="5"/>
    <n v="795"/>
    <n v="4"/>
  </r>
  <r>
    <s v="0722"/>
    <d v="2021-08-07T00:00:00"/>
    <n v="11"/>
    <s v="Company K"/>
    <x v="5"/>
    <x v="1"/>
    <s v="New Mexico"/>
    <x v="3"/>
    <n v="159"/>
    <n v="4"/>
    <n v="636"/>
    <n v="6"/>
  </r>
  <r>
    <s v="0733"/>
    <d v="2021-08-10T00:00:00"/>
    <n v="17"/>
    <s v="Company Q"/>
    <x v="0"/>
    <x v="0"/>
    <s v="Arizona"/>
    <x v="3"/>
    <n v="159"/>
    <n v="4"/>
    <n v="636"/>
    <n v="3"/>
  </r>
  <r>
    <s v="0736"/>
    <d v="2021-08-11T00:00:00"/>
    <n v="14"/>
    <s v="Company N"/>
    <x v="3"/>
    <x v="2"/>
    <s v="New Mexico"/>
    <x v="3"/>
    <n v="159"/>
    <n v="6"/>
    <n v="954"/>
    <n v="5"/>
  </r>
  <r>
    <s v="0737"/>
    <d v="2021-08-11T00:00:00"/>
    <n v="12"/>
    <s v="Company L"/>
    <x v="5"/>
    <x v="1"/>
    <s v="New Mexico"/>
    <x v="3"/>
    <n v="159"/>
    <n v="5"/>
    <n v="795"/>
    <n v="6"/>
  </r>
  <r>
    <s v="0746"/>
    <d v="2021-08-17T00:00:00"/>
    <n v="2"/>
    <s v="Company B"/>
    <x v="4"/>
    <x v="2"/>
    <s v="Texas"/>
    <x v="3"/>
    <n v="159"/>
    <n v="8"/>
    <n v="1272"/>
    <n v="2"/>
  </r>
  <r>
    <s v="0750"/>
    <d v="2021-08-18T00:00:00"/>
    <n v="20"/>
    <s v="Company T"/>
    <x v="0"/>
    <x v="0"/>
    <s v="Arizona"/>
    <x v="3"/>
    <n v="159"/>
    <n v="9"/>
    <n v="1431"/>
    <n v="3"/>
  </r>
  <r>
    <s v="0761"/>
    <d v="2021-08-21T00:00:00"/>
    <n v="16"/>
    <s v="Company P"/>
    <x v="0"/>
    <x v="0"/>
    <s v="Arizona"/>
    <x v="3"/>
    <n v="159"/>
    <n v="6"/>
    <n v="954"/>
    <n v="3"/>
  </r>
  <r>
    <s v="0765"/>
    <d v="2021-08-22T00:00:00"/>
    <n v="19"/>
    <s v="Company S"/>
    <x v="0"/>
    <x v="0"/>
    <s v="Arizona"/>
    <x v="3"/>
    <n v="159"/>
    <n v="8"/>
    <n v="1272"/>
    <n v="3"/>
  </r>
  <r>
    <s v="0768"/>
    <d v="2021-08-24T00:00:00"/>
    <n v="15"/>
    <s v="Company O"/>
    <x v="5"/>
    <x v="1"/>
    <s v="New Mexico"/>
    <x v="3"/>
    <n v="159"/>
    <n v="1"/>
    <n v="159"/>
    <n v="6"/>
  </r>
  <r>
    <s v="0782"/>
    <d v="2021-08-29T00:00:00"/>
    <n v="1"/>
    <s v="Company A"/>
    <x v="2"/>
    <x v="0"/>
    <s v="Texas"/>
    <x v="3"/>
    <n v="159"/>
    <n v="9"/>
    <n v="1431"/>
    <n v="2"/>
  </r>
  <r>
    <s v="0789"/>
    <d v="2021-08-30T00:00:00"/>
    <n v="6"/>
    <s v="Company F"/>
    <x v="1"/>
    <x v="1"/>
    <s v="California"/>
    <x v="3"/>
    <n v="159"/>
    <n v="8"/>
    <n v="1272"/>
    <n v="4"/>
  </r>
  <r>
    <s v="0790"/>
    <d v="2021-08-30T00:00:00"/>
    <n v="13"/>
    <s v="Company M"/>
    <x v="5"/>
    <x v="1"/>
    <s v="New Mexico"/>
    <x v="3"/>
    <n v="159"/>
    <n v="8"/>
    <n v="1272"/>
    <n v="6"/>
  </r>
  <r>
    <s v="0792"/>
    <d v="2021-08-31T00:00:00"/>
    <n v="16"/>
    <s v="Company P"/>
    <x v="6"/>
    <x v="0"/>
    <s v="Arizona"/>
    <x v="3"/>
    <n v="159"/>
    <n v="9"/>
    <n v="1431"/>
    <n v="5"/>
  </r>
  <r>
    <s v="0800"/>
    <d v="2021-09-03T00:00:00"/>
    <n v="3"/>
    <s v="Company C"/>
    <x v="4"/>
    <x v="2"/>
    <s v="Texas"/>
    <x v="3"/>
    <n v="159"/>
    <n v="4"/>
    <n v="636"/>
    <n v="2"/>
  </r>
  <r>
    <s v="0807"/>
    <d v="2021-09-05T00:00:00"/>
    <n v="11"/>
    <s v="Company K"/>
    <x v="3"/>
    <x v="2"/>
    <s v="New Mexico"/>
    <x v="3"/>
    <n v="159"/>
    <n v="5"/>
    <n v="795"/>
    <n v="5"/>
  </r>
  <r>
    <s v="0813"/>
    <d v="2021-09-08T00:00:00"/>
    <n v="16"/>
    <s v="Company P"/>
    <x v="0"/>
    <x v="0"/>
    <s v="Arizona"/>
    <x v="3"/>
    <n v="159"/>
    <n v="8"/>
    <n v="1272"/>
    <n v="3"/>
  </r>
  <r>
    <s v="0814"/>
    <d v="2021-09-08T00:00:00"/>
    <n v="16"/>
    <s v="Company P"/>
    <x v="6"/>
    <x v="0"/>
    <s v="Arizona"/>
    <x v="3"/>
    <n v="159"/>
    <n v="4"/>
    <n v="636"/>
    <n v="5"/>
  </r>
  <r>
    <s v="0815"/>
    <d v="2021-09-08T00:00:00"/>
    <n v="3"/>
    <s v="Company C"/>
    <x v="2"/>
    <x v="0"/>
    <s v="Texas"/>
    <x v="3"/>
    <n v="159"/>
    <n v="8"/>
    <n v="1272"/>
    <n v="2"/>
  </r>
  <r>
    <s v="0820"/>
    <d v="2021-09-10T00:00:00"/>
    <n v="11"/>
    <s v="Company K"/>
    <x v="5"/>
    <x v="1"/>
    <s v="New Mexico"/>
    <x v="3"/>
    <n v="159"/>
    <n v="4"/>
    <n v="636"/>
    <n v="6"/>
  </r>
  <r>
    <s v="0821"/>
    <d v="2021-09-10T00:00:00"/>
    <n v="12"/>
    <s v="Company L"/>
    <x v="3"/>
    <x v="2"/>
    <s v="New Mexico"/>
    <x v="3"/>
    <n v="159"/>
    <n v="4"/>
    <n v="636"/>
    <n v="5"/>
  </r>
  <r>
    <s v="0827"/>
    <d v="2021-09-11T00:00:00"/>
    <n v="1"/>
    <s v="Company A"/>
    <x v="2"/>
    <x v="0"/>
    <s v="Texas"/>
    <x v="3"/>
    <n v="159"/>
    <n v="3"/>
    <n v="477"/>
    <n v="2"/>
  </r>
  <r>
    <s v="0840"/>
    <d v="2021-09-20T00:00:00"/>
    <n v="6"/>
    <s v="Company F"/>
    <x v="1"/>
    <x v="1"/>
    <s v="California"/>
    <x v="3"/>
    <n v="159"/>
    <n v="8"/>
    <n v="1272"/>
    <n v="4"/>
  </r>
  <r>
    <s v="0845"/>
    <d v="2021-09-21T00:00:00"/>
    <n v="8"/>
    <s v="Company H"/>
    <x v="1"/>
    <x v="1"/>
    <s v="California"/>
    <x v="3"/>
    <n v="159"/>
    <n v="7"/>
    <n v="1113"/>
    <n v="4"/>
  </r>
  <r>
    <s v="0847"/>
    <d v="2021-09-22T00:00:00"/>
    <n v="5"/>
    <s v="Company E"/>
    <x v="2"/>
    <x v="0"/>
    <s v="Texas"/>
    <x v="3"/>
    <n v="159"/>
    <n v="0"/>
    <n v="0"/>
    <n v="2"/>
  </r>
  <r>
    <s v="0856"/>
    <d v="2021-09-22T00:00:00"/>
    <n v="19"/>
    <s v="Company S"/>
    <x v="0"/>
    <x v="0"/>
    <s v="Arizona"/>
    <x v="3"/>
    <n v="159"/>
    <n v="3"/>
    <n v="477"/>
    <n v="3"/>
  </r>
  <r>
    <s v="0870"/>
    <d v="2021-09-28T00:00:00"/>
    <n v="3"/>
    <s v="Company C"/>
    <x v="4"/>
    <x v="2"/>
    <s v="Texas"/>
    <x v="3"/>
    <n v="159"/>
    <n v="5"/>
    <n v="795"/>
    <n v="2"/>
  </r>
  <r>
    <s v="0872"/>
    <d v="2021-09-28T00:00:00"/>
    <n v="1"/>
    <s v="Company A"/>
    <x v="2"/>
    <x v="0"/>
    <s v="Texas"/>
    <x v="3"/>
    <n v="159"/>
    <n v="5"/>
    <n v="795"/>
    <n v="2"/>
  </r>
  <r>
    <s v="0878"/>
    <d v="2021-09-30T00:00:00"/>
    <n v="15"/>
    <s v="Company O"/>
    <x v="5"/>
    <x v="1"/>
    <s v="New Mexico"/>
    <x v="3"/>
    <n v="159"/>
    <n v="0"/>
    <n v="0"/>
    <n v="6"/>
  </r>
  <r>
    <s v="0882"/>
    <d v="2021-10-01T00:00:00"/>
    <n v="7"/>
    <s v="Company G"/>
    <x v="1"/>
    <x v="1"/>
    <s v="California"/>
    <x v="3"/>
    <n v="159"/>
    <n v="2"/>
    <n v="318"/>
    <n v="4"/>
  </r>
  <r>
    <s v="0885"/>
    <d v="2021-10-02T00:00:00"/>
    <n v="15"/>
    <s v="Company O"/>
    <x v="5"/>
    <x v="1"/>
    <s v="New Mexico"/>
    <x v="3"/>
    <n v="159"/>
    <n v="8"/>
    <n v="1272"/>
    <n v="6"/>
  </r>
  <r>
    <s v="0886"/>
    <d v="2021-10-03T00:00:00"/>
    <n v="20"/>
    <s v="Company T"/>
    <x v="6"/>
    <x v="0"/>
    <s v="Arizona"/>
    <x v="3"/>
    <n v="159"/>
    <n v="1"/>
    <n v="159"/>
    <n v="5"/>
  </r>
  <r>
    <s v="0892"/>
    <d v="2021-10-05T00:00:00"/>
    <n v="16"/>
    <s v="Company P"/>
    <x v="0"/>
    <x v="0"/>
    <s v="Arizona"/>
    <x v="3"/>
    <n v="159"/>
    <n v="7"/>
    <n v="1113"/>
    <n v="3"/>
  </r>
  <r>
    <s v="0894"/>
    <d v="2021-10-06T00:00:00"/>
    <n v="11"/>
    <s v="Company K"/>
    <x v="5"/>
    <x v="1"/>
    <s v="New Mexico"/>
    <x v="3"/>
    <n v="159"/>
    <n v="6"/>
    <n v="954"/>
    <n v="6"/>
  </r>
  <r>
    <s v="0900"/>
    <d v="2021-10-07T00:00:00"/>
    <n v="4"/>
    <s v="Company D"/>
    <x v="2"/>
    <x v="0"/>
    <s v="Texas"/>
    <x v="3"/>
    <n v="159"/>
    <n v="5"/>
    <n v="795"/>
    <n v="2"/>
  </r>
  <r>
    <s v="0909"/>
    <d v="2021-10-13T00:00:00"/>
    <n v="7"/>
    <s v="Company G"/>
    <x v="1"/>
    <x v="1"/>
    <s v="California"/>
    <x v="3"/>
    <n v="159"/>
    <n v="8"/>
    <n v="1272"/>
    <n v="4"/>
  </r>
  <r>
    <s v="0914"/>
    <d v="2021-10-13T00:00:00"/>
    <n v="14"/>
    <s v="Company N"/>
    <x v="3"/>
    <x v="2"/>
    <s v="New Mexico"/>
    <x v="3"/>
    <n v="159"/>
    <n v="7"/>
    <n v="1113"/>
    <n v="5"/>
  </r>
  <r>
    <s v="0918"/>
    <d v="2021-10-15T00:00:00"/>
    <n v="18"/>
    <s v="Company R"/>
    <x v="0"/>
    <x v="0"/>
    <s v="Arizona"/>
    <x v="3"/>
    <n v="159"/>
    <n v="5"/>
    <n v="795"/>
    <n v="3"/>
  </r>
  <r>
    <s v="0923"/>
    <d v="2021-10-16T00:00:00"/>
    <n v="15"/>
    <s v="Company O"/>
    <x v="5"/>
    <x v="1"/>
    <s v="New Mexico"/>
    <x v="3"/>
    <n v="159"/>
    <n v="3"/>
    <n v="477"/>
    <n v="6"/>
  </r>
  <r>
    <s v="0928"/>
    <d v="2021-10-17T00:00:00"/>
    <n v="20"/>
    <s v="Company T"/>
    <x v="0"/>
    <x v="0"/>
    <s v="Arizona"/>
    <x v="3"/>
    <n v="159"/>
    <n v="8"/>
    <n v="1272"/>
    <n v="3"/>
  </r>
  <r>
    <s v="0929"/>
    <d v="2021-10-17T00:00:00"/>
    <n v="14"/>
    <s v="Company N"/>
    <x v="5"/>
    <x v="1"/>
    <s v="New Mexico"/>
    <x v="3"/>
    <n v="159"/>
    <n v="5"/>
    <n v="795"/>
    <n v="6"/>
  </r>
  <r>
    <s v="0933"/>
    <d v="2021-10-19T00:00:00"/>
    <n v="10"/>
    <s v="Company J"/>
    <x v="1"/>
    <x v="1"/>
    <s v="California"/>
    <x v="3"/>
    <n v="159"/>
    <n v="6"/>
    <n v="954"/>
    <n v="4"/>
  </r>
  <r>
    <s v="0934"/>
    <d v="2021-10-20T00:00:00"/>
    <n v="17"/>
    <s v="Company Q"/>
    <x v="0"/>
    <x v="0"/>
    <s v="Arizona"/>
    <x v="3"/>
    <n v="159"/>
    <n v="1"/>
    <n v="159"/>
    <n v="3"/>
  </r>
  <r>
    <s v="0941"/>
    <d v="2021-10-22T00:00:00"/>
    <n v="20"/>
    <s v="Company T"/>
    <x v="6"/>
    <x v="0"/>
    <s v="Arizona"/>
    <x v="3"/>
    <n v="159"/>
    <n v="5"/>
    <n v="795"/>
    <n v="5"/>
  </r>
  <r>
    <s v="0943"/>
    <d v="2021-10-22T00:00:00"/>
    <n v="6"/>
    <s v="Company F"/>
    <x v="7"/>
    <x v="3"/>
    <s v="California"/>
    <x v="3"/>
    <n v="159"/>
    <n v="6"/>
    <n v="954"/>
    <n v="8"/>
  </r>
  <r>
    <s v="0956"/>
    <d v="2021-10-29T00:00:00"/>
    <n v="6"/>
    <s v="Company F"/>
    <x v="7"/>
    <x v="3"/>
    <s v="California"/>
    <x v="3"/>
    <n v="159"/>
    <n v="4"/>
    <n v="636"/>
    <n v="8"/>
  </r>
  <r>
    <s v="0963"/>
    <d v="2021-10-29T00:00:00"/>
    <n v="14"/>
    <s v="Company N"/>
    <x v="3"/>
    <x v="2"/>
    <s v="New Mexico"/>
    <x v="3"/>
    <n v="159"/>
    <n v="1"/>
    <n v="159"/>
    <n v="5"/>
  </r>
  <r>
    <s v="0966"/>
    <d v="2021-10-29T00:00:00"/>
    <n v="18"/>
    <s v="Company R"/>
    <x v="0"/>
    <x v="0"/>
    <s v="Arizona"/>
    <x v="3"/>
    <n v="159"/>
    <n v="7"/>
    <n v="1113"/>
    <n v="3"/>
  </r>
  <r>
    <s v="0969"/>
    <d v="2021-10-30T00:00:00"/>
    <n v="7"/>
    <s v="Company G"/>
    <x v="1"/>
    <x v="1"/>
    <s v="California"/>
    <x v="3"/>
    <n v="159"/>
    <n v="1"/>
    <n v="159"/>
    <n v="4"/>
  </r>
  <r>
    <s v="0972"/>
    <d v="2021-11-02T00:00:00"/>
    <n v="19"/>
    <s v="Company S"/>
    <x v="6"/>
    <x v="0"/>
    <s v="Arizona"/>
    <x v="3"/>
    <n v="159"/>
    <n v="4"/>
    <n v="636"/>
    <n v="5"/>
  </r>
  <r>
    <s v="0975"/>
    <d v="2021-11-04T00:00:00"/>
    <n v="13"/>
    <s v="Company M"/>
    <x v="5"/>
    <x v="1"/>
    <s v="New Mexico"/>
    <x v="3"/>
    <n v="159"/>
    <n v="2"/>
    <n v="318"/>
    <n v="6"/>
  </r>
  <r>
    <s v="0978"/>
    <d v="2021-11-06T00:00:00"/>
    <n v="20"/>
    <s v="Company T"/>
    <x v="6"/>
    <x v="0"/>
    <s v="Arizona"/>
    <x v="3"/>
    <n v="159"/>
    <n v="0"/>
    <n v="0"/>
    <n v="5"/>
  </r>
  <r>
    <s v="0985"/>
    <d v="2021-11-08T00:00:00"/>
    <n v="10"/>
    <s v="Company J"/>
    <x v="7"/>
    <x v="3"/>
    <s v="California"/>
    <x v="3"/>
    <n v="159"/>
    <n v="9"/>
    <n v="1431"/>
    <n v="8"/>
  </r>
  <r>
    <s v="0986"/>
    <d v="2021-11-08T00:00:00"/>
    <n v="9"/>
    <s v="Company I"/>
    <x v="1"/>
    <x v="1"/>
    <s v="California"/>
    <x v="3"/>
    <n v="159"/>
    <n v="7"/>
    <n v="1113"/>
    <n v="4"/>
  </r>
  <r>
    <s v="0989"/>
    <d v="2021-11-09T00:00:00"/>
    <n v="4"/>
    <s v="Company D"/>
    <x v="2"/>
    <x v="0"/>
    <s v="Texas"/>
    <x v="3"/>
    <n v="159"/>
    <n v="9"/>
    <n v="1431"/>
    <n v="2"/>
  </r>
  <r>
    <s v="0994"/>
    <d v="2021-11-10T00:00:00"/>
    <n v="5"/>
    <s v="Company E"/>
    <x v="2"/>
    <x v="0"/>
    <s v="Texas"/>
    <x v="3"/>
    <n v="159"/>
    <n v="4"/>
    <n v="636"/>
    <n v="2"/>
  </r>
  <r>
    <s v="1003"/>
    <d v="2021-11-15T00:00:00"/>
    <n v="10"/>
    <s v="Company J"/>
    <x v="1"/>
    <x v="1"/>
    <s v="California"/>
    <x v="3"/>
    <n v="159"/>
    <n v="4"/>
    <n v="636"/>
    <n v="4"/>
  </r>
  <r>
    <s v="1006"/>
    <d v="2021-11-15T00:00:00"/>
    <n v="19"/>
    <s v="Company S"/>
    <x v="6"/>
    <x v="0"/>
    <s v="Arizona"/>
    <x v="3"/>
    <n v="159"/>
    <n v="2"/>
    <n v="318"/>
    <n v="5"/>
  </r>
  <r>
    <s v="1022"/>
    <d v="2021-11-22T00:00:00"/>
    <n v="1"/>
    <s v="Company A"/>
    <x v="4"/>
    <x v="2"/>
    <s v="Texas"/>
    <x v="3"/>
    <n v="159"/>
    <n v="6"/>
    <n v="954"/>
    <n v="2"/>
  </r>
  <r>
    <s v="1026"/>
    <d v="2021-11-22T00:00:00"/>
    <n v="8"/>
    <s v="Company H"/>
    <x v="7"/>
    <x v="3"/>
    <s v="California"/>
    <x v="3"/>
    <n v="159"/>
    <n v="6"/>
    <n v="954"/>
    <n v="8"/>
  </r>
  <r>
    <s v="1028"/>
    <d v="2021-11-22T00:00:00"/>
    <n v="20"/>
    <s v="Company T"/>
    <x v="6"/>
    <x v="0"/>
    <s v="Arizona"/>
    <x v="3"/>
    <n v="159"/>
    <n v="0"/>
    <n v="0"/>
    <n v="5"/>
  </r>
  <r>
    <s v="1041"/>
    <d v="2021-11-24T00:00:00"/>
    <n v="18"/>
    <s v="Company R"/>
    <x v="0"/>
    <x v="0"/>
    <s v="Arizona"/>
    <x v="3"/>
    <n v="159"/>
    <n v="2"/>
    <n v="318"/>
    <n v="3"/>
  </r>
  <r>
    <s v="1054"/>
    <d v="2021-11-28T00:00:00"/>
    <n v="6"/>
    <s v="Company F"/>
    <x v="1"/>
    <x v="1"/>
    <s v="California"/>
    <x v="3"/>
    <n v="159"/>
    <n v="2"/>
    <n v="318"/>
    <n v="4"/>
  </r>
  <r>
    <s v="1060"/>
    <d v="2021-11-30T00:00:00"/>
    <n v="2"/>
    <s v="Company B"/>
    <x v="2"/>
    <x v="0"/>
    <s v="Texas"/>
    <x v="3"/>
    <n v="159"/>
    <n v="1"/>
    <n v="159"/>
    <n v="2"/>
  </r>
  <r>
    <s v="1082"/>
    <d v="2021-12-13T00:00:00"/>
    <n v="16"/>
    <s v="Company P"/>
    <x v="6"/>
    <x v="0"/>
    <s v="Arizona"/>
    <x v="3"/>
    <n v="159"/>
    <n v="0"/>
    <n v="0"/>
    <n v="5"/>
  </r>
  <r>
    <s v="1088"/>
    <d v="2021-12-13T00:00:00"/>
    <n v="11"/>
    <s v="Company K"/>
    <x v="5"/>
    <x v="1"/>
    <s v="New Mexico"/>
    <x v="3"/>
    <n v="159"/>
    <n v="3"/>
    <n v="477"/>
    <n v="6"/>
  </r>
  <r>
    <s v="1093"/>
    <d v="2021-12-16T00:00:00"/>
    <n v="18"/>
    <s v="Company R"/>
    <x v="6"/>
    <x v="0"/>
    <s v="Arizona"/>
    <x v="3"/>
    <n v="159"/>
    <n v="4"/>
    <n v="636"/>
    <n v="5"/>
  </r>
  <r>
    <s v="1100"/>
    <d v="2021-12-18T00:00:00"/>
    <n v="8"/>
    <s v="Company H"/>
    <x v="1"/>
    <x v="1"/>
    <s v="California"/>
    <x v="3"/>
    <n v="159"/>
    <n v="3"/>
    <n v="477"/>
    <n v="4"/>
  </r>
  <r>
    <s v="1105"/>
    <d v="2021-12-18T00:00:00"/>
    <n v="12"/>
    <s v="Company L"/>
    <x v="3"/>
    <x v="2"/>
    <s v="New Mexico"/>
    <x v="3"/>
    <n v="159"/>
    <n v="7"/>
    <n v="1113"/>
    <n v="5"/>
  </r>
  <r>
    <s v="1109"/>
    <d v="2021-12-19T00:00:00"/>
    <n v="11"/>
    <s v="Company K"/>
    <x v="3"/>
    <x v="2"/>
    <s v="New Mexico"/>
    <x v="3"/>
    <n v="159"/>
    <n v="2"/>
    <n v="318"/>
    <n v="5"/>
  </r>
  <r>
    <s v="1110"/>
    <d v="2021-12-19T00:00:00"/>
    <n v="10"/>
    <s v="Company J"/>
    <x v="1"/>
    <x v="1"/>
    <s v="California"/>
    <x v="3"/>
    <n v="159"/>
    <n v="9"/>
    <n v="1431"/>
    <n v="4"/>
  </r>
  <r>
    <s v="1116"/>
    <d v="2021-12-20T00:00:00"/>
    <n v="14"/>
    <s v="Company N"/>
    <x v="3"/>
    <x v="2"/>
    <s v="New Mexico"/>
    <x v="3"/>
    <n v="159"/>
    <n v="9"/>
    <n v="1431"/>
    <n v="5"/>
  </r>
  <r>
    <s v="1120"/>
    <d v="2021-12-21T00:00:00"/>
    <n v="1"/>
    <s v="Company A"/>
    <x v="4"/>
    <x v="2"/>
    <s v="Texas"/>
    <x v="3"/>
    <n v="159"/>
    <n v="8"/>
    <n v="1272"/>
    <n v="2"/>
  </r>
  <r>
    <s v="1122"/>
    <d v="2021-12-23T00:00:00"/>
    <n v="6"/>
    <s v="Company F"/>
    <x v="1"/>
    <x v="1"/>
    <s v="California"/>
    <x v="3"/>
    <n v="159"/>
    <n v="2"/>
    <n v="318"/>
    <n v="4"/>
  </r>
  <r>
    <s v="1123"/>
    <d v="2021-12-23T00:00:00"/>
    <n v="9"/>
    <s v="Company I"/>
    <x v="7"/>
    <x v="3"/>
    <s v="California"/>
    <x v="3"/>
    <n v="159"/>
    <n v="9"/>
    <n v="1431"/>
    <n v="8"/>
  </r>
  <r>
    <s v="1124"/>
    <d v="2021-12-23T00:00:00"/>
    <n v="14"/>
    <s v="Company N"/>
    <x v="3"/>
    <x v="2"/>
    <s v="New Mexico"/>
    <x v="3"/>
    <n v="159"/>
    <n v="2"/>
    <n v="318"/>
    <n v="5"/>
  </r>
  <r>
    <s v="1129"/>
    <d v="2021-12-24T00:00:00"/>
    <n v="13"/>
    <s v="Company M"/>
    <x v="3"/>
    <x v="2"/>
    <s v="New Mexico"/>
    <x v="3"/>
    <n v="159"/>
    <n v="2"/>
    <n v="318"/>
    <n v="5"/>
  </r>
  <r>
    <s v="1134"/>
    <d v="2021-12-25T00:00:00"/>
    <n v="12"/>
    <s v="Company L"/>
    <x v="5"/>
    <x v="1"/>
    <s v="New Mexico"/>
    <x v="3"/>
    <n v="159"/>
    <n v="5"/>
    <n v="795"/>
    <n v="6"/>
  </r>
  <r>
    <s v="1136"/>
    <d v="2021-12-25T00:00:00"/>
    <n v="16"/>
    <s v="Company P"/>
    <x v="6"/>
    <x v="0"/>
    <s v="Arizona"/>
    <x v="3"/>
    <n v="159"/>
    <n v="4"/>
    <n v="636"/>
    <n v="5"/>
  </r>
  <r>
    <s v="1138"/>
    <d v="2021-12-25T00:00:00"/>
    <n v="14"/>
    <s v="Company N"/>
    <x v="3"/>
    <x v="2"/>
    <s v="New Mexico"/>
    <x v="3"/>
    <n v="159"/>
    <n v="0"/>
    <n v="0"/>
    <n v="5"/>
  </r>
  <r>
    <s v="1140"/>
    <d v="2021-12-27T00:00:00"/>
    <n v="6"/>
    <s v="Company F"/>
    <x v="1"/>
    <x v="1"/>
    <s v="California"/>
    <x v="3"/>
    <n v="159"/>
    <n v="1"/>
    <n v="159"/>
    <n v="4"/>
  </r>
  <r>
    <s v="1141"/>
    <d v="2021-12-27T00:00:00"/>
    <n v="15"/>
    <s v="Company O"/>
    <x v="3"/>
    <x v="2"/>
    <s v="New Mexico"/>
    <x v="3"/>
    <n v="159"/>
    <n v="0"/>
    <n v="0"/>
    <n v="5"/>
  </r>
  <r>
    <s v="1149"/>
    <d v="2022-01-02T00:00:00"/>
    <n v="10"/>
    <s v="Company J"/>
    <x v="7"/>
    <x v="3"/>
    <s v="California"/>
    <x v="3"/>
    <n v="159"/>
    <n v="7"/>
    <n v="1113"/>
    <n v="8"/>
  </r>
  <r>
    <s v="1150"/>
    <d v="2022-01-02T00:00:00"/>
    <n v="5"/>
    <s v="Company E"/>
    <x v="4"/>
    <x v="2"/>
    <s v="Texas"/>
    <x v="3"/>
    <n v="159"/>
    <n v="0"/>
    <n v="0"/>
    <n v="2"/>
  </r>
  <r>
    <s v="1153"/>
    <d v="2022-01-04T00:00:00"/>
    <n v="20"/>
    <s v="Company T"/>
    <x v="0"/>
    <x v="0"/>
    <s v="Arizona"/>
    <x v="3"/>
    <n v="159"/>
    <n v="2"/>
    <n v="318"/>
    <n v="3"/>
  </r>
  <r>
    <s v="1159"/>
    <d v="2022-01-06T00:00:00"/>
    <n v="7"/>
    <s v="Company G"/>
    <x v="1"/>
    <x v="1"/>
    <s v="California"/>
    <x v="3"/>
    <n v="159"/>
    <n v="1"/>
    <n v="159"/>
    <n v="4"/>
  </r>
  <r>
    <s v="1168"/>
    <d v="2022-01-08T00:00:00"/>
    <n v="3"/>
    <s v="Company C"/>
    <x v="4"/>
    <x v="2"/>
    <s v="Texas"/>
    <x v="3"/>
    <n v="159"/>
    <n v="6"/>
    <n v="954"/>
    <n v="2"/>
  </r>
  <r>
    <s v="1170"/>
    <d v="2022-01-09T00:00:00"/>
    <n v="3"/>
    <s v="Company C"/>
    <x v="4"/>
    <x v="2"/>
    <s v="Texas"/>
    <x v="3"/>
    <n v="159"/>
    <n v="0"/>
    <n v="0"/>
    <n v="2"/>
  </r>
  <r>
    <s v="1172"/>
    <d v="2022-01-10T00:00:00"/>
    <n v="11"/>
    <s v="Company K"/>
    <x v="5"/>
    <x v="1"/>
    <s v="New Mexico"/>
    <x v="3"/>
    <n v="159"/>
    <n v="4"/>
    <n v="636"/>
    <n v="6"/>
  </r>
  <r>
    <s v="1185"/>
    <d v="2022-01-13T00:00:00"/>
    <n v="13"/>
    <s v="Company M"/>
    <x v="3"/>
    <x v="2"/>
    <s v="New Mexico"/>
    <x v="3"/>
    <n v="159"/>
    <n v="0"/>
    <n v="0"/>
    <n v="5"/>
  </r>
  <r>
    <s v="1186"/>
    <d v="2022-01-13T00:00:00"/>
    <n v="3"/>
    <s v="Company C"/>
    <x v="4"/>
    <x v="2"/>
    <s v="Texas"/>
    <x v="3"/>
    <n v="159"/>
    <n v="4"/>
    <n v="636"/>
    <n v="2"/>
  </r>
  <r>
    <s v="1188"/>
    <d v="2022-01-13T00:00:00"/>
    <n v="8"/>
    <s v="Company H"/>
    <x v="7"/>
    <x v="3"/>
    <s v="California"/>
    <x v="3"/>
    <n v="159"/>
    <n v="6"/>
    <n v="954"/>
    <n v="8"/>
  </r>
  <r>
    <s v="1192"/>
    <d v="2022-01-14T00:00:00"/>
    <n v="10"/>
    <s v="Company J"/>
    <x v="1"/>
    <x v="1"/>
    <s v="California"/>
    <x v="3"/>
    <n v="159"/>
    <n v="3"/>
    <n v="477"/>
    <n v="4"/>
  </r>
  <r>
    <s v="1207"/>
    <d v="2022-01-17T00:00:00"/>
    <n v="10"/>
    <s v="Company J"/>
    <x v="1"/>
    <x v="1"/>
    <s v="California"/>
    <x v="3"/>
    <n v="159"/>
    <n v="3"/>
    <n v="477"/>
    <n v="4"/>
  </r>
  <r>
    <s v="1211"/>
    <d v="2022-01-19T00:00:00"/>
    <n v="9"/>
    <s v="Company I"/>
    <x v="1"/>
    <x v="1"/>
    <s v="California"/>
    <x v="3"/>
    <n v="159"/>
    <n v="7"/>
    <n v="1113"/>
    <n v="4"/>
  </r>
  <r>
    <s v="1212"/>
    <d v="2022-01-20T00:00:00"/>
    <n v="14"/>
    <s v="Company N"/>
    <x v="3"/>
    <x v="2"/>
    <s v="New Mexico"/>
    <x v="3"/>
    <n v="159"/>
    <n v="1"/>
    <n v="159"/>
    <n v="5"/>
  </r>
  <r>
    <s v="1216"/>
    <d v="2022-01-21T00:00:00"/>
    <n v="10"/>
    <s v="Company J"/>
    <x v="1"/>
    <x v="1"/>
    <s v="California"/>
    <x v="3"/>
    <n v="159"/>
    <n v="1"/>
    <n v="159"/>
    <n v="4"/>
  </r>
  <r>
    <s v="1217"/>
    <d v="2022-01-21T00:00:00"/>
    <n v="4"/>
    <s v="Company D"/>
    <x v="4"/>
    <x v="2"/>
    <s v="Texas"/>
    <x v="3"/>
    <n v="159"/>
    <n v="4"/>
    <n v="636"/>
    <n v="2"/>
  </r>
  <r>
    <s v="1221"/>
    <d v="2022-01-23T00:00:00"/>
    <n v="10"/>
    <s v="Company J"/>
    <x v="1"/>
    <x v="1"/>
    <s v="California"/>
    <x v="3"/>
    <n v="159"/>
    <n v="6"/>
    <n v="954"/>
    <n v="4"/>
  </r>
  <r>
    <s v="1222"/>
    <d v="2022-01-24T00:00:00"/>
    <n v="8"/>
    <s v="Company H"/>
    <x v="7"/>
    <x v="3"/>
    <s v="California"/>
    <x v="3"/>
    <n v="159"/>
    <n v="4"/>
    <n v="636"/>
    <n v="8"/>
  </r>
  <r>
    <s v="1232"/>
    <d v="2022-01-28T00:00:00"/>
    <n v="4"/>
    <s v="Company D"/>
    <x v="2"/>
    <x v="0"/>
    <s v="Texas"/>
    <x v="3"/>
    <n v="159"/>
    <n v="7"/>
    <n v="1113"/>
    <n v="2"/>
  </r>
  <r>
    <s v="1234"/>
    <d v="2022-01-29T00:00:00"/>
    <n v="9"/>
    <s v="Company I"/>
    <x v="1"/>
    <x v="1"/>
    <s v="California"/>
    <x v="3"/>
    <n v="159"/>
    <n v="3"/>
    <n v="477"/>
    <n v="4"/>
  </r>
  <r>
    <s v="1236"/>
    <d v="2022-01-30T00:00:00"/>
    <n v="3"/>
    <s v="Company C"/>
    <x v="4"/>
    <x v="2"/>
    <s v="Texas"/>
    <x v="3"/>
    <n v="159"/>
    <n v="9"/>
    <n v="1431"/>
    <n v="2"/>
  </r>
  <r>
    <s v="1247"/>
    <d v="2022-02-05T00:00:00"/>
    <n v="12"/>
    <s v="Company L"/>
    <x v="3"/>
    <x v="2"/>
    <s v="New Mexico"/>
    <x v="3"/>
    <n v="159"/>
    <n v="2"/>
    <n v="318"/>
    <n v="5"/>
  </r>
  <r>
    <s v="1253"/>
    <d v="2022-02-06T00:00:00"/>
    <n v="12"/>
    <s v="Company L"/>
    <x v="5"/>
    <x v="1"/>
    <s v="New Mexico"/>
    <x v="3"/>
    <n v="159"/>
    <n v="2"/>
    <n v="318"/>
    <n v="6"/>
  </r>
  <r>
    <s v="1257"/>
    <d v="2022-02-08T00:00:00"/>
    <n v="14"/>
    <s v="Company N"/>
    <x v="5"/>
    <x v="1"/>
    <s v="New Mexico"/>
    <x v="3"/>
    <n v="159"/>
    <n v="8"/>
    <n v="1272"/>
    <n v="6"/>
  </r>
  <r>
    <s v="1262"/>
    <d v="2022-02-10T00:00:00"/>
    <n v="13"/>
    <s v="Company M"/>
    <x v="5"/>
    <x v="1"/>
    <s v="New Mexico"/>
    <x v="3"/>
    <n v="159"/>
    <n v="8"/>
    <n v="1272"/>
    <n v="6"/>
  </r>
  <r>
    <s v="1265"/>
    <d v="2022-02-13T00:00:00"/>
    <n v="13"/>
    <s v="Company M"/>
    <x v="3"/>
    <x v="2"/>
    <s v="New Mexico"/>
    <x v="3"/>
    <n v="159"/>
    <n v="3"/>
    <n v="477"/>
    <n v="5"/>
  </r>
  <r>
    <s v="1293"/>
    <d v="2022-02-20T00:00:00"/>
    <n v="9"/>
    <s v="Company I"/>
    <x v="1"/>
    <x v="1"/>
    <s v="California"/>
    <x v="3"/>
    <n v="159"/>
    <n v="2"/>
    <n v="318"/>
    <n v="4"/>
  </r>
  <r>
    <s v="1312"/>
    <d v="2022-02-26T00:00:00"/>
    <n v="13"/>
    <s v="Company M"/>
    <x v="5"/>
    <x v="1"/>
    <s v="New Mexico"/>
    <x v="3"/>
    <n v="159"/>
    <n v="5"/>
    <n v="795"/>
    <n v="6"/>
  </r>
  <r>
    <s v="1313"/>
    <d v="2022-02-26T00:00:00"/>
    <n v="8"/>
    <s v="Company H"/>
    <x v="7"/>
    <x v="3"/>
    <s v="California"/>
    <x v="3"/>
    <n v="159"/>
    <n v="8"/>
    <n v="1272"/>
    <n v="8"/>
  </r>
  <r>
    <s v="1324"/>
    <d v="2022-03-01T00:00:00"/>
    <n v="17"/>
    <s v="Company Q"/>
    <x v="0"/>
    <x v="0"/>
    <s v="Arizona"/>
    <x v="3"/>
    <n v="159"/>
    <n v="9"/>
    <n v="1431"/>
    <n v="3"/>
  </r>
  <r>
    <s v="1326"/>
    <d v="2022-03-01T00:00:00"/>
    <n v="8"/>
    <s v="Company H"/>
    <x v="1"/>
    <x v="1"/>
    <s v="California"/>
    <x v="3"/>
    <n v="159"/>
    <n v="5"/>
    <n v="795"/>
    <n v="4"/>
  </r>
  <r>
    <s v="1328"/>
    <d v="2022-03-02T00:00:00"/>
    <n v="1"/>
    <s v="Company A"/>
    <x v="4"/>
    <x v="2"/>
    <s v="Texas"/>
    <x v="3"/>
    <n v="159"/>
    <n v="6"/>
    <n v="954"/>
    <n v="2"/>
  </r>
  <r>
    <s v="1336"/>
    <d v="2022-03-06T00:00:00"/>
    <n v="8"/>
    <s v="Company H"/>
    <x v="1"/>
    <x v="1"/>
    <s v="California"/>
    <x v="3"/>
    <n v="159"/>
    <n v="8"/>
    <n v="1272"/>
    <n v="4"/>
  </r>
  <r>
    <s v="1337"/>
    <d v="2022-03-06T00:00:00"/>
    <n v="19"/>
    <s v="Company S"/>
    <x v="6"/>
    <x v="0"/>
    <s v="Arizona"/>
    <x v="3"/>
    <n v="159"/>
    <n v="5"/>
    <n v="795"/>
    <n v="5"/>
  </r>
  <r>
    <s v="1341"/>
    <d v="2022-03-07T00:00:00"/>
    <n v="12"/>
    <s v="Company L"/>
    <x v="3"/>
    <x v="2"/>
    <s v="New Mexico"/>
    <x v="3"/>
    <n v="159"/>
    <n v="0"/>
    <n v="0"/>
    <n v="5"/>
  </r>
  <r>
    <s v="1345"/>
    <d v="2022-03-07T00:00:00"/>
    <n v="8"/>
    <s v="Company H"/>
    <x v="1"/>
    <x v="1"/>
    <s v="California"/>
    <x v="3"/>
    <n v="159"/>
    <n v="2"/>
    <n v="318"/>
    <n v="4"/>
  </r>
  <r>
    <s v="1347"/>
    <d v="2022-03-09T00:00:00"/>
    <n v="14"/>
    <s v="Company N"/>
    <x v="3"/>
    <x v="2"/>
    <s v="New Mexico"/>
    <x v="3"/>
    <n v="159"/>
    <n v="1"/>
    <n v="159"/>
    <n v="5"/>
  </r>
  <r>
    <s v="1364"/>
    <d v="2022-03-11T00:00:00"/>
    <n v="15"/>
    <s v="Company O"/>
    <x v="3"/>
    <x v="2"/>
    <s v="New Mexico"/>
    <x v="3"/>
    <n v="159"/>
    <n v="9"/>
    <n v="1431"/>
    <n v="5"/>
  </r>
  <r>
    <s v="1366"/>
    <d v="2022-03-11T00:00:00"/>
    <n v="18"/>
    <s v="Company R"/>
    <x v="0"/>
    <x v="0"/>
    <s v="Arizona"/>
    <x v="3"/>
    <n v="159"/>
    <n v="1"/>
    <n v="159"/>
    <n v="3"/>
  </r>
  <r>
    <s v="1372"/>
    <d v="2022-03-14T00:00:00"/>
    <n v="4"/>
    <s v="Company D"/>
    <x v="2"/>
    <x v="0"/>
    <s v="Texas"/>
    <x v="3"/>
    <n v="159"/>
    <n v="2"/>
    <n v="318"/>
    <n v="2"/>
  </r>
  <r>
    <s v="1375"/>
    <d v="2022-03-17T00:00:00"/>
    <n v="4"/>
    <s v="Company D"/>
    <x v="4"/>
    <x v="2"/>
    <s v="Texas"/>
    <x v="3"/>
    <n v="159"/>
    <n v="5"/>
    <n v="795"/>
    <n v="2"/>
  </r>
  <r>
    <s v="1377"/>
    <d v="2022-03-17T00:00:00"/>
    <n v="14"/>
    <s v="Company N"/>
    <x v="3"/>
    <x v="2"/>
    <s v="New Mexico"/>
    <x v="3"/>
    <n v="159"/>
    <n v="6"/>
    <n v="954"/>
    <n v="5"/>
  </r>
  <r>
    <s v="1380"/>
    <d v="2022-03-17T00:00:00"/>
    <n v="11"/>
    <s v="Company K"/>
    <x v="5"/>
    <x v="1"/>
    <s v="New Mexico"/>
    <x v="3"/>
    <n v="159"/>
    <n v="4"/>
    <n v="636"/>
    <n v="6"/>
  </r>
  <r>
    <s v="1381"/>
    <d v="2022-03-18T00:00:00"/>
    <n v="11"/>
    <s v="Company K"/>
    <x v="5"/>
    <x v="1"/>
    <s v="New Mexico"/>
    <x v="3"/>
    <n v="159"/>
    <n v="9"/>
    <n v="1431"/>
    <n v="6"/>
  </r>
  <r>
    <s v="1387"/>
    <d v="2022-03-19T00:00:00"/>
    <n v="18"/>
    <s v="Company R"/>
    <x v="6"/>
    <x v="0"/>
    <s v="Arizona"/>
    <x v="3"/>
    <n v="159"/>
    <n v="8"/>
    <n v="1272"/>
    <n v="5"/>
  </r>
  <r>
    <s v="1390"/>
    <d v="2022-03-19T00:00:00"/>
    <n v="4"/>
    <s v="Company D"/>
    <x v="2"/>
    <x v="0"/>
    <s v="Texas"/>
    <x v="3"/>
    <n v="159"/>
    <n v="3"/>
    <n v="477"/>
    <n v="2"/>
  </r>
  <r>
    <s v="1392"/>
    <d v="2022-03-20T00:00:00"/>
    <n v="15"/>
    <s v="Company O"/>
    <x v="5"/>
    <x v="1"/>
    <s v="New Mexico"/>
    <x v="3"/>
    <n v="159"/>
    <n v="5"/>
    <n v="795"/>
    <n v="6"/>
  </r>
  <r>
    <s v="1397"/>
    <d v="2022-03-23T00:00:00"/>
    <n v="2"/>
    <s v="Company B"/>
    <x v="2"/>
    <x v="0"/>
    <s v="Texas"/>
    <x v="3"/>
    <n v="159"/>
    <n v="5"/>
    <n v="795"/>
    <n v="2"/>
  </r>
  <r>
    <s v="1406"/>
    <d v="2022-03-23T00:00:00"/>
    <n v="15"/>
    <s v="Company O"/>
    <x v="5"/>
    <x v="1"/>
    <s v="New Mexico"/>
    <x v="3"/>
    <n v="159"/>
    <n v="7"/>
    <n v="1113"/>
    <n v="6"/>
  </r>
  <r>
    <s v="1415"/>
    <d v="2022-03-27T00:00:00"/>
    <n v="17"/>
    <s v="Company Q"/>
    <x v="0"/>
    <x v="0"/>
    <s v="Arizona"/>
    <x v="3"/>
    <n v="159"/>
    <n v="7"/>
    <n v="1113"/>
    <n v="3"/>
  </r>
  <r>
    <s v="1419"/>
    <d v="2022-03-29T00:00:00"/>
    <n v="18"/>
    <s v="Company R"/>
    <x v="0"/>
    <x v="0"/>
    <s v="Arizona"/>
    <x v="3"/>
    <n v="159"/>
    <n v="0"/>
    <n v="0"/>
    <n v="3"/>
  </r>
  <r>
    <s v="1425"/>
    <d v="2022-03-31T00:00:00"/>
    <n v="19"/>
    <s v="Company S"/>
    <x v="0"/>
    <x v="0"/>
    <s v="Arizona"/>
    <x v="3"/>
    <n v="159"/>
    <n v="6"/>
    <n v="954"/>
    <n v="3"/>
  </r>
  <r>
    <s v="1432"/>
    <d v="2022-04-03T00:00:00"/>
    <n v="12"/>
    <s v="Company L"/>
    <x v="3"/>
    <x v="2"/>
    <s v="New Mexico"/>
    <x v="3"/>
    <n v="159"/>
    <n v="8"/>
    <n v="1272"/>
    <n v="5"/>
  </r>
  <r>
    <s v="1434"/>
    <d v="2022-04-04T00:00:00"/>
    <n v="8"/>
    <s v="Company H"/>
    <x v="7"/>
    <x v="3"/>
    <s v="California"/>
    <x v="3"/>
    <n v="159"/>
    <n v="4"/>
    <n v="636"/>
    <n v="8"/>
  </r>
  <r>
    <s v="1448"/>
    <d v="2022-04-07T00:00:00"/>
    <n v="15"/>
    <s v="Company O"/>
    <x v="3"/>
    <x v="2"/>
    <s v="New Mexico"/>
    <x v="3"/>
    <n v="159"/>
    <n v="7"/>
    <n v="1113"/>
    <n v="5"/>
  </r>
  <r>
    <s v="1449"/>
    <d v="2022-04-07T00:00:00"/>
    <n v="20"/>
    <s v="Company T"/>
    <x v="0"/>
    <x v="0"/>
    <s v="Arizona"/>
    <x v="3"/>
    <n v="159"/>
    <n v="9"/>
    <n v="1431"/>
    <n v="3"/>
  </r>
  <r>
    <s v="1451"/>
    <d v="2022-04-08T00:00:00"/>
    <n v="12"/>
    <s v="Company L"/>
    <x v="3"/>
    <x v="2"/>
    <s v="New Mexico"/>
    <x v="3"/>
    <n v="159"/>
    <n v="9"/>
    <n v="1431"/>
    <n v="5"/>
  </r>
  <r>
    <s v="1455"/>
    <d v="2022-04-09T00:00:00"/>
    <n v="5"/>
    <s v="Company E"/>
    <x v="2"/>
    <x v="0"/>
    <s v="Texas"/>
    <x v="3"/>
    <n v="159"/>
    <n v="7"/>
    <n v="1113"/>
    <n v="2"/>
  </r>
  <r>
    <s v="1461"/>
    <d v="2022-04-11T00:00:00"/>
    <n v="16"/>
    <s v="Company P"/>
    <x v="6"/>
    <x v="0"/>
    <s v="Arizona"/>
    <x v="3"/>
    <n v="159"/>
    <n v="8"/>
    <n v="1272"/>
    <n v="5"/>
  </r>
  <r>
    <s v="1474"/>
    <d v="2022-04-18T00:00:00"/>
    <n v="15"/>
    <s v="Company O"/>
    <x v="3"/>
    <x v="2"/>
    <s v="New Mexico"/>
    <x v="3"/>
    <n v="159"/>
    <n v="8"/>
    <n v="1272"/>
    <n v="5"/>
  </r>
  <r>
    <s v="1476"/>
    <d v="2022-04-19T00:00:00"/>
    <n v="19"/>
    <s v="Company S"/>
    <x v="6"/>
    <x v="0"/>
    <s v="Arizona"/>
    <x v="3"/>
    <n v="159"/>
    <n v="9"/>
    <n v="1431"/>
    <n v="5"/>
  </r>
  <r>
    <s v="1481"/>
    <d v="2022-04-20T00:00:00"/>
    <n v="18"/>
    <s v="Company R"/>
    <x v="0"/>
    <x v="0"/>
    <s v="Arizona"/>
    <x v="3"/>
    <n v="159"/>
    <n v="8"/>
    <n v="1272"/>
    <n v="3"/>
  </r>
  <r>
    <s v="1487"/>
    <d v="2022-04-22T00:00:00"/>
    <n v="11"/>
    <s v="Company K"/>
    <x v="5"/>
    <x v="1"/>
    <s v="New Mexico"/>
    <x v="3"/>
    <n v="159"/>
    <n v="6"/>
    <n v="954"/>
    <n v="6"/>
  </r>
  <r>
    <s v="1495"/>
    <d v="2022-04-25T00:00:00"/>
    <n v="7"/>
    <s v="Company G"/>
    <x v="1"/>
    <x v="1"/>
    <s v="California"/>
    <x v="3"/>
    <n v="159"/>
    <n v="5"/>
    <n v="795"/>
    <n v="4"/>
  </r>
  <r>
    <s v="1499"/>
    <d v="2022-04-27T00:00:00"/>
    <n v="18"/>
    <s v="Company R"/>
    <x v="0"/>
    <x v="0"/>
    <s v="Arizona"/>
    <x v="3"/>
    <n v="159"/>
    <n v="1"/>
    <n v="159"/>
    <n v="3"/>
  </r>
  <r>
    <s v="1502"/>
    <d v="2022-04-29T00:00:00"/>
    <n v="7"/>
    <s v="Company G"/>
    <x v="7"/>
    <x v="3"/>
    <s v="California"/>
    <x v="3"/>
    <n v="159"/>
    <n v="7"/>
    <n v="1113"/>
    <n v="8"/>
  </r>
  <r>
    <s v="1513"/>
    <d v="2022-05-03T00:00:00"/>
    <n v="4"/>
    <s v="Company D"/>
    <x v="2"/>
    <x v="0"/>
    <s v="Texas"/>
    <x v="3"/>
    <n v="159"/>
    <n v="3"/>
    <n v="477"/>
    <n v="2"/>
  </r>
  <r>
    <s v="1516"/>
    <d v="2022-05-03T00:00:00"/>
    <n v="1"/>
    <s v="Company A"/>
    <x v="2"/>
    <x v="0"/>
    <s v="Texas"/>
    <x v="3"/>
    <n v="159"/>
    <n v="0"/>
    <n v="0"/>
    <n v="2"/>
  </r>
  <r>
    <s v="1520"/>
    <d v="2022-05-05T00:00:00"/>
    <n v="12"/>
    <s v="Company L"/>
    <x v="5"/>
    <x v="1"/>
    <s v="New Mexico"/>
    <x v="3"/>
    <n v="159"/>
    <n v="4"/>
    <n v="636"/>
    <n v="6"/>
  </r>
  <r>
    <s v="1523"/>
    <d v="2022-05-07T00:00:00"/>
    <n v="11"/>
    <s v="Company K"/>
    <x v="3"/>
    <x v="2"/>
    <s v="New Mexico"/>
    <x v="3"/>
    <n v="159"/>
    <n v="3"/>
    <n v="477"/>
    <n v="5"/>
  </r>
  <r>
    <s v="1524"/>
    <d v="2022-05-07T00:00:00"/>
    <n v="14"/>
    <s v="Company N"/>
    <x v="5"/>
    <x v="1"/>
    <s v="New Mexico"/>
    <x v="3"/>
    <n v="159"/>
    <n v="1"/>
    <n v="159"/>
    <n v="6"/>
  </r>
  <r>
    <s v="1527"/>
    <d v="2022-05-07T00:00:00"/>
    <n v="16"/>
    <s v="Company P"/>
    <x v="6"/>
    <x v="0"/>
    <s v="Arizona"/>
    <x v="3"/>
    <n v="159"/>
    <n v="7"/>
    <n v="1113"/>
    <n v="5"/>
  </r>
  <r>
    <s v="1528"/>
    <d v="2022-05-07T00:00:00"/>
    <n v="13"/>
    <s v="Company M"/>
    <x v="5"/>
    <x v="1"/>
    <s v="New Mexico"/>
    <x v="3"/>
    <n v="159"/>
    <n v="3"/>
    <n v="477"/>
    <n v="6"/>
  </r>
  <r>
    <s v="1536"/>
    <d v="2022-05-10T00:00:00"/>
    <n v="19"/>
    <s v="Company S"/>
    <x v="6"/>
    <x v="0"/>
    <s v="Arizona"/>
    <x v="3"/>
    <n v="159"/>
    <n v="3"/>
    <n v="477"/>
    <n v="5"/>
  </r>
  <r>
    <s v="1540"/>
    <d v="2022-05-12T00:00:00"/>
    <n v="9"/>
    <s v="Company I"/>
    <x v="1"/>
    <x v="1"/>
    <s v="California"/>
    <x v="3"/>
    <n v="159"/>
    <n v="6"/>
    <n v="954"/>
    <n v="4"/>
  </r>
  <r>
    <s v="1547"/>
    <d v="2022-05-15T00:00:00"/>
    <n v="6"/>
    <s v="Company F"/>
    <x v="7"/>
    <x v="3"/>
    <s v="California"/>
    <x v="3"/>
    <n v="159"/>
    <n v="5"/>
    <n v="795"/>
    <n v="8"/>
  </r>
  <r>
    <s v="1548"/>
    <d v="2022-05-15T00:00:00"/>
    <n v="14"/>
    <s v="Company N"/>
    <x v="3"/>
    <x v="2"/>
    <s v="New Mexico"/>
    <x v="3"/>
    <n v="159"/>
    <n v="8"/>
    <n v="1272"/>
    <n v="5"/>
  </r>
  <r>
    <s v="1562"/>
    <d v="2022-05-20T00:00:00"/>
    <n v="1"/>
    <s v="Company A"/>
    <x v="2"/>
    <x v="0"/>
    <s v="Texas"/>
    <x v="3"/>
    <n v="159"/>
    <n v="4"/>
    <n v="636"/>
    <n v="2"/>
  </r>
  <r>
    <s v="1571"/>
    <d v="2022-05-23T00:00:00"/>
    <n v="15"/>
    <s v="Company O"/>
    <x v="5"/>
    <x v="1"/>
    <s v="New Mexico"/>
    <x v="3"/>
    <n v="159"/>
    <n v="2"/>
    <n v="318"/>
    <n v="6"/>
  </r>
  <r>
    <s v="1573"/>
    <d v="2022-05-25T00:00:00"/>
    <n v="5"/>
    <s v="Company E"/>
    <x v="2"/>
    <x v="0"/>
    <s v="Texas"/>
    <x v="3"/>
    <n v="159"/>
    <n v="3"/>
    <n v="477"/>
    <n v="2"/>
  </r>
  <r>
    <s v="1575"/>
    <d v="2022-05-25T00:00:00"/>
    <n v="5"/>
    <s v="Company E"/>
    <x v="4"/>
    <x v="2"/>
    <s v="Texas"/>
    <x v="3"/>
    <n v="159"/>
    <n v="2"/>
    <n v="318"/>
    <n v="2"/>
  </r>
  <r>
    <s v="1585"/>
    <d v="2022-05-26T00:00:00"/>
    <n v="10"/>
    <s v="Company J"/>
    <x v="7"/>
    <x v="3"/>
    <s v="California"/>
    <x v="3"/>
    <n v="159"/>
    <n v="6"/>
    <n v="954"/>
    <n v="8"/>
  </r>
  <r>
    <s v="1588"/>
    <d v="2022-05-26T00:00:00"/>
    <n v="17"/>
    <s v="Company Q"/>
    <x v="0"/>
    <x v="0"/>
    <s v="Arizona"/>
    <x v="3"/>
    <n v="159"/>
    <n v="9"/>
    <n v="1431"/>
    <n v="3"/>
  </r>
  <r>
    <s v="1590"/>
    <d v="2022-05-26T00:00:00"/>
    <n v="17"/>
    <s v="Company Q"/>
    <x v="0"/>
    <x v="0"/>
    <s v="Arizona"/>
    <x v="3"/>
    <n v="159"/>
    <n v="2"/>
    <n v="318"/>
    <n v="3"/>
  </r>
  <r>
    <s v="1592"/>
    <d v="2022-05-26T00:00:00"/>
    <n v="16"/>
    <s v="Company P"/>
    <x v="6"/>
    <x v="0"/>
    <s v="Arizona"/>
    <x v="3"/>
    <n v="159"/>
    <n v="7"/>
    <n v="1113"/>
    <n v="5"/>
  </r>
  <r>
    <s v="1596"/>
    <d v="2022-05-28T00:00:00"/>
    <n v="5"/>
    <s v="Company E"/>
    <x v="2"/>
    <x v="0"/>
    <s v="Texas"/>
    <x v="3"/>
    <n v="159"/>
    <n v="2"/>
    <n v="318"/>
    <n v="2"/>
  </r>
  <r>
    <s v="1598"/>
    <d v="2022-05-28T00:00:00"/>
    <n v="19"/>
    <s v="Company S"/>
    <x v="0"/>
    <x v="0"/>
    <s v="Arizona"/>
    <x v="3"/>
    <n v="159"/>
    <n v="3"/>
    <n v="477"/>
    <n v="3"/>
  </r>
  <r>
    <s v="1599"/>
    <d v="2022-05-28T00:00:00"/>
    <n v="5"/>
    <s v="Company E"/>
    <x v="4"/>
    <x v="2"/>
    <s v="Texas"/>
    <x v="3"/>
    <n v="159"/>
    <n v="9"/>
    <n v="1431"/>
    <n v="2"/>
  </r>
  <r>
    <s v="1605"/>
    <d v="2022-05-29T00:00:00"/>
    <n v="6"/>
    <s v="Company F"/>
    <x v="1"/>
    <x v="1"/>
    <s v="California"/>
    <x v="3"/>
    <n v="159"/>
    <n v="5"/>
    <n v="795"/>
    <n v="4"/>
  </r>
  <r>
    <s v="1608"/>
    <d v="2022-05-30T00:00:00"/>
    <n v="17"/>
    <s v="Company Q"/>
    <x v="0"/>
    <x v="0"/>
    <s v="Arizona"/>
    <x v="3"/>
    <n v="159"/>
    <n v="8"/>
    <n v="1272"/>
    <n v="3"/>
  </r>
  <r>
    <s v="1609"/>
    <d v="2022-05-30T00:00:00"/>
    <n v="3"/>
    <s v="Company C"/>
    <x v="2"/>
    <x v="0"/>
    <s v="Texas"/>
    <x v="3"/>
    <n v="159"/>
    <n v="8"/>
    <n v="1272"/>
    <n v="2"/>
  </r>
  <r>
    <s v="1611"/>
    <d v="2022-06-01T00:00:00"/>
    <n v="2"/>
    <s v="Company B"/>
    <x v="4"/>
    <x v="2"/>
    <s v="Texas"/>
    <x v="3"/>
    <n v="159"/>
    <n v="1"/>
    <n v="159"/>
    <n v="2"/>
  </r>
  <r>
    <s v="1612"/>
    <d v="2022-06-01T00:00:00"/>
    <n v="10"/>
    <s v="Company J"/>
    <x v="1"/>
    <x v="1"/>
    <s v="California"/>
    <x v="3"/>
    <n v="159"/>
    <n v="2"/>
    <n v="318"/>
    <n v="4"/>
  </r>
  <r>
    <s v="1617"/>
    <d v="2022-06-02T00:00:00"/>
    <n v="15"/>
    <s v="Company O"/>
    <x v="3"/>
    <x v="2"/>
    <s v="New Mexico"/>
    <x v="3"/>
    <n v="159"/>
    <n v="1"/>
    <n v="159"/>
    <n v="5"/>
  </r>
  <r>
    <s v="1619"/>
    <d v="2022-06-04T00:00:00"/>
    <n v="20"/>
    <s v="Company T"/>
    <x v="0"/>
    <x v="0"/>
    <s v="Arizona"/>
    <x v="3"/>
    <n v="159"/>
    <n v="4"/>
    <n v="636"/>
    <n v="3"/>
  </r>
  <r>
    <s v="1621"/>
    <d v="2022-06-05T00:00:00"/>
    <n v="4"/>
    <s v="Company D"/>
    <x v="4"/>
    <x v="2"/>
    <s v="Texas"/>
    <x v="3"/>
    <n v="159"/>
    <n v="2"/>
    <n v="318"/>
    <n v="2"/>
  </r>
  <r>
    <s v="1623"/>
    <d v="2022-06-05T00:00:00"/>
    <n v="2"/>
    <s v="Company B"/>
    <x v="2"/>
    <x v="0"/>
    <s v="Texas"/>
    <x v="3"/>
    <n v="159"/>
    <n v="1"/>
    <n v="159"/>
    <n v="2"/>
  </r>
  <r>
    <s v="1628"/>
    <d v="2022-06-06T00:00:00"/>
    <n v="17"/>
    <s v="Company Q"/>
    <x v="0"/>
    <x v="0"/>
    <s v="Arizona"/>
    <x v="3"/>
    <n v="159"/>
    <n v="7"/>
    <n v="1113"/>
    <n v="3"/>
  </r>
  <r>
    <s v="1630"/>
    <d v="2022-06-06T00:00:00"/>
    <n v="4"/>
    <s v="Company D"/>
    <x v="2"/>
    <x v="0"/>
    <s v="Texas"/>
    <x v="3"/>
    <n v="159"/>
    <n v="4"/>
    <n v="636"/>
    <n v="2"/>
  </r>
  <r>
    <s v="1633"/>
    <d v="2022-06-06T00:00:00"/>
    <n v="15"/>
    <s v="Company O"/>
    <x v="5"/>
    <x v="1"/>
    <s v="New Mexico"/>
    <x v="3"/>
    <n v="159"/>
    <n v="5"/>
    <n v="795"/>
    <n v="6"/>
  </r>
  <r>
    <s v="1634"/>
    <d v="2022-06-06T00:00:00"/>
    <n v="2"/>
    <s v="Company B"/>
    <x v="2"/>
    <x v="0"/>
    <s v="Texas"/>
    <x v="3"/>
    <n v="159"/>
    <n v="8"/>
    <n v="1272"/>
    <n v="2"/>
  </r>
  <r>
    <s v="1641"/>
    <d v="2022-06-08T00:00:00"/>
    <n v="13"/>
    <s v="Company M"/>
    <x v="3"/>
    <x v="2"/>
    <s v="New Mexico"/>
    <x v="3"/>
    <n v="159"/>
    <n v="2"/>
    <n v="318"/>
    <n v="5"/>
  </r>
  <r>
    <s v="1647"/>
    <d v="2022-06-10T00:00:00"/>
    <n v="13"/>
    <s v="Company M"/>
    <x v="5"/>
    <x v="1"/>
    <s v="New Mexico"/>
    <x v="3"/>
    <n v="159"/>
    <n v="9"/>
    <n v="1431"/>
    <n v="6"/>
  </r>
  <r>
    <s v="1649"/>
    <d v="2022-06-11T00:00:00"/>
    <n v="15"/>
    <s v="Company O"/>
    <x v="3"/>
    <x v="2"/>
    <s v="New Mexico"/>
    <x v="3"/>
    <n v="159"/>
    <n v="0"/>
    <n v="0"/>
    <n v="5"/>
  </r>
  <r>
    <s v="1653"/>
    <d v="2022-06-12T00:00:00"/>
    <n v="15"/>
    <s v="Company O"/>
    <x v="3"/>
    <x v="2"/>
    <s v="New Mexico"/>
    <x v="3"/>
    <n v="159"/>
    <n v="1"/>
    <n v="159"/>
    <n v="5"/>
  </r>
  <r>
    <s v="1668"/>
    <d v="2022-06-16T00:00:00"/>
    <n v="16"/>
    <s v="Company P"/>
    <x v="6"/>
    <x v="0"/>
    <s v="Arizona"/>
    <x v="3"/>
    <n v="159"/>
    <n v="3"/>
    <n v="477"/>
    <n v="5"/>
  </r>
  <r>
    <s v="1673"/>
    <d v="2022-06-17T00:00:00"/>
    <n v="18"/>
    <s v="Company R"/>
    <x v="6"/>
    <x v="0"/>
    <s v="Arizona"/>
    <x v="3"/>
    <n v="159"/>
    <n v="6"/>
    <n v="954"/>
    <n v="5"/>
  </r>
  <r>
    <s v="1677"/>
    <d v="2022-06-19T00:00:00"/>
    <n v="14"/>
    <s v="Company N"/>
    <x v="5"/>
    <x v="1"/>
    <s v="New Mexico"/>
    <x v="3"/>
    <n v="159"/>
    <n v="5"/>
    <n v="795"/>
    <n v="6"/>
  </r>
  <r>
    <s v="1678"/>
    <d v="2022-06-20T00:00:00"/>
    <n v="6"/>
    <s v="Company F"/>
    <x v="7"/>
    <x v="3"/>
    <s v="California"/>
    <x v="3"/>
    <n v="159"/>
    <n v="2"/>
    <n v="318"/>
    <n v="8"/>
  </r>
  <r>
    <s v="1680"/>
    <d v="2022-06-22T00:00:00"/>
    <n v="4"/>
    <s v="Company D"/>
    <x v="2"/>
    <x v="0"/>
    <s v="Texas"/>
    <x v="3"/>
    <n v="159"/>
    <n v="5"/>
    <n v="795"/>
    <n v="2"/>
  </r>
  <r>
    <s v="1683"/>
    <d v="2022-06-22T00:00:00"/>
    <n v="9"/>
    <s v="Company I"/>
    <x v="1"/>
    <x v="1"/>
    <s v="California"/>
    <x v="3"/>
    <n v="159"/>
    <n v="4"/>
    <n v="636"/>
    <n v="4"/>
  </r>
  <r>
    <s v="1684"/>
    <d v="2022-06-22T00:00:00"/>
    <n v="12"/>
    <s v="Company L"/>
    <x v="5"/>
    <x v="1"/>
    <s v="New Mexico"/>
    <x v="3"/>
    <n v="159"/>
    <n v="2"/>
    <n v="318"/>
    <n v="6"/>
  </r>
  <r>
    <s v="1685"/>
    <d v="2022-06-22T00:00:00"/>
    <n v="3"/>
    <s v="Company C"/>
    <x v="2"/>
    <x v="0"/>
    <s v="Texas"/>
    <x v="3"/>
    <n v="159"/>
    <n v="8"/>
    <n v="1272"/>
    <n v="2"/>
  </r>
  <r>
    <s v="1686"/>
    <d v="2022-06-23T00:00:00"/>
    <n v="15"/>
    <s v="Company O"/>
    <x v="3"/>
    <x v="2"/>
    <s v="New Mexico"/>
    <x v="3"/>
    <n v="159"/>
    <n v="4"/>
    <n v="636"/>
    <n v="5"/>
  </r>
  <r>
    <s v="1687"/>
    <d v="2022-06-23T00:00:00"/>
    <n v="9"/>
    <s v="Company I"/>
    <x v="7"/>
    <x v="3"/>
    <s v="California"/>
    <x v="3"/>
    <n v="159"/>
    <n v="8"/>
    <n v="1272"/>
    <n v="8"/>
  </r>
  <r>
    <s v="1696"/>
    <d v="2022-06-30T00:00:00"/>
    <n v="9"/>
    <s v="Company I"/>
    <x v="7"/>
    <x v="3"/>
    <s v="California"/>
    <x v="3"/>
    <n v="159"/>
    <n v="7"/>
    <n v="1113"/>
    <n v="8"/>
  </r>
  <r>
    <s v="1699"/>
    <d v="2022-07-02T00:00:00"/>
    <n v="11"/>
    <s v="Company K"/>
    <x v="3"/>
    <x v="2"/>
    <s v="New Mexico"/>
    <x v="3"/>
    <n v="159"/>
    <n v="0"/>
    <n v="0"/>
    <n v="5"/>
  </r>
  <r>
    <s v="1704"/>
    <d v="2022-07-06T00:00:00"/>
    <n v="18"/>
    <s v="Company R"/>
    <x v="0"/>
    <x v="0"/>
    <s v="Arizona"/>
    <x v="3"/>
    <n v="159"/>
    <n v="0"/>
    <n v="0"/>
    <n v="3"/>
  </r>
  <r>
    <s v="1707"/>
    <d v="2022-07-09T00:00:00"/>
    <n v="19"/>
    <s v="Company S"/>
    <x v="0"/>
    <x v="0"/>
    <s v="Arizona"/>
    <x v="3"/>
    <n v="159"/>
    <n v="0"/>
    <n v="0"/>
    <n v="3"/>
  </r>
  <r>
    <s v="1712"/>
    <d v="2022-07-11T00:00:00"/>
    <n v="5"/>
    <s v="Company E"/>
    <x v="2"/>
    <x v="0"/>
    <s v="Texas"/>
    <x v="3"/>
    <n v="159"/>
    <n v="7"/>
    <n v="1113"/>
    <n v="2"/>
  </r>
  <r>
    <s v="1718"/>
    <d v="2022-07-12T00:00:00"/>
    <n v="7"/>
    <s v="Company G"/>
    <x v="7"/>
    <x v="3"/>
    <s v="California"/>
    <x v="3"/>
    <n v="159"/>
    <n v="8"/>
    <n v="1272"/>
    <n v="8"/>
  </r>
  <r>
    <s v="1724"/>
    <d v="2022-07-14T00:00:00"/>
    <n v="20"/>
    <s v="Company T"/>
    <x v="6"/>
    <x v="0"/>
    <s v="Arizona"/>
    <x v="3"/>
    <n v="159"/>
    <n v="1"/>
    <n v="159"/>
    <n v="5"/>
  </r>
  <r>
    <s v="1728"/>
    <d v="2022-07-15T00:00:00"/>
    <n v="16"/>
    <s v="Company P"/>
    <x v="6"/>
    <x v="0"/>
    <s v="Arizona"/>
    <x v="3"/>
    <n v="159"/>
    <n v="3"/>
    <n v="477"/>
    <n v="5"/>
  </r>
  <r>
    <s v="1729"/>
    <d v="2022-07-15T00:00:00"/>
    <n v="2"/>
    <s v="Company B"/>
    <x v="2"/>
    <x v="0"/>
    <s v="Texas"/>
    <x v="3"/>
    <n v="159"/>
    <n v="4"/>
    <n v="636"/>
    <n v="2"/>
  </r>
  <r>
    <s v="1733"/>
    <d v="2022-07-17T00:00:00"/>
    <n v="5"/>
    <s v="Company E"/>
    <x v="2"/>
    <x v="0"/>
    <s v="Texas"/>
    <x v="3"/>
    <n v="159"/>
    <n v="9"/>
    <n v="1431"/>
    <n v="2"/>
  </r>
  <r>
    <s v="1738"/>
    <d v="2022-07-19T00:00:00"/>
    <n v="18"/>
    <s v="Company R"/>
    <x v="0"/>
    <x v="0"/>
    <s v="Arizona"/>
    <x v="3"/>
    <n v="159"/>
    <n v="6"/>
    <n v="954"/>
    <n v="3"/>
  </r>
  <r>
    <s v="1759"/>
    <d v="2022-07-26T00:00:00"/>
    <n v="18"/>
    <s v="Company R"/>
    <x v="0"/>
    <x v="0"/>
    <s v="Arizona"/>
    <x v="3"/>
    <n v="159"/>
    <n v="5"/>
    <n v="795"/>
    <n v="3"/>
  </r>
  <r>
    <s v="1768"/>
    <d v="2022-08-01T00:00:00"/>
    <n v="15"/>
    <s v="Company O"/>
    <x v="5"/>
    <x v="1"/>
    <s v="New Mexico"/>
    <x v="3"/>
    <n v="159"/>
    <n v="1"/>
    <n v="159"/>
    <n v="6"/>
  </r>
  <r>
    <s v="1770"/>
    <d v="2022-08-03T00:00:00"/>
    <n v="1"/>
    <s v="Company A"/>
    <x v="4"/>
    <x v="2"/>
    <s v="Texas"/>
    <x v="3"/>
    <n v="159"/>
    <n v="8"/>
    <n v="1272"/>
    <n v="2"/>
  </r>
  <r>
    <s v="1778"/>
    <d v="2022-08-07T00:00:00"/>
    <n v="2"/>
    <s v="Company B"/>
    <x v="2"/>
    <x v="0"/>
    <s v="Texas"/>
    <x v="3"/>
    <n v="159"/>
    <n v="6"/>
    <n v="954"/>
    <n v="2"/>
  </r>
  <r>
    <s v="1779"/>
    <d v="2022-08-07T00:00:00"/>
    <n v="10"/>
    <s v="Company J"/>
    <x v="7"/>
    <x v="3"/>
    <s v="California"/>
    <x v="3"/>
    <n v="159"/>
    <n v="3"/>
    <n v="477"/>
    <n v="8"/>
  </r>
  <r>
    <s v="1784"/>
    <d v="2022-08-08T00:00:00"/>
    <n v="14"/>
    <s v="Company N"/>
    <x v="3"/>
    <x v="2"/>
    <s v="New Mexico"/>
    <x v="3"/>
    <n v="159"/>
    <n v="1"/>
    <n v="159"/>
    <n v="5"/>
  </r>
  <r>
    <s v="1790"/>
    <d v="2022-08-10T00:00:00"/>
    <n v="14"/>
    <s v="Company N"/>
    <x v="5"/>
    <x v="1"/>
    <s v="New Mexico"/>
    <x v="3"/>
    <n v="159"/>
    <n v="8"/>
    <n v="1272"/>
    <n v="6"/>
  </r>
  <r>
    <s v="1805"/>
    <d v="2022-08-12T00:00:00"/>
    <n v="13"/>
    <s v="Company M"/>
    <x v="5"/>
    <x v="1"/>
    <s v="New Mexico"/>
    <x v="3"/>
    <n v="159"/>
    <n v="3"/>
    <n v="477"/>
    <n v="6"/>
  </r>
  <r>
    <s v="1813"/>
    <d v="2022-08-15T00:00:00"/>
    <n v="6"/>
    <s v="Company F"/>
    <x v="7"/>
    <x v="3"/>
    <s v="California"/>
    <x v="3"/>
    <n v="159"/>
    <n v="6"/>
    <n v="954"/>
    <n v="8"/>
  </r>
  <r>
    <s v="1814"/>
    <d v="2022-08-15T00:00:00"/>
    <n v="9"/>
    <s v="Company I"/>
    <x v="7"/>
    <x v="3"/>
    <s v="California"/>
    <x v="3"/>
    <n v="159"/>
    <n v="6"/>
    <n v="954"/>
    <n v="8"/>
  </r>
  <r>
    <s v="1816"/>
    <d v="2022-08-17T00:00:00"/>
    <n v="10"/>
    <s v="Company J"/>
    <x v="7"/>
    <x v="3"/>
    <s v="California"/>
    <x v="3"/>
    <n v="159"/>
    <n v="9"/>
    <n v="1431"/>
    <n v="8"/>
  </r>
  <r>
    <s v="1824"/>
    <d v="2022-08-18T00:00:00"/>
    <n v="15"/>
    <s v="Company O"/>
    <x v="3"/>
    <x v="2"/>
    <s v="New Mexico"/>
    <x v="3"/>
    <n v="159"/>
    <n v="3"/>
    <n v="477"/>
    <n v="5"/>
  </r>
  <r>
    <s v="1832"/>
    <d v="2022-08-21T00:00:00"/>
    <n v="14"/>
    <s v="Company N"/>
    <x v="5"/>
    <x v="1"/>
    <s v="New Mexico"/>
    <x v="3"/>
    <n v="159"/>
    <n v="1"/>
    <n v="159"/>
    <n v="6"/>
  </r>
  <r>
    <s v="1842"/>
    <d v="2022-08-22T00:00:00"/>
    <n v="2"/>
    <s v="Company B"/>
    <x v="2"/>
    <x v="0"/>
    <s v="Texas"/>
    <x v="3"/>
    <n v="159"/>
    <n v="3"/>
    <n v="477"/>
    <n v="2"/>
  </r>
  <r>
    <s v="1845"/>
    <d v="2022-08-22T00:00:00"/>
    <n v="5"/>
    <s v="Company E"/>
    <x v="4"/>
    <x v="2"/>
    <s v="Texas"/>
    <x v="3"/>
    <n v="159"/>
    <n v="2"/>
    <n v="318"/>
    <n v="2"/>
  </r>
  <r>
    <s v="1846"/>
    <d v="2022-08-23T00:00:00"/>
    <n v="7"/>
    <s v="Company G"/>
    <x v="7"/>
    <x v="3"/>
    <s v="California"/>
    <x v="3"/>
    <n v="159"/>
    <n v="1"/>
    <n v="159"/>
    <n v="8"/>
  </r>
  <r>
    <s v="1847"/>
    <d v="2022-08-23T00:00:00"/>
    <n v="2"/>
    <s v="Company B"/>
    <x v="2"/>
    <x v="0"/>
    <s v="Texas"/>
    <x v="3"/>
    <n v="159"/>
    <n v="6"/>
    <n v="954"/>
    <n v="2"/>
  </r>
  <r>
    <s v="1850"/>
    <d v="2022-08-25T00:00:00"/>
    <n v="4"/>
    <s v="Company D"/>
    <x v="4"/>
    <x v="2"/>
    <s v="Texas"/>
    <x v="3"/>
    <n v="159"/>
    <n v="1"/>
    <n v="159"/>
    <n v="2"/>
  </r>
  <r>
    <s v="1854"/>
    <d v="2022-08-29T00:00:00"/>
    <n v="16"/>
    <s v="Company P"/>
    <x v="6"/>
    <x v="0"/>
    <s v="Arizona"/>
    <x v="3"/>
    <n v="159"/>
    <n v="8"/>
    <n v="1272"/>
    <n v="5"/>
  </r>
  <r>
    <s v="1855"/>
    <d v="2022-08-29T00:00:00"/>
    <n v="4"/>
    <s v="Company D"/>
    <x v="4"/>
    <x v="2"/>
    <s v="Texas"/>
    <x v="3"/>
    <n v="159"/>
    <n v="0"/>
    <n v="0"/>
    <n v="2"/>
  </r>
  <r>
    <s v="1856"/>
    <d v="2022-08-30T00:00:00"/>
    <n v="19"/>
    <s v="Company S"/>
    <x v="0"/>
    <x v="0"/>
    <s v="Arizona"/>
    <x v="3"/>
    <n v="159"/>
    <n v="7"/>
    <n v="1113"/>
    <n v="3"/>
  </r>
  <r>
    <s v="1871"/>
    <d v="2022-09-04T00:00:00"/>
    <n v="20"/>
    <s v="Company T"/>
    <x v="6"/>
    <x v="0"/>
    <s v="Arizona"/>
    <x v="3"/>
    <n v="159"/>
    <n v="4"/>
    <n v="636"/>
    <n v="5"/>
  </r>
  <r>
    <s v="1875"/>
    <d v="2022-09-06T00:00:00"/>
    <n v="3"/>
    <s v="Company C"/>
    <x v="4"/>
    <x v="2"/>
    <s v="Texas"/>
    <x v="3"/>
    <n v="159"/>
    <n v="9"/>
    <n v="1431"/>
    <n v="2"/>
  </r>
  <r>
    <s v="1880"/>
    <d v="2022-09-06T00:00:00"/>
    <n v="11"/>
    <s v="Company K"/>
    <x v="3"/>
    <x v="2"/>
    <s v="New Mexico"/>
    <x v="3"/>
    <n v="159"/>
    <n v="3"/>
    <n v="477"/>
    <n v="5"/>
  </r>
  <r>
    <s v="1891"/>
    <d v="2022-09-10T00:00:00"/>
    <n v="17"/>
    <s v="Company Q"/>
    <x v="0"/>
    <x v="0"/>
    <s v="Arizona"/>
    <x v="3"/>
    <n v="159"/>
    <n v="7"/>
    <n v="1113"/>
    <n v="3"/>
  </r>
  <r>
    <s v="1894"/>
    <d v="2022-09-12T00:00:00"/>
    <n v="8"/>
    <s v="Company H"/>
    <x v="1"/>
    <x v="1"/>
    <s v="California"/>
    <x v="3"/>
    <n v="159"/>
    <n v="0"/>
    <n v="0"/>
    <n v="4"/>
  </r>
  <r>
    <s v="1897"/>
    <d v="2022-09-12T00:00:00"/>
    <n v="1"/>
    <s v="Company A"/>
    <x v="2"/>
    <x v="0"/>
    <s v="Texas"/>
    <x v="3"/>
    <n v="159"/>
    <n v="3"/>
    <n v="477"/>
    <n v="2"/>
  </r>
  <r>
    <s v="1910"/>
    <d v="2022-09-18T00:00:00"/>
    <n v="14"/>
    <s v="Company N"/>
    <x v="3"/>
    <x v="2"/>
    <s v="New Mexico"/>
    <x v="3"/>
    <n v="159"/>
    <n v="7"/>
    <n v="1113"/>
    <n v="5"/>
  </r>
  <r>
    <s v="1920"/>
    <d v="2022-09-20T00:00:00"/>
    <n v="10"/>
    <s v="Company J"/>
    <x v="1"/>
    <x v="1"/>
    <s v="California"/>
    <x v="3"/>
    <n v="159"/>
    <n v="9"/>
    <n v="1431"/>
    <n v="4"/>
  </r>
  <r>
    <s v="1923"/>
    <d v="2022-09-20T00:00:00"/>
    <n v="12"/>
    <s v="Company L"/>
    <x v="5"/>
    <x v="1"/>
    <s v="New Mexico"/>
    <x v="3"/>
    <n v="159"/>
    <n v="8"/>
    <n v="1272"/>
    <n v="6"/>
  </r>
  <r>
    <s v="1932"/>
    <d v="2022-09-24T00:00:00"/>
    <n v="7"/>
    <s v="Company G"/>
    <x v="7"/>
    <x v="3"/>
    <s v="California"/>
    <x v="3"/>
    <n v="159"/>
    <n v="5"/>
    <n v="795"/>
    <n v="8"/>
  </r>
  <r>
    <s v="1933"/>
    <d v="2022-09-24T00:00:00"/>
    <n v="2"/>
    <s v="Company B"/>
    <x v="4"/>
    <x v="2"/>
    <s v="Texas"/>
    <x v="3"/>
    <n v="159"/>
    <n v="7"/>
    <n v="1113"/>
    <n v="2"/>
  </r>
  <r>
    <s v="1940"/>
    <d v="2022-09-28T00:00:00"/>
    <n v="12"/>
    <s v="Company L"/>
    <x v="3"/>
    <x v="2"/>
    <s v="New Mexico"/>
    <x v="3"/>
    <n v="159"/>
    <n v="1"/>
    <n v="159"/>
    <n v="5"/>
  </r>
  <r>
    <s v="1951"/>
    <d v="2022-10-01T00:00:00"/>
    <n v="20"/>
    <s v="Company T"/>
    <x v="6"/>
    <x v="0"/>
    <s v="Arizona"/>
    <x v="3"/>
    <n v="159"/>
    <n v="1"/>
    <n v="159"/>
    <n v="5"/>
  </r>
  <r>
    <s v="1956"/>
    <d v="2022-10-02T00:00:00"/>
    <n v="13"/>
    <s v="Company M"/>
    <x v="5"/>
    <x v="1"/>
    <s v="New Mexico"/>
    <x v="3"/>
    <n v="159"/>
    <n v="5"/>
    <n v="795"/>
    <n v="6"/>
  </r>
  <r>
    <s v="1960"/>
    <d v="2022-10-04T00:00:00"/>
    <n v="19"/>
    <s v="Company S"/>
    <x v="0"/>
    <x v="0"/>
    <s v="Arizona"/>
    <x v="3"/>
    <n v="159"/>
    <n v="3"/>
    <n v="477"/>
    <n v="3"/>
  </r>
  <r>
    <s v="1975"/>
    <d v="2022-10-07T00:00:00"/>
    <n v="6"/>
    <s v="Company F"/>
    <x v="7"/>
    <x v="3"/>
    <s v="California"/>
    <x v="3"/>
    <n v="159"/>
    <n v="4"/>
    <n v="636"/>
    <n v="8"/>
  </r>
  <r>
    <s v="1976"/>
    <d v="2022-10-07T00:00:00"/>
    <n v="15"/>
    <s v="Company O"/>
    <x v="3"/>
    <x v="2"/>
    <s v="New Mexico"/>
    <x v="3"/>
    <n v="159"/>
    <n v="1"/>
    <n v="159"/>
    <n v="5"/>
  </r>
  <r>
    <s v="1977"/>
    <d v="2022-10-08T00:00:00"/>
    <n v="10"/>
    <s v="Company J"/>
    <x v="7"/>
    <x v="3"/>
    <s v="California"/>
    <x v="3"/>
    <n v="159"/>
    <n v="6"/>
    <n v="954"/>
    <n v="8"/>
  </r>
  <r>
    <s v="1979"/>
    <d v="2022-10-09T00:00:00"/>
    <n v="11"/>
    <s v="Company K"/>
    <x v="5"/>
    <x v="1"/>
    <s v="New Mexico"/>
    <x v="3"/>
    <n v="159"/>
    <n v="0"/>
    <n v="0"/>
    <n v="6"/>
  </r>
  <r>
    <s v="1992"/>
    <d v="2022-10-15T00:00:00"/>
    <n v="5"/>
    <s v="Company E"/>
    <x v="2"/>
    <x v="0"/>
    <s v="Texas"/>
    <x v="3"/>
    <n v="159"/>
    <n v="7"/>
    <n v="1113"/>
    <n v="2"/>
  </r>
  <r>
    <s v="0005"/>
    <d v="2021-01-04T00:00:00"/>
    <n v="16"/>
    <s v="Company P"/>
    <x v="6"/>
    <x v="0"/>
    <s v="Arizona"/>
    <x v="4"/>
    <n v="69"/>
    <n v="4"/>
    <n v="276"/>
    <n v="5"/>
  </r>
  <r>
    <s v="0016"/>
    <d v="2021-01-06T00:00:00"/>
    <n v="13"/>
    <s v="Company M"/>
    <x v="3"/>
    <x v="2"/>
    <s v="New Mexico"/>
    <x v="4"/>
    <n v="69"/>
    <n v="0"/>
    <n v="0"/>
    <n v="5"/>
  </r>
  <r>
    <s v="0019"/>
    <d v="2021-01-07T00:00:00"/>
    <n v="10"/>
    <s v="Company J"/>
    <x v="1"/>
    <x v="1"/>
    <s v="California"/>
    <x v="4"/>
    <n v="69"/>
    <n v="2"/>
    <n v="138"/>
    <n v="4"/>
  </r>
  <r>
    <s v="0021"/>
    <d v="2021-01-07T00:00:00"/>
    <n v="10"/>
    <s v="Company J"/>
    <x v="1"/>
    <x v="1"/>
    <s v="California"/>
    <x v="4"/>
    <n v="69"/>
    <n v="2"/>
    <n v="138"/>
    <n v="4"/>
  </r>
  <r>
    <s v="0033"/>
    <d v="2021-01-10T00:00:00"/>
    <n v="6"/>
    <s v="Company F"/>
    <x v="1"/>
    <x v="1"/>
    <s v="California"/>
    <x v="4"/>
    <n v="69"/>
    <n v="2"/>
    <n v="138"/>
    <n v="4"/>
  </r>
  <r>
    <s v="0039"/>
    <d v="2021-01-12T00:00:00"/>
    <n v="19"/>
    <s v="Company S"/>
    <x v="0"/>
    <x v="0"/>
    <s v="Arizona"/>
    <x v="4"/>
    <n v="69"/>
    <n v="8"/>
    <n v="552"/>
    <n v="3"/>
  </r>
  <r>
    <s v="0042"/>
    <d v="2021-01-13T00:00:00"/>
    <n v="17"/>
    <s v="Company Q"/>
    <x v="0"/>
    <x v="0"/>
    <s v="Arizona"/>
    <x v="4"/>
    <n v="69"/>
    <n v="5"/>
    <n v="345"/>
    <n v="3"/>
  </r>
  <r>
    <s v="0048"/>
    <d v="2021-01-13T00:00:00"/>
    <n v="16"/>
    <s v="Company P"/>
    <x v="6"/>
    <x v="0"/>
    <s v="Arizona"/>
    <x v="4"/>
    <n v="69"/>
    <n v="1"/>
    <n v="69"/>
    <n v="5"/>
  </r>
  <r>
    <s v="0052"/>
    <d v="2021-01-13T00:00:00"/>
    <n v="1"/>
    <s v="Company A"/>
    <x v="4"/>
    <x v="2"/>
    <s v="Texas"/>
    <x v="4"/>
    <n v="69"/>
    <n v="2"/>
    <n v="138"/>
    <n v="2"/>
  </r>
  <r>
    <s v="0053"/>
    <d v="2021-01-14T00:00:00"/>
    <n v="17"/>
    <s v="Company Q"/>
    <x v="0"/>
    <x v="0"/>
    <s v="Arizona"/>
    <x v="4"/>
    <n v="69"/>
    <n v="7"/>
    <n v="483"/>
    <n v="3"/>
  </r>
  <r>
    <s v="0056"/>
    <d v="2021-01-15T00:00:00"/>
    <n v="20"/>
    <s v="Company T"/>
    <x v="0"/>
    <x v="0"/>
    <s v="Arizona"/>
    <x v="4"/>
    <n v="69"/>
    <n v="9"/>
    <n v="621"/>
    <n v="3"/>
  </r>
  <r>
    <s v="0058"/>
    <d v="2021-01-15T00:00:00"/>
    <n v="11"/>
    <s v="Company K"/>
    <x v="3"/>
    <x v="2"/>
    <s v="New Mexico"/>
    <x v="4"/>
    <n v="69"/>
    <n v="9"/>
    <n v="621"/>
    <n v="5"/>
  </r>
  <r>
    <s v="0067"/>
    <d v="2021-01-20T00:00:00"/>
    <n v="16"/>
    <s v="Company P"/>
    <x v="6"/>
    <x v="0"/>
    <s v="Arizona"/>
    <x v="4"/>
    <n v="69"/>
    <n v="2"/>
    <n v="138"/>
    <n v="5"/>
  </r>
  <r>
    <s v="0076"/>
    <d v="2021-01-24T00:00:00"/>
    <n v="18"/>
    <s v="Company R"/>
    <x v="6"/>
    <x v="0"/>
    <s v="Arizona"/>
    <x v="4"/>
    <n v="69"/>
    <n v="7"/>
    <n v="483"/>
    <n v="5"/>
  </r>
  <r>
    <s v="0077"/>
    <d v="2021-01-24T00:00:00"/>
    <n v="8"/>
    <s v="Company H"/>
    <x v="1"/>
    <x v="1"/>
    <s v="California"/>
    <x v="4"/>
    <n v="69"/>
    <n v="2"/>
    <n v="138"/>
    <n v="4"/>
  </r>
  <r>
    <s v="0082"/>
    <d v="2021-01-24T00:00:00"/>
    <n v="5"/>
    <s v="Company E"/>
    <x v="2"/>
    <x v="0"/>
    <s v="Texas"/>
    <x v="4"/>
    <n v="69"/>
    <n v="1"/>
    <n v="69"/>
    <n v="2"/>
  </r>
  <r>
    <s v="0083"/>
    <d v="2021-01-24T00:00:00"/>
    <n v="10"/>
    <s v="Company J"/>
    <x v="1"/>
    <x v="1"/>
    <s v="California"/>
    <x v="4"/>
    <n v="69"/>
    <n v="2"/>
    <n v="138"/>
    <n v="4"/>
  </r>
  <r>
    <s v="0088"/>
    <d v="2021-01-27T00:00:00"/>
    <n v="12"/>
    <s v="Company L"/>
    <x v="3"/>
    <x v="2"/>
    <s v="New Mexico"/>
    <x v="4"/>
    <n v="69"/>
    <n v="2"/>
    <n v="138"/>
    <n v="5"/>
  </r>
  <r>
    <s v="0090"/>
    <d v="2021-01-27T00:00:00"/>
    <n v="12"/>
    <s v="Company L"/>
    <x v="5"/>
    <x v="1"/>
    <s v="New Mexico"/>
    <x v="4"/>
    <n v="69"/>
    <n v="2"/>
    <n v="138"/>
    <n v="6"/>
  </r>
  <r>
    <s v="0095"/>
    <d v="2021-01-29T00:00:00"/>
    <n v="7"/>
    <s v="Company G"/>
    <x v="1"/>
    <x v="1"/>
    <s v="California"/>
    <x v="4"/>
    <n v="69"/>
    <n v="8"/>
    <n v="552"/>
    <n v="4"/>
  </r>
  <r>
    <s v="0096"/>
    <d v="2021-01-30T00:00:00"/>
    <n v="15"/>
    <s v="Company O"/>
    <x v="3"/>
    <x v="2"/>
    <s v="New Mexico"/>
    <x v="4"/>
    <n v="69"/>
    <n v="9"/>
    <n v="621"/>
    <n v="5"/>
  </r>
  <r>
    <s v="0097"/>
    <d v="2021-01-30T00:00:00"/>
    <n v="11"/>
    <s v="Company K"/>
    <x v="5"/>
    <x v="1"/>
    <s v="New Mexico"/>
    <x v="4"/>
    <n v="69"/>
    <n v="7"/>
    <n v="483"/>
    <n v="6"/>
  </r>
  <r>
    <s v="0101"/>
    <d v="2021-01-31T00:00:00"/>
    <n v="18"/>
    <s v="Company R"/>
    <x v="6"/>
    <x v="0"/>
    <s v="Arizona"/>
    <x v="4"/>
    <n v="69"/>
    <n v="4"/>
    <n v="276"/>
    <n v="5"/>
  </r>
  <r>
    <s v="0102"/>
    <d v="2021-02-01T00:00:00"/>
    <n v="10"/>
    <s v="Company J"/>
    <x v="7"/>
    <x v="3"/>
    <s v="California"/>
    <x v="4"/>
    <n v="69"/>
    <n v="4"/>
    <n v="276"/>
    <n v="8"/>
  </r>
  <r>
    <s v="0103"/>
    <d v="2021-02-01T00:00:00"/>
    <n v="20"/>
    <s v="Company T"/>
    <x v="0"/>
    <x v="0"/>
    <s v="Arizona"/>
    <x v="4"/>
    <n v="69"/>
    <n v="6"/>
    <n v="414"/>
    <n v="3"/>
  </r>
  <r>
    <s v="0115"/>
    <d v="2021-02-05T00:00:00"/>
    <n v="2"/>
    <s v="Company B"/>
    <x v="4"/>
    <x v="2"/>
    <s v="Texas"/>
    <x v="4"/>
    <n v="69"/>
    <n v="7"/>
    <n v="483"/>
    <n v="2"/>
  </r>
  <r>
    <s v="0116"/>
    <d v="2021-02-05T00:00:00"/>
    <n v="14"/>
    <s v="Company N"/>
    <x v="3"/>
    <x v="2"/>
    <s v="New Mexico"/>
    <x v="4"/>
    <n v="69"/>
    <n v="7"/>
    <n v="483"/>
    <n v="5"/>
  </r>
  <r>
    <s v="0122"/>
    <d v="2021-02-08T00:00:00"/>
    <n v="8"/>
    <s v="Company H"/>
    <x v="1"/>
    <x v="1"/>
    <s v="California"/>
    <x v="4"/>
    <n v="69"/>
    <n v="6"/>
    <n v="414"/>
    <n v="4"/>
  </r>
  <r>
    <s v="0135"/>
    <d v="2021-02-12T00:00:00"/>
    <n v="16"/>
    <s v="Company P"/>
    <x v="6"/>
    <x v="0"/>
    <s v="Arizona"/>
    <x v="4"/>
    <n v="69"/>
    <n v="5"/>
    <n v="345"/>
    <n v="5"/>
  </r>
  <r>
    <s v="0139"/>
    <d v="2021-02-13T00:00:00"/>
    <n v="13"/>
    <s v="Company M"/>
    <x v="3"/>
    <x v="2"/>
    <s v="New Mexico"/>
    <x v="4"/>
    <n v="69"/>
    <n v="4"/>
    <n v="276"/>
    <n v="5"/>
  </r>
  <r>
    <s v="0154"/>
    <d v="2021-02-14T00:00:00"/>
    <n v="8"/>
    <s v="Company H"/>
    <x v="7"/>
    <x v="3"/>
    <s v="California"/>
    <x v="4"/>
    <n v="69"/>
    <n v="8"/>
    <n v="552"/>
    <n v="8"/>
  </r>
  <r>
    <s v="0162"/>
    <d v="2021-02-16T00:00:00"/>
    <n v="15"/>
    <s v="Company O"/>
    <x v="5"/>
    <x v="1"/>
    <s v="New Mexico"/>
    <x v="4"/>
    <n v="69"/>
    <n v="5"/>
    <n v="345"/>
    <n v="6"/>
  </r>
  <r>
    <s v="0164"/>
    <d v="2021-02-17T00:00:00"/>
    <n v="13"/>
    <s v="Company M"/>
    <x v="5"/>
    <x v="1"/>
    <s v="New Mexico"/>
    <x v="4"/>
    <n v="69"/>
    <n v="1"/>
    <n v="69"/>
    <n v="6"/>
  </r>
  <r>
    <s v="0166"/>
    <d v="2021-02-18T00:00:00"/>
    <n v="15"/>
    <s v="Company O"/>
    <x v="3"/>
    <x v="2"/>
    <s v="New Mexico"/>
    <x v="4"/>
    <n v="69"/>
    <n v="0"/>
    <n v="0"/>
    <n v="5"/>
  </r>
  <r>
    <s v="0167"/>
    <d v="2021-02-18T00:00:00"/>
    <n v="12"/>
    <s v="Company L"/>
    <x v="5"/>
    <x v="1"/>
    <s v="New Mexico"/>
    <x v="4"/>
    <n v="69"/>
    <n v="1"/>
    <n v="69"/>
    <n v="6"/>
  </r>
  <r>
    <s v="0169"/>
    <d v="2021-02-18T00:00:00"/>
    <n v="10"/>
    <s v="Company J"/>
    <x v="1"/>
    <x v="1"/>
    <s v="California"/>
    <x v="4"/>
    <n v="69"/>
    <n v="4"/>
    <n v="276"/>
    <n v="4"/>
  </r>
  <r>
    <s v="0170"/>
    <d v="2021-02-18T00:00:00"/>
    <n v="6"/>
    <s v="Company F"/>
    <x v="1"/>
    <x v="1"/>
    <s v="California"/>
    <x v="4"/>
    <n v="69"/>
    <n v="3"/>
    <n v="207"/>
    <n v="4"/>
  </r>
  <r>
    <s v="0172"/>
    <d v="2021-02-19T00:00:00"/>
    <n v="11"/>
    <s v="Company K"/>
    <x v="3"/>
    <x v="2"/>
    <s v="New Mexico"/>
    <x v="4"/>
    <n v="69"/>
    <n v="5"/>
    <n v="345"/>
    <n v="5"/>
  </r>
  <r>
    <s v="0180"/>
    <d v="2021-02-21T00:00:00"/>
    <n v="20"/>
    <s v="Company T"/>
    <x v="6"/>
    <x v="0"/>
    <s v="Arizona"/>
    <x v="4"/>
    <n v="69"/>
    <n v="3"/>
    <n v="207"/>
    <n v="5"/>
  </r>
  <r>
    <s v="0181"/>
    <d v="2021-02-21T00:00:00"/>
    <n v="20"/>
    <s v="Company T"/>
    <x v="0"/>
    <x v="0"/>
    <s v="Arizona"/>
    <x v="4"/>
    <n v="69"/>
    <n v="1"/>
    <n v="69"/>
    <n v="3"/>
  </r>
  <r>
    <s v="0197"/>
    <d v="2021-03-01T00:00:00"/>
    <n v="18"/>
    <s v="Company R"/>
    <x v="0"/>
    <x v="0"/>
    <s v="Arizona"/>
    <x v="4"/>
    <n v="69"/>
    <n v="8"/>
    <n v="552"/>
    <n v="3"/>
  </r>
  <r>
    <s v="0211"/>
    <d v="2021-03-08T00:00:00"/>
    <n v="4"/>
    <s v="Company D"/>
    <x v="4"/>
    <x v="2"/>
    <s v="Texas"/>
    <x v="4"/>
    <n v="69"/>
    <n v="4"/>
    <n v="276"/>
    <n v="2"/>
  </r>
  <r>
    <s v="0214"/>
    <d v="2021-03-10T00:00:00"/>
    <n v="5"/>
    <s v="Company E"/>
    <x v="4"/>
    <x v="2"/>
    <s v="Texas"/>
    <x v="4"/>
    <n v="69"/>
    <n v="6"/>
    <n v="414"/>
    <n v="2"/>
  </r>
  <r>
    <s v="0216"/>
    <d v="2021-03-11T00:00:00"/>
    <n v="18"/>
    <s v="Company R"/>
    <x v="6"/>
    <x v="0"/>
    <s v="Arizona"/>
    <x v="4"/>
    <n v="69"/>
    <n v="9"/>
    <n v="621"/>
    <n v="5"/>
  </r>
  <r>
    <s v="0233"/>
    <d v="2021-03-15T00:00:00"/>
    <n v="9"/>
    <s v="Company I"/>
    <x v="1"/>
    <x v="1"/>
    <s v="California"/>
    <x v="4"/>
    <n v="69"/>
    <n v="8"/>
    <n v="552"/>
    <n v="4"/>
  </r>
  <r>
    <s v="0236"/>
    <d v="2021-03-16T00:00:00"/>
    <n v="20"/>
    <s v="Company T"/>
    <x v="0"/>
    <x v="0"/>
    <s v="Arizona"/>
    <x v="4"/>
    <n v="69"/>
    <n v="8"/>
    <n v="552"/>
    <n v="3"/>
  </r>
  <r>
    <s v="0237"/>
    <d v="2021-03-16T00:00:00"/>
    <n v="4"/>
    <s v="Company D"/>
    <x v="2"/>
    <x v="0"/>
    <s v="Texas"/>
    <x v="4"/>
    <n v="69"/>
    <n v="7"/>
    <n v="483"/>
    <n v="2"/>
  </r>
  <r>
    <s v="0241"/>
    <d v="2021-03-16T00:00:00"/>
    <n v="4"/>
    <s v="Company D"/>
    <x v="2"/>
    <x v="0"/>
    <s v="Texas"/>
    <x v="4"/>
    <n v="69"/>
    <n v="5"/>
    <n v="345"/>
    <n v="2"/>
  </r>
  <r>
    <s v="0248"/>
    <d v="2021-03-18T00:00:00"/>
    <n v="18"/>
    <s v="Company R"/>
    <x v="0"/>
    <x v="0"/>
    <s v="Arizona"/>
    <x v="4"/>
    <n v="69"/>
    <n v="5"/>
    <n v="345"/>
    <n v="3"/>
  </r>
  <r>
    <s v="0257"/>
    <d v="2021-03-19T00:00:00"/>
    <n v="2"/>
    <s v="Company B"/>
    <x v="2"/>
    <x v="0"/>
    <s v="Texas"/>
    <x v="4"/>
    <n v="69"/>
    <n v="8"/>
    <n v="552"/>
    <n v="2"/>
  </r>
  <r>
    <s v="0260"/>
    <d v="2021-03-20T00:00:00"/>
    <n v="14"/>
    <s v="Company N"/>
    <x v="3"/>
    <x v="2"/>
    <s v="New Mexico"/>
    <x v="4"/>
    <n v="69"/>
    <n v="9"/>
    <n v="621"/>
    <n v="5"/>
  </r>
  <r>
    <s v="0266"/>
    <d v="2021-03-25T00:00:00"/>
    <n v="12"/>
    <s v="Company L"/>
    <x v="5"/>
    <x v="1"/>
    <s v="New Mexico"/>
    <x v="4"/>
    <n v="69"/>
    <n v="4"/>
    <n v="276"/>
    <n v="6"/>
  </r>
  <r>
    <s v="0279"/>
    <d v="2021-03-26T00:00:00"/>
    <n v="9"/>
    <s v="Company I"/>
    <x v="7"/>
    <x v="3"/>
    <s v="California"/>
    <x v="4"/>
    <n v="69"/>
    <n v="9"/>
    <n v="621"/>
    <n v="8"/>
  </r>
  <r>
    <s v="0281"/>
    <d v="2021-03-26T00:00:00"/>
    <n v="20"/>
    <s v="Company T"/>
    <x v="0"/>
    <x v="0"/>
    <s v="Arizona"/>
    <x v="4"/>
    <n v="69"/>
    <n v="3"/>
    <n v="207"/>
    <n v="3"/>
  </r>
  <r>
    <s v="0286"/>
    <d v="2021-03-27T00:00:00"/>
    <n v="13"/>
    <s v="Company M"/>
    <x v="5"/>
    <x v="1"/>
    <s v="New Mexico"/>
    <x v="4"/>
    <n v="69"/>
    <n v="6"/>
    <n v="414"/>
    <n v="6"/>
  </r>
  <r>
    <s v="0291"/>
    <d v="2021-03-30T00:00:00"/>
    <n v="19"/>
    <s v="Company S"/>
    <x v="6"/>
    <x v="0"/>
    <s v="Arizona"/>
    <x v="4"/>
    <n v="69"/>
    <n v="3"/>
    <n v="207"/>
    <n v="5"/>
  </r>
  <r>
    <s v="0295"/>
    <d v="2021-03-31T00:00:00"/>
    <n v="7"/>
    <s v="Company G"/>
    <x v="1"/>
    <x v="1"/>
    <s v="California"/>
    <x v="4"/>
    <n v="69"/>
    <n v="3"/>
    <n v="207"/>
    <n v="4"/>
  </r>
  <r>
    <s v="0296"/>
    <d v="2021-03-31T00:00:00"/>
    <n v="9"/>
    <s v="Company I"/>
    <x v="7"/>
    <x v="3"/>
    <s v="California"/>
    <x v="4"/>
    <n v="69"/>
    <n v="4"/>
    <n v="276"/>
    <n v="8"/>
  </r>
  <r>
    <s v="0298"/>
    <d v="2021-03-31T00:00:00"/>
    <n v="13"/>
    <s v="Company M"/>
    <x v="5"/>
    <x v="1"/>
    <s v="New Mexico"/>
    <x v="4"/>
    <n v="69"/>
    <n v="4"/>
    <n v="276"/>
    <n v="6"/>
  </r>
  <r>
    <s v="0300"/>
    <d v="2021-04-01T00:00:00"/>
    <n v="7"/>
    <s v="Company G"/>
    <x v="7"/>
    <x v="3"/>
    <s v="California"/>
    <x v="4"/>
    <n v="69"/>
    <n v="2"/>
    <n v="138"/>
    <n v="8"/>
  </r>
  <r>
    <s v="0302"/>
    <d v="2021-04-03T00:00:00"/>
    <n v="6"/>
    <s v="Company F"/>
    <x v="1"/>
    <x v="1"/>
    <s v="California"/>
    <x v="4"/>
    <n v="69"/>
    <n v="6"/>
    <n v="414"/>
    <n v="4"/>
  </r>
  <r>
    <s v="0304"/>
    <d v="2021-04-04T00:00:00"/>
    <n v="2"/>
    <s v="Company B"/>
    <x v="4"/>
    <x v="2"/>
    <s v="Texas"/>
    <x v="4"/>
    <n v="69"/>
    <n v="1"/>
    <n v="69"/>
    <n v="2"/>
  </r>
  <r>
    <s v="0310"/>
    <d v="2021-04-06T00:00:00"/>
    <n v="6"/>
    <s v="Company F"/>
    <x v="1"/>
    <x v="1"/>
    <s v="California"/>
    <x v="4"/>
    <n v="69"/>
    <n v="0"/>
    <n v="0"/>
    <n v="4"/>
  </r>
  <r>
    <s v="0319"/>
    <d v="2021-04-10T00:00:00"/>
    <n v="14"/>
    <s v="Company N"/>
    <x v="3"/>
    <x v="2"/>
    <s v="New Mexico"/>
    <x v="4"/>
    <n v="69"/>
    <n v="3"/>
    <n v="207"/>
    <n v="5"/>
  </r>
  <r>
    <s v="0320"/>
    <d v="2021-04-11T00:00:00"/>
    <n v="12"/>
    <s v="Company L"/>
    <x v="5"/>
    <x v="1"/>
    <s v="New Mexico"/>
    <x v="4"/>
    <n v="69"/>
    <n v="0"/>
    <n v="0"/>
    <n v="6"/>
  </r>
  <r>
    <s v="0326"/>
    <d v="2021-04-14T00:00:00"/>
    <n v="7"/>
    <s v="Company G"/>
    <x v="7"/>
    <x v="3"/>
    <s v="California"/>
    <x v="4"/>
    <n v="69"/>
    <n v="2"/>
    <n v="138"/>
    <n v="8"/>
  </r>
  <r>
    <s v="0335"/>
    <d v="2021-04-15T00:00:00"/>
    <n v="2"/>
    <s v="Company B"/>
    <x v="4"/>
    <x v="2"/>
    <s v="Texas"/>
    <x v="4"/>
    <n v="69"/>
    <n v="9"/>
    <n v="621"/>
    <n v="2"/>
  </r>
  <r>
    <s v="0337"/>
    <d v="2021-04-17T00:00:00"/>
    <n v="11"/>
    <s v="Company K"/>
    <x v="5"/>
    <x v="1"/>
    <s v="New Mexico"/>
    <x v="4"/>
    <n v="69"/>
    <n v="8"/>
    <n v="552"/>
    <n v="6"/>
  </r>
  <r>
    <s v="0339"/>
    <d v="2021-04-18T00:00:00"/>
    <n v="8"/>
    <s v="Company H"/>
    <x v="7"/>
    <x v="3"/>
    <s v="California"/>
    <x v="4"/>
    <n v="69"/>
    <n v="6"/>
    <n v="414"/>
    <n v="8"/>
  </r>
  <r>
    <s v="0342"/>
    <d v="2021-04-19T00:00:00"/>
    <n v="19"/>
    <s v="Company S"/>
    <x v="0"/>
    <x v="0"/>
    <s v="Arizona"/>
    <x v="4"/>
    <n v="69"/>
    <n v="1"/>
    <n v="69"/>
    <n v="3"/>
  </r>
  <r>
    <s v="0346"/>
    <d v="2021-04-19T00:00:00"/>
    <n v="17"/>
    <s v="Company Q"/>
    <x v="6"/>
    <x v="0"/>
    <s v="Arizona"/>
    <x v="4"/>
    <n v="69"/>
    <n v="2"/>
    <n v="138"/>
    <n v="5"/>
  </r>
  <r>
    <s v="0351"/>
    <d v="2021-04-19T00:00:00"/>
    <n v="4"/>
    <s v="Company D"/>
    <x v="4"/>
    <x v="2"/>
    <s v="Texas"/>
    <x v="4"/>
    <n v="69"/>
    <n v="6"/>
    <n v="414"/>
    <n v="2"/>
  </r>
  <r>
    <s v="0354"/>
    <d v="2021-04-20T00:00:00"/>
    <n v="5"/>
    <s v="Company E"/>
    <x v="2"/>
    <x v="0"/>
    <s v="Texas"/>
    <x v="4"/>
    <n v="69"/>
    <n v="1"/>
    <n v="69"/>
    <n v="2"/>
  </r>
  <r>
    <s v="0358"/>
    <d v="2021-04-22T00:00:00"/>
    <n v="2"/>
    <s v="Company B"/>
    <x v="2"/>
    <x v="0"/>
    <s v="Texas"/>
    <x v="4"/>
    <n v="69"/>
    <n v="2"/>
    <n v="138"/>
    <n v="2"/>
  </r>
  <r>
    <s v="0361"/>
    <d v="2021-04-22T00:00:00"/>
    <n v="10"/>
    <s v="Company J"/>
    <x v="7"/>
    <x v="3"/>
    <s v="California"/>
    <x v="4"/>
    <n v="69"/>
    <n v="7"/>
    <n v="483"/>
    <n v="8"/>
  </r>
  <r>
    <s v="0366"/>
    <d v="2021-04-23T00:00:00"/>
    <n v="7"/>
    <s v="Company G"/>
    <x v="1"/>
    <x v="1"/>
    <s v="California"/>
    <x v="4"/>
    <n v="69"/>
    <n v="0"/>
    <n v="0"/>
    <n v="4"/>
  </r>
  <r>
    <s v="0376"/>
    <d v="2021-04-25T00:00:00"/>
    <n v="16"/>
    <s v="Company P"/>
    <x v="0"/>
    <x v="0"/>
    <s v="Arizona"/>
    <x v="4"/>
    <n v="69"/>
    <n v="3"/>
    <n v="207"/>
    <n v="3"/>
  </r>
  <r>
    <s v="0381"/>
    <d v="2021-04-27T00:00:00"/>
    <n v="5"/>
    <s v="Company E"/>
    <x v="2"/>
    <x v="0"/>
    <s v="Texas"/>
    <x v="4"/>
    <n v="69"/>
    <n v="5"/>
    <n v="345"/>
    <n v="2"/>
  </r>
  <r>
    <s v="0382"/>
    <d v="2021-04-28T00:00:00"/>
    <n v="7"/>
    <s v="Company G"/>
    <x v="1"/>
    <x v="1"/>
    <s v="California"/>
    <x v="4"/>
    <n v="69"/>
    <n v="8"/>
    <n v="552"/>
    <n v="4"/>
  </r>
  <r>
    <s v="0388"/>
    <d v="2021-04-28T00:00:00"/>
    <n v="20"/>
    <s v="Company T"/>
    <x v="0"/>
    <x v="0"/>
    <s v="Arizona"/>
    <x v="4"/>
    <n v="69"/>
    <n v="4"/>
    <n v="276"/>
    <n v="3"/>
  </r>
  <r>
    <s v="0393"/>
    <d v="2021-04-29T00:00:00"/>
    <n v="14"/>
    <s v="Company N"/>
    <x v="5"/>
    <x v="1"/>
    <s v="New Mexico"/>
    <x v="4"/>
    <n v="69"/>
    <n v="7"/>
    <n v="483"/>
    <n v="6"/>
  </r>
  <r>
    <s v="0395"/>
    <d v="2021-05-01T00:00:00"/>
    <n v="18"/>
    <s v="Company R"/>
    <x v="6"/>
    <x v="0"/>
    <s v="Arizona"/>
    <x v="4"/>
    <n v="69"/>
    <n v="3"/>
    <n v="207"/>
    <n v="5"/>
  </r>
  <r>
    <s v="0401"/>
    <d v="2021-05-04T00:00:00"/>
    <n v="5"/>
    <s v="Company E"/>
    <x v="2"/>
    <x v="0"/>
    <s v="Texas"/>
    <x v="4"/>
    <n v="69"/>
    <n v="0"/>
    <n v="0"/>
    <n v="2"/>
  </r>
  <r>
    <s v="0407"/>
    <d v="2021-05-06T00:00:00"/>
    <n v="16"/>
    <s v="Company P"/>
    <x v="0"/>
    <x v="0"/>
    <s v="Arizona"/>
    <x v="4"/>
    <n v="69"/>
    <n v="7"/>
    <n v="483"/>
    <n v="3"/>
  </r>
  <r>
    <s v="0412"/>
    <d v="2021-05-06T00:00:00"/>
    <n v="13"/>
    <s v="Company M"/>
    <x v="3"/>
    <x v="2"/>
    <s v="New Mexico"/>
    <x v="4"/>
    <n v="69"/>
    <n v="7"/>
    <n v="483"/>
    <n v="5"/>
  </r>
  <r>
    <s v="0414"/>
    <d v="2021-05-07T00:00:00"/>
    <n v="19"/>
    <s v="Company S"/>
    <x v="6"/>
    <x v="0"/>
    <s v="Arizona"/>
    <x v="4"/>
    <n v="69"/>
    <n v="6"/>
    <n v="414"/>
    <n v="5"/>
  </r>
  <r>
    <s v="0423"/>
    <d v="2021-05-12T00:00:00"/>
    <n v="5"/>
    <s v="Company E"/>
    <x v="4"/>
    <x v="2"/>
    <s v="Texas"/>
    <x v="4"/>
    <n v="69"/>
    <n v="4"/>
    <n v="276"/>
    <n v="2"/>
  </r>
  <r>
    <s v="0424"/>
    <d v="2021-05-12T00:00:00"/>
    <n v="1"/>
    <s v="Company A"/>
    <x v="4"/>
    <x v="2"/>
    <s v="Texas"/>
    <x v="4"/>
    <n v="69"/>
    <n v="8"/>
    <n v="552"/>
    <n v="2"/>
  </r>
  <r>
    <s v="0428"/>
    <d v="2021-05-13T00:00:00"/>
    <n v="13"/>
    <s v="Company M"/>
    <x v="5"/>
    <x v="1"/>
    <s v="New Mexico"/>
    <x v="4"/>
    <n v="69"/>
    <n v="3"/>
    <n v="207"/>
    <n v="6"/>
  </r>
  <r>
    <s v="0429"/>
    <d v="2021-05-14T00:00:00"/>
    <n v="18"/>
    <s v="Company R"/>
    <x v="0"/>
    <x v="0"/>
    <s v="Arizona"/>
    <x v="4"/>
    <n v="69"/>
    <n v="9"/>
    <n v="621"/>
    <n v="3"/>
  </r>
  <r>
    <s v="0437"/>
    <d v="2021-05-15T00:00:00"/>
    <n v="2"/>
    <s v="Company B"/>
    <x v="4"/>
    <x v="2"/>
    <s v="Texas"/>
    <x v="4"/>
    <n v="69"/>
    <n v="7"/>
    <n v="483"/>
    <n v="2"/>
  </r>
  <r>
    <s v="0438"/>
    <d v="2021-05-15T00:00:00"/>
    <n v="2"/>
    <s v="Company B"/>
    <x v="4"/>
    <x v="2"/>
    <s v="Texas"/>
    <x v="4"/>
    <n v="69"/>
    <n v="6"/>
    <n v="414"/>
    <n v="2"/>
  </r>
  <r>
    <s v="0440"/>
    <d v="2021-05-15T00:00:00"/>
    <n v="19"/>
    <s v="Company S"/>
    <x v="0"/>
    <x v="0"/>
    <s v="Arizona"/>
    <x v="4"/>
    <n v="69"/>
    <n v="8"/>
    <n v="552"/>
    <n v="3"/>
  </r>
  <r>
    <s v="0443"/>
    <d v="2021-05-15T00:00:00"/>
    <n v="14"/>
    <s v="Company N"/>
    <x v="3"/>
    <x v="2"/>
    <s v="New Mexico"/>
    <x v="4"/>
    <n v="69"/>
    <n v="6"/>
    <n v="414"/>
    <n v="5"/>
  </r>
  <r>
    <s v="0444"/>
    <d v="2021-05-16T00:00:00"/>
    <n v="17"/>
    <s v="Company Q"/>
    <x v="0"/>
    <x v="0"/>
    <s v="Arizona"/>
    <x v="4"/>
    <n v="69"/>
    <n v="7"/>
    <n v="483"/>
    <n v="3"/>
  </r>
  <r>
    <s v="0446"/>
    <d v="2021-05-16T00:00:00"/>
    <n v="18"/>
    <s v="Company R"/>
    <x v="0"/>
    <x v="0"/>
    <s v="Arizona"/>
    <x v="4"/>
    <n v="69"/>
    <n v="7"/>
    <n v="483"/>
    <n v="3"/>
  </r>
  <r>
    <s v="0451"/>
    <d v="2021-05-16T00:00:00"/>
    <n v="10"/>
    <s v="Company J"/>
    <x v="7"/>
    <x v="3"/>
    <s v="California"/>
    <x v="4"/>
    <n v="69"/>
    <n v="7"/>
    <n v="483"/>
    <n v="8"/>
  </r>
  <r>
    <s v="0452"/>
    <d v="2021-05-16T00:00:00"/>
    <n v="7"/>
    <s v="Company G"/>
    <x v="1"/>
    <x v="1"/>
    <s v="California"/>
    <x v="4"/>
    <n v="69"/>
    <n v="3"/>
    <n v="207"/>
    <n v="4"/>
  </r>
  <r>
    <s v="0455"/>
    <d v="2021-05-17T00:00:00"/>
    <n v="14"/>
    <s v="Company N"/>
    <x v="5"/>
    <x v="1"/>
    <s v="New Mexico"/>
    <x v="4"/>
    <n v="69"/>
    <n v="9"/>
    <n v="621"/>
    <n v="6"/>
  </r>
  <r>
    <s v="0480"/>
    <d v="2021-05-23T00:00:00"/>
    <n v="18"/>
    <s v="Company R"/>
    <x v="6"/>
    <x v="0"/>
    <s v="Arizona"/>
    <x v="4"/>
    <n v="69"/>
    <n v="9"/>
    <n v="621"/>
    <n v="5"/>
  </r>
  <r>
    <s v="0482"/>
    <d v="2021-05-24T00:00:00"/>
    <n v="11"/>
    <s v="Company K"/>
    <x v="3"/>
    <x v="2"/>
    <s v="New Mexico"/>
    <x v="4"/>
    <n v="69"/>
    <n v="6"/>
    <n v="414"/>
    <n v="5"/>
  </r>
  <r>
    <s v="0483"/>
    <d v="2021-05-24T00:00:00"/>
    <n v="16"/>
    <s v="Company P"/>
    <x v="6"/>
    <x v="0"/>
    <s v="Arizona"/>
    <x v="4"/>
    <n v="69"/>
    <n v="6"/>
    <n v="414"/>
    <n v="5"/>
  </r>
  <r>
    <s v="0491"/>
    <d v="2021-05-25T00:00:00"/>
    <n v="17"/>
    <s v="Company Q"/>
    <x v="0"/>
    <x v="0"/>
    <s v="Arizona"/>
    <x v="4"/>
    <n v="69"/>
    <n v="3"/>
    <n v="207"/>
    <n v="3"/>
  </r>
  <r>
    <s v="0498"/>
    <d v="2021-05-26T00:00:00"/>
    <n v="8"/>
    <s v="Company H"/>
    <x v="1"/>
    <x v="1"/>
    <s v="California"/>
    <x v="4"/>
    <n v="69"/>
    <n v="8"/>
    <n v="552"/>
    <n v="4"/>
  </r>
  <r>
    <s v="0506"/>
    <d v="2021-05-29T00:00:00"/>
    <n v="17"/>
    <s v="Company Q"/>
    <x v="6"/>
    <x v="0"/>
    <s v="Arizona"/>
    <x v="4"/>
    <n v="69"/>
    <n v="4"/>
    <n v="276"/>
    <n v="5"/>
  </r>
  <r>
    <s v="0510"/>
    <d v="2021-05-30T00:00:00"/>
    <n v="2"/>
    <s v="Company B"/>
    <x v="2"/>
    <x v="0"/>
    <s v="Texas"/>
    <x v="4"/>
    <n v="69"/>
    <n v="5"/>
    <n v="345"/>
    <n v="2"/>
  </r>
  <r>
    <s v="0512"/>
    <d v="2021-05-30T00:00:00"/>
    <n v="2"/>
    <s v="Company B"/>
    <x v="4"/>
    <x v="2"/>
    <s v="Texas"/>
    <x v="4"/>
    <n v="69"/>
    <n v="9"/>
    <n v="621"/>
    <n v="2"/>
  </r>
  <r>
    <s v="0513"/>
    <d v="2021-05-31T00:00:00"/>
    <n v="14"/>
    <s v="Company N"/>
    <x v="5"/>
    <x v="1"/>
    <s v="New Mexico"/>
    <x v="4"/>
    <n v="69"/>
    <n v="3"/>
    <n v="207"/>
    <n v="6"/>
  </r>
  <r>
    <s v="0514"/>
    <d v="2021-06-01T00:00:00"/>
    <n v="14"/>
    <s v="Company N"/>
    <x v="3"/>
    <x v="2"/>
    <s v="New Mexico"/>
    <x v="4"/>
    <n v="69"/>
    <n v="0"/>
    <n v="0"/>
    <n v="5"/>
  </r>
  <r>
    <s v="0524"/>
    <d v="2021-06-03T00:00:00"/>
    <n v="4"/>
    <s v="Company D"/>
    <x v="2"/>
    <x v="0"/>
    <s v="Texas"/>
    <x v="4"/>
    <n v="69"/>
    <n v="9"/>
    <n v="621"/>
    <n v="2"/>
  </r>
  <r>
    <s v="0536"/>
    <d v="2021-06-05T00:00:00"/>
    <n v="17"/>
    <s v="Company Q"/>
    <x v="0"/>
    <x v="0"/>
    <s v="Arizona"/>
    <x v="4"/>
    <n v="69"/>
    <n v="0"/>
    <n v="0"/>
    <n v="3"/>
  </r>
  <r>
    <s v="0547"/>
    <d v="2021-06-11T00:00:00"/>
    <n v="6"/>
    <s v="Company F"/>
    <x v="7"/>
    <x v="3"/>
    <s v="California"/>
    <x v="4"/>
    <n v="69"/>
    <n v="7"/>
    <n v="483"/>
    <n v="8"/>
  </r>
  <r>
    <s v="0551"/>
    <d v="2021-06-11T00:00:00"/>
    <n v="5"/>
    <s v="Company E"/>
    <x v="2"/>
    <x v="0"/>
    <s v="Texas"/>
    <x v="4"/>
    <n v="69"/>
    <n v="5"/>
    <n v="345"/>
    <n v="2"/>
  </r>
  <r>
    <s v="0575"/>
    <d v="2021-06-20T00:00:00"/>
    <n v="18"/>
    <s v="Company R"/>
    <x v="0"/>
    <x v="0"/>
    <s v="Arizona"/>
    <x v="4"/>
    <n v="69"/>
    <n v="1"/>
    <n v="69"/>
    <n v="3"/>
  </r>
  <r>
    <s v="0576"/>
    <d v="2021-06-20T00:00:00"/>
    <n v="4"/>
    <s v="Company D"/>
    <x v="4"/>
    <x v="2"/>
    <s v="Texas"/>
    <x v="4"/>
    <n v="69"/>
    <n v="3"/>
    <n v="207"/>
    <n v="2"/>
  </r>
  <r>
    <s v="0584"/>
    <d v="2021-06-22T00:00:00"/>
    <n v="18"/>
    <s v="Company R"/>
    <x v="0"/>
    <x v="0"/>
    <s v="Arizona"/>
    <x v="4"/>
    <n v="69"/>
    <n v="0"/>
    <n v="0"/>
    <n v="3"/>
  </r>
  <r>
    <s v="0587"/>
    <d v="2021-06-22T00:00:00"/>
    <n v="20"/>
    <s v="Company T"/>
    <x v="0"/>
    <x v="0"/>
    <s v="Arizona"/>
    <x v="4"/>
    <n v="69"/>
    <n v="3"/>
    <n v="207"/>
    <n v="3"/>
  </r>
  <r>
    <s v="0588"/>
    <d v="2021-06-23T00:00:00"/>
    <n v="17"/>
    <s v="Company Q"/>
    <x v="6"/>
    <x v="0"/>
    <s v="Arizona"/>
    <x v="4"/>
    <n v="69"/>
    <n v="1"/>
    <n v="69"/>
    <n v="5"/>
  </r>
  <r>
    <s v="0593"/>
    <d v="2021-06-26T00:00:00"/>
    <n v="17"/>
    <s v="Company Q"/>
    <x v="6"/>
    <x v="0"/>
    <s v="Arizona"/>
    <x v="4"/>
    <n v="69"/>
    <n v="9"/>
    <n v="621"/>
    <n v="5"/>
  </r>
  <r>
    <s v="0597"/>
    <d v="2021-06-27T00:00:00"/>
    <n v="4"/>
    <s v="Company D"/>
    <x v="2"/>
    <x v="0"/>
    <s v="Texas"/>
    <x v="4"/>
    <n v="69"/>
    <n v="8"/>
    <n v="552"/>
    <n v="2"/>
  </r>
  <r>
    <s v="0601"/>
    <d v="2021-06-28T00:00:00"/>
    <n v="10"/>
    <s v="Company J"/>
    <x v="1"/>
    <x v="1"/>
    <s v="California"/>
    <x v="4"/>
    <n v="69"/>
    <n v="3"/>
    <n v="207"/>
    <n v="4"/>
  </r>
  <r>
    <s v="0608"/>
    <d v="2021-06-30T00:00:00"/>
    <n v="12"/>
    <s v="Company L"/>
    <x v="3"/>
    <x v="2"/>
    <s v="New Mexico"/>
    <x v="4"/>
    <n v="69"/>
    <n v="4"/>
    <n v="276"/>
    <n v="5"/>
  </r>
  <r>
    <s v="0609"/>
    <d v="2021-06-30T00:00:00"/>
    <n v="19"/>
    <s v="Company S"/>
    <x v="6"/>
    <x v="0"/>
    <s v="Arizona"/>
    <x v="4"/>
    <n v="69"/>
    <n v="4"/>
    <n v="276"/>
    <n v="5"/>
  </r>
  <r>
    <s v="0610"/>
    <d v="2021-07-01T00:00:00"/>
    <n v="12"/>
    <s v="Company L"/>
    <x v="5"/>
    <x v="1"/>
    <s v="New Mexico"/>
    <x v="4"/>
    <n v="69"/>
    <n v="8"/>
    <n v="552"/>
    <n v="6"/>
  </r>
  <r>
    <s v="0613"/>
    <d v="2021-07-02T00:00:00"/>
    <n v="15"/>
    <s v="Company O"/>
    <x v="5"/>
    <x v="1"/>
    <s v="New Mexico"/>
    <x v="4"/>
    <n v="69"/>
    <n v="2"/>
    <n v="138"/>
    <n v="6"/>
  </r>
  <r>
    <s v="0616"/>
    <d v="2021-07-05T00:00:00"/>
    <n v="11"/>
    <s v="Company K"/>
    <x v="5"/>
    <x v="1"/>
    <s v="New Mexico"/>
    <x v="4"/>
    <n v="69"/>
    <n v="7"/>
    <n v="483"/>
    <n v="6"/>
  </r>
  <r>
    <s v="0627"/>
    <d v="2021-07-08T00:00:00"/>
    <n v="18"/>
    <s v="Company R"/>
    <x v="6"/>
    <x v="0"/>
    <s v="Arizona"/>
    <x v="4"/>
    <n v="69"/>
    <n v="4"/>
    <n v="276"/>
    <n v="5"/>
  </r>
  <r>
    <s v="0629"/>
    <d v="2021-07-08T00:00:00"/>
    <n v="2"/>
    <s v="Company B"/>
    <x v="4"/>
    <x v="2"/>
    <s v="Texas"/>
    <x v="4"/>
    <n v="69"/>
    <n v="6"/>
    <n v="414"/>
    <n v="2"/>
  </r>
  <r>
    <s v="0632"/>
    <d v="2021-07-10T00:00:00"/>
    <n v="17"/>
    <s v="Company Q"/>
    <x v="6"/>
    <x v="0"/>
    <s v="Arizona"/>
    <x v="4"/>
    <n v="69"/>
    <n v="3"/>
    <n v="207"/>
    <n v="5"/>
  </r>
  <r>
    <s v="0636"/>
    <d v="2021-07-12T00:00:00"/>
    <n v="16"/>
    <s v="Company P"/>
    <x v="6"/>
    <x v="0"/>
    <s v="Arizona"/>
    <x v="4"/>
    <n v="69"/>
    <n v="5"/>
    <n v="345"/>
    <n v="5"/>
  </r>
  <r>
    <s v="0645"/>
    <d v="2021-07-16T00:00:00"/>
    <n v="1"/>
    <s v="Company A"/>
    <x v="2"/>
    <x v="0"/>
    <s v="Texas"/>
    <x v="4"/>
    <n v="69"/>
    <n v="9"/>
    <n v="621"/>
    <n v="2"/>
  </r>
  <r>
    <s v="0654"/>
    <d v="2021-07-18T00:00:00"/>
    <n v="1"/>
    <s v="Company A"/>
    <x v="2"/>
    <x v="0"/>
    <s v="Texas"/>
    <x v="4"/>
    <n v="69"/>
    <n v="0"/>
    <n v="0"/>
    <n v="2"/>
  </r>
  <r>
    <s v="0657"/>
    <d v="2021-07-18T00:00:00"/>
    <n v="6"/>
    <s v="Company F"/>
    <x v="1"/>
    <x v="1"/>
    <s v="California"/>
    <x v="4"/>
    <n v="69"/>
    <n v="3"/>
    <n v="207"/>
    <n v="4"/>
  </r>
  <r>
    <s v="0662"/>
    <d v="2021-07-20T00:00:00"/>
    <n v="9"/>
    <s v="Company I"/>
    <x v="1"/>
    <x v="1"/>
    <s v="California"/>
    <x v="4"/>
    <n v="69"/>
    <n v="2"/>
    <n v="138"/>
    <n v="4"/>
  </r>
  <r>
    <s v="0666"/>
    <d v="2021-07-22T00:00:00"/>
    <n v="13"/>
    <s v="Company M"/>
    <x v="5"/>
    <x v="1"/>
    <s v="New Mexico"/>
    <x v="4"/>
    <n v="69"/>
    <n v="0"/>
    <n v="0"/>
    <n v="6"/>
  </r>
  <r>
    <s v="0667"/>
    <d v="2021-07-23T00:00:00"/>
    <n v="14"/>
    <s v="Company N"/>
    <x v="5"/>
    <x v="1"/>
    <s v="New Mexico"/>
    <x v="4"/>
    <n v="69"/>
    <n v="8"/>
    <n v="552"/>
    <n v="6"/>
  </r>
  <r>
    <s v="0668"/>
    <d v="2021-07-24T00:00:00"/>
    <n v="10"/>
    <s v="Company J"/>
    <x v="7"/>
    <x v="3"/>
    <s v="California"/>
    <x v="4"/>
    <n v="69"/>
    <n v="2"/>
    <n v="138"/>
    <n v="8"/>
  </r>
  <r>
    <s v="0676"/>
    <d v="2021-07-26T00:00:00"/>
    <n v="15"/>
    <s v="Company O"/>
    <x v="3"/>
    <x v="2"/>
    <s v="New Mexico"/>
    <x v="4"/>
    <n v="69"/>
    <n v="4"/>
    <n v="276"/>
    <n v="5"/>
  </r>
  <r>
    <s v="0678"/>
    <d v="2021-07-26T00:00:00"/>
    <n v="18"/>
    <s v="Company R"/>
    <x v="0"/>
    <x v="0"/>
    <s v="Arizona"/>
    <x v="4"/>
    <n v="69"/>
    <n v="6"/>
    <n v="414"/>
    <n v="3"/>
  </r>
  <r>
    <s v="0680"/>
    <d v="2021-07-26T00:00:00"/>
    <n v="13"/>
    <s v="Company M"/>
    <x v="3"/>
    <x v="2"/>
    <s v="New Mexico"/>
    <x v="4"/>
    <n v="69"/>
    <n v="3"/>
    <n v="207"/>
    <n v="5"/>
  </r>
  <r>
    <s v="0681"/>
    <d v="2021-07-26T00:00:00"/>
    <n v="3"/>
    <s v="Company C"/>
    <x v="4"/>
    <x v="2"/>
    <s v="Texas"/>
    <x v="4"/>
    <n v="69"/>
    <n v="4"/>
    <n v="276"/>
    <n v="2"/>
  </r>
  <r>
    <s v="0686"/>
    <d v="2021-07-27T00:00:00"/>
    <n v="1"/>
    <s v="Company A"/>
    <x v="4"/>
    <x v="2"/>
    <s v="Texas"/>
    <x v="4"/>
    <n v="69"/>
    <n v="1"/>
    <n v="69"/>
    <n v="2"/>
  </r>
  <r>
    <s v="0687"/>
    <d v="2021-07-27T00:00:00"/>
    <n v="15"/>
    <s v="Company O"/>
    <x v="5"/>
    <x v="1"/>
    <s v="New Mexico"/>
    <x v="4"/>
    <n v="69"/>
    <n v="0"/>
    <n v="0"/>
    <n v="6"/>
  </r>
  <r>
    <s v="0716"/>
    <d v="2021-08-05T00:00:00"/>
    <n v="4"/>
    <s v="Company D"/>
    <x v="2"/>
    <x v="0"/>
    <s v="Texas"/>
    <x v="4"/>
    <n v="69"/>
    <n v="8"/>
    <n v="552"/>
    <n v="2"/>
  </r>
  <r>
    <s v="0727"/>
    <d v="2021-08-08T00:00:00"/>
    <n v="17"/>
    <s v="Company Q"/>
    <x v="0"/>
    <x v="0"/>
    <s v="Arizona"/>
    <x v="4"/>
    <n v="69"/>
    <n v="3"/>
    <n v="207"/>
    <n v="3"/>
  </r>
  <r>
    <s v="0739"/>
    <d v="2021-08-13T00:00:00"/>
    <n v="1"/>
    <s v="Company A"/>
    <x v="4"/>
    <x v="2"/>
    <s v="Texas"/>
    <x v="4"/>
    <n v="69"/>
    <n v="6"/>
    <n v="414"/>
    <n v="2"/>
  </r>
  <r>
    <s v="0743"/>
    <d v="2021-08-15T00:00:00"/>
    <n v="19"/>
    <s v="Company S"/>
    <x v="6"/>
    <x v="0"/>
    <s v="Arizona"/>
    <x v="4"/>
    <n v="69"/>
    <n v="9"/>
    <n v="621"/>
    <n v="5"/>
  </r>
  <r>
    <s v="0744"/>
    <d v="2021-08-16T00:00:00"/>
    <n v="12"/>
    <s v="Company L"/>
    <x v="5"/>
    <x v="1"/>
    <s v="New Mexico"/>
    <x v="4"/>
    <n v="69"/>
    <n v="5"/>
    <n v="345"/>
    <n v="6"/>
  </r>
  <r>
    <s v="0763"/>
    <d v="2021-08-21T00:00:00"/>
    <n v="17"/>
    <s v="Company Q"/>
    <x v="6"/>
    <x v="0"/>
    <s v="Arizona"/>
    <x v="4"/>
    <n v="69"/>
    <n v="8"/>
    <n v="552"/>
    <n v="5"/>
  </r>
  <r>
    <s v="0773"/>
    <d v="2021-08-26T00:00:00"/>
    <n v="20"/>
    <s v="Company T"/>
    <x v="0"/>
    <x v="0"/>
    <s v="Arizona"/>
    <x v="4"/>
    <n v="69"/>
    <n v="0"/>
    <n v="0"/>
    <n v="3"/>
  </r>
  <r>
    <s v="0774"/>
    <d v="2021-08-26T00:00:00"/>
    <n v="15"/>
    <s v="Company O"/>
    <x v="3"/>
    <x v="2"/>
    <s v="New Mexico"/>
    <x v="4"/>
    <n v="69"/>
    <n v="2"/>
    <n v="138"/>
    <n v="5"/>
  </r>
  <r>
    <s v="0781"/>
    <d v="2021-08-28T00:00:00"/>
    <n v="11"/>
    <s v="Company K"/>
    <x v="5"/>
    <x v="1"/>
    <s v="New Mexico"/>
    <x v="4"/>
    <n v="69"/>
    <n v="6"/>
    <n v="414"/>
    <n v="6"/>
  </r>
  <r>
    <s v="0787"/>
    <d v="2021-08-30T00:00:00"/>
    <n v="14"/>
    <s v="Company N"/>
    <x v="3"/>
    <x v="2"/>
    <s v="New Mexico"/>
    <x v="4"/>
    <n v="69"/>
    <n v="1"/>
    <n v="69"/>
    <n v="5"/>
  </r>
  <r>
    <s v="0797"/>
    <d v="2021-09-02T00:00:00"/>
    <n v="4"/>
    <s v="Company D"/>
    <x v="4"/>
    <x v="2"/>
    <s v="Texas"/>
    <x v="4"/>
    <n v="69"/>
    <n v="2"/>
    <n v="138"/>
    <n v="2"/>
  </r>
  <r>
    <s v="0798"/>
    <d v="2021-09-02T00:00:00"/>
    <n v="20"/>
    <s v="Company T"/>
    <x v="0"/>
    <x v="0"/>
    <s v="Arizona"/>
    <x v="4"/>
    <n v="69"/>
    <n v="6"/>
    <n v="414"/>
    <n v="3"/>
  </r>
  <r>
    <s v="0804"/>
    <d v="2021-09-04T00:00:00"/>
    <n v="16"/>
    <s v="Company P"/>
    <x v="6"/>
    <x v="0"/>
    <s v="Arizona"/>
    <x v="4"/>
    <n v="69"/>
    <n v="1"/>
    <n v="69"/>
    <n v="5"/>
  </r>
  <r>
    <s v="0808"/>
    <d v="2021-09-06T00:00:00"/>
    <n v="13"/>
    <s v="Company M"/>
    <x v="5"/>
    <x v="1"/>
    <s v="New Mexico"/>
    <x v="4"/>
    <n v="69"/>
    <n v="5"/>
    <n v="345"/>
    <n v="6"/>
  </r>
  <r>
    <s v="0810"/>
    <d v="2021-09-06T00:00:00"/>
    <n v="15"/>
    <s v="Company O"/>
    <x v="3"/>
    <x v="2"/>
    <s v="New Mexico"/>
    <x v="4"/>
    <n v="69"/>
    <n v="5"/>
    <n v="345"/>
    <n v="5"/>
  </r>
  <r>
    <s v="0811"/>
    <d v="2021-09-06T00:00:00"/>
    <n v="14"/>
    <s v="Company N"/>
    <x v="3"/>
    <x v="2"/>
    <s v="New Mexico"/>
    <x v="4"/>
    <n v="69"/>
    <n v="9"/>
    <n v="621"/>
    <n v="5"/>
  </r>
  <r>
    <s v="0817"/>
    <d v="2021-09-08T00:00:00"/>
    <n v="20"/>
    <s v="Company T"/>
    <x v="6"/>
    <x v="0"/>
    <s v="Arizona"/>
    <x v="4"/>
    <n v="69"/>
    <n v="5"/>
    <n v="345"/>
    <n v="5"/>
  </r>
  <r>
    <s v="0823"/>
    <d v="2021-09-10T00:00:00"/>
    <n v="11"/>
    <s v="Company K"/>
    <x v="5"/>
    <x v="1"/>
    <s v="New Mexico"/>
    <x v="4"/>
    <n v="69"/>
    <n v="8"/>
    <n v="552"/>
    <n v="6"/>
  </r>
  <r>
    <s v="0829"/>
    <d v="2021-09-12T00:00:00"/>
    <n v="14"/>
    <s v="Company N"/>
    <x v="3"/>
    <x v="2"/>
    <s v="New Mexico"/>
    <x v="4"/>
    <n v="69"/>
    <n v="4"/>
    <n v="276"/>
    <n v="5"/>
  </r>
  <r>
    <s v="0834"/>
    <d v="2021-09-15T00:00:00"/>
    <n v="6"/>
    <s v="Company F"/>
    <x v="1"/>
    <x v="1"/>
    <s v="California"/>
    <x v="4"/>
    <n v="69"/>
    <n v="6"/>
    <n v="414"/>
    <n v="4"/>
  </r>
  <r>
    <s v="0836"/>
    <d v="2021-09-16T00:00:00"/>
    <n v="5"/>
    <s v="Company E"/>
    <x v="2"/>
    <x v="0"/>
    <s v="Texas"/>
    <x v="4"/>
    <n v="69"/>
    <n v="6"/>
    <n v="414"/>
    <n v="2"/>
  </r>
  <r>
    <s v="0858"/>
    <d v="2021-09-24T00:00:00"/>
    <n v="17"/>
    <s v="Company Q"/>
    <x v="6"/>
    <x v="0"/>
    <s v="Arizona"/>
    <x v="4"/>
    <n v="69"/>
    <n v="5"/>
    <n v="345"/>
    <n v="5"/>
  </r>
  <r>
    <s v="0862"/>
    <d v="2021-09-25T00:00:00"/>
    <n v="17"/>
    <s v="Company Q"/>
    <x v="6"/>
    <x v="0"/>
    <s v="Arizona"/>
    <x v="4"/>
    <n v="69"/>
    <n v="8"/>
    <n v="552"/>
    <n v="5"/>
  </r>
  <r>
    <s v="0865"/>
    <d v="2021-09-26T00:00:00"/>
    <n v="16"/>
    <s v="Company P"/>
    <x v="6"/>
    <x v="0"/>
    <s v="Arizona"/>
    <x v="4"/>
    <n v="69"/>
    <n v="6"/>
    <n v="414"/>
    <n v="5"/>
  </r>
  <r>
    <s v="0866"/>
    <d v="2021-09-26T00:00:00"/>
    <n v="19"/>
    <s v="Company S"/>
    <x v="0"/>
    <x v="0"/>
    <s v="Arizona"/>
    <x v="4"/>
    <n v="69"/>
    <n v="2"/>
    <n v="138"/>
    <n v="3"/>
  </r>
  <r>
    <s v="0868"/>
    <d v="2021-09-27T00:00:00"/>
    <n v="9"/>
    <s v="Company I"/>
    <x v="1"/>
    <x v="1"/>
    <s v="California"/>
    <x v="4"/>
    <n v="69"/>
    <n v="7"/>
    <n v="483"/>
    <n v="4"/>
  </r>
  <r>
    <s v="0871"/>
    <d v="2021-09-28T00:00:00"/>
    <n v="9"/>
    <s v="Company I"/>
    <x v="1"/>
    <x v="1"/>
    <s v="California"/>
    <x v="4"/>
    <n v="69"/>
    <n v="6"/>
    <n v="414"/>
    <n v="4"/>
  </r>
  <r>
    <s v="0875"/>
    <d v="2021-09-29T00:00:00"/>
    <n v="4"/>
    <s v="Company D"/>
    <x v="4"/>
    <x v="2"/>
    <s v="Texas"/>
    <x v="4"/>
    <n v="69"/>
    <n v="6"/>
    <n v="414"/>
    <n v="2"/>
  </r>
  <r>
    <s v="0893"/>
    <d v="2021-10-05T00:00:00"/>
    <n v="5"/>
    <s v="Company E"/>
    <x v="4"/>
    <x v="2"/>
    <s v="Texas"/>
    <x v="4"/>
    <n v="69"/>
    <n v="3"/>
    <n v="207"/>
    <n v="2"/>
  </r>
  <r>
    <s v="0911"/>
    <d v="2021-10-13T00:00:00"/>
    <n v="18"/>
    <s v="Company R"/>
    <x v="6"/>
    <x v="0"/>
    <s v="Arizona"/>
    <x v="4"/>
    <n v="69"/>
    <n v="9"/>
    <n v="621"/>
    <n v="5"/>
  </r>
  <r>
    <s v="0915"/>
    <d v="2021-10-14T00:00:00"/>
    <n v="3"/>
    <s v="Company C"/>
    <x v="2"/>
    <x v="0"/>
    <s v="Texas"/>
    <x v="4"/>
    <n v="69"/>
    <n v="2"/>
    <n v="138"/>
    <n v="2"/>
  </r>
  <r>
    <s v="0917"/>
    <d v="2021-10-15T00:00:00"/>
    <n v="18"/>
    <s v="Company R"/>
    <x v="0"/>
    <x v="0"/>
    <s v="Arizona"/>
    <x v="4"/>
    <n v="69"/>
    <n v="2"/>
    <n v="138"/>
    <n v="3"/>
  </r>
  <r>
    <s v="0936"/>
    <d v="2021-10-20T00:00:00"/>
    <n v="2"/>
    <s v="Company B"/>
    <x v="2"/>
    <x v="0"/>
    <s v="Texas"/>
    <x v="4"/>
    <n v="69"/>
    <n v="8"/>
    <n v="552"/>
    <n v="2"/>
  </r>
  <r>
    <s v="0937"/>
    <d v="2021-10-21T00:00:00"/>
    <n v="17"/>
    <s v="Company Q"/>
    <x v="6"/>
    <x v="0"/>
    <s v="Arizona"/>
    <x v="4"/>
    <n v="69"/>
    <n v="5"/>
    <n v="345"/>
    <n v="5"/>
  </r>
  <r>
    <s v="0947"/>
    <d v="2021-10-25T00:00:00"/>
    <n v="15"/>
    <s v="Company O"/>
    <x v="3"/>
    <x v="2"/>
    <s v="New Mexico"/>
    <x v="4"/>
    <n v="69"/>
    <n v="4"/>
    <n v="276"/>
    <n v="5"/>
  </r>
  <r>
    <s v="0950"/>
    <d v="2021-10-26T00:00:00"/>
    <n v="20"/>
    <s v="Company T"/>
    <x v="6"/>
    <x v="0"/>
    <s v="Arizona"/>
    <x v="4"/>
    <n v="69"/>
    <n v="8"/>
    <n v="552"/>
    <n v="5"/>
  </r>
  <r>
    <s v="0959"/>
    <d v="2021-10-29T00:00:00"/>
    <n v="2"/>
    <s v="Company B"/>
    <x v="2"/>
    <x v="0"/>
    <s v="Texas"/>
    <x v="4"/>
    <n v="69"/>
    <n v="6"/>
    <n v="414"/>
    <n v="2"/>
  </r>
  <r>
    <s v="0960"/>
    <d v="2021-10-29T00:00:00"/>
    <n v="9"/>
    <s v="Company I"/>
    <x v="7"/>
    <x v="3"/>
    <s v="California"/>
    <x v="4"/>
    <n v="69"/>
    <n v="6"/>
    <n v="414"/>
    <n v="8"/>
  </r>
  <r>
    <s v="0961"/>
    <d v="2021-10-29T00:00:00"/>
    <n v="18"/>
    <s v="Company R"/>
    <x v="0"/>
    <x v="0"/>
    <s v="Arizona"/>
    <x v="4"/>
    <n v="69"/>
    <n v="3"/>
    <n v="207"/>
    <n v="3"/>
  </r>
  <r>
    <s v="0962"/>
    <d v="2021-10-29T00:00:00"/>
    <n v="9"/>
    <s v="Company I"/>
    <x v="7"/>
    <x v="3"/>
    <s v="California"/>
    <x v="4"/>
    <n v="69"/>
    <n v="2"/>
    <n v="138"/>
    <n v="8"/>
  </r>
  <r>
    <s v="0968"/>
    <d v="2021-10-30T00:00:00"/>
    <n v="19"/>
    <s v="Company S"/>
    <x v="6"/>
    <x v="0"/>
    <s v="Arizona"/>
    <x v="4"/>
    <n v="69"/>
    <n v="3"/>
    <n v="207"/>
    <n v="5"/>
  </r>
  <r>
    <s v="0974"/>
    <d v="2021-11-04T00:00:00"/>
    <n v="1"/>
    <s v="Company A"/>
    <x v="2"/>
    <x v="0"/>
    <s v="Texas"/>
    <x v="4"/>
    <n v="69"/>
    <n v="7"/>
    <n v="483"/>
    <n v="2"/>
  </r>
  <r>
    <s v="0976"/>
    <d v="2021-11-04T00:00:00"/>
    <n v="2"/>
    <s v="Company B"/>
    <x v="4"/>
    <x v="2"/>
    <s v="Texas"/>
    <x v="4"/>
    <n v="69"/>
    <n v="1"/>
    <n v="69"/>
    <n v="2"/>
  </r>
  <r>
    <s v="0979"/>
    <d v="2021-11-07T00:00:00"/>
    <n v="16"/>
    <s v="Company P"/>
    <x v="6"/>
    <x v="0"/>
    <s v="Arizona"/>
    <x v="4"/>
    <n v="69"/>
    <n v="9"/>
    <n v="621"/>
    <n v="5"/>
  </r>
  <r>
    <s v="0984"/>
    <d v="2021-11-08T00:00:00"/>
    <n v="12"/>
    <s v="Company L"/>
    <x v="3"/>
    <x v="2"/>
    <s v="New Mexico"/>
    <x v="4"/>
    <n v="69"/>
    <n v="0"/>
    <n v="0"/>
    <n v="5"/>
  </r>
  <r>
    <s v="0995"/>
    <d v="2021-11-11T00:00:00"/>
    <n v="10"/>
    <s v="Company J"/>
    <x v="7"/>
    <x v="3"/>
    <s v="California"/>
    <x v="4"/>
    <n v="69"/>
    <n v="1"/>
    <n v="69"/>
    <n v="8"/>
  </r>
  <r>
    <s v="1013"/>
    <d v="2021-11-17T00:00:00"/>
    <n v="9"/>
    <s v="Company I"/>
    <x v="1"/>
    <x v="1"/>
    <s v="California"/>
    <x v="4"/>
    <n v="69"/>
    <n v="8"/>
    <n v="552"/>
    <n v="4"/>
  </r>
  <r>
    <s v="1020"/>
    <d v="2021-11-21T00:00:00"/>
    <n v="20"/>
    <s v="Company T"/>
    <x v="0"/>
    <x v="0"/>
    <s v="Arizona"/>
    <x v="4"/>
    <n v="69"/>
    <n v="9"/>
    <n v="621"/>
    <n v="3"/>
  </r>
  <r>
    <s v="1024"/>
    <d v="2021-11-22T00:00:00"/>
    <n v="15"/>
    <s v="Company O"/>
    <x v="5"/>
    <x v="1"/>
    <s v="New Mexico"/>
    <x v="4"/>
    <n v="69"/>
    <n v="7"/>
    <n v="483"/>
    <n v="6"/>
  </r>
  <r>
    <s v="1027"/>
    <d v="2021-11-22T00:00:00"/>
    <n v="3"/>
    <s v="Company C"/>
    <x v="4"/>
    <x v="2"/>
    <s v="Texas"/>
    <x v="4"/>
    <n v="69"/>
    <n v="5"/>
    <n v="345"/>
    <n v="2"/>
  </r>
  <r>
    <s v="1033"/>
    <d v="2021-11-23T00:00:00"/>
    <n v="15"/>
    <s v="Company O"/>
    <x v="3"/>
    <x v="2"/>
    <s v="New Mexico"/>
    <x v="4"/>
    <n v="69"/>
    <n v="7"/>
    <n v="483"/>
    <n v="5"/>
  </r>
  <r>
    <s v="1043"/>
    <d v="2021-11-24T00:00:00"/>
    <n v="3"/>
    <s v="Company C"/>
    <x v="4"/>
    <x v="2"/>
    <s v="Texas"/>
    <x v="4"/>
    <n v="69"/>
    <n v="4"/>
    <n v="276"/>
    <n v="2"/>
  </r>
  <r>
    <s v="1051"/>
    <d v="2021-11-27T00:00:00"/>
    <n v="1"/>
    <s v="Company A"/>
    <x v="4"/>
    <x v="2"/>
    <s v="Texas"/>
    <x v="4"/>
    <n v="69"/>
    <n v="9"/>
    <n v="621"/>
    <n v="2"/>
  </r>
  <r>
    <s v="1052"/>
    <d v="2021-11-28T00:00:00"/>
    <n v="10"/>
    <s v="Company J"/>
    <x v="7"/>
    <x v="3"/>
    <s v="California"/>
    <x v="4"/>
    <n v="69"/>
    <n v="7"/>
    <n v="483"/>
    <n v="8"/>
  </r>
  <r>
    <s v="1053"/>
    <d v="2021-11-28T00:00:00"/>
    <n v="15"/>
    <s v="Company O"/>
    <x v="5"/>
    <x v="1"/>
    <s v="New Mexico"/>
    <x v="4"/>
    <n v="69"/>
    <n v="1"/>
    <n v="69"/>
    <n v="6"/>
  </r>
  <r>
    <s v="1066"/>
    <d v="2021-12-04T00:00:00"/>
    <n v="2"/>
    <s v="Company B"/>
    <x v="2"/>
    <x v="0"/>
    <s v="Texas"/>
    <x v="4"/>
    <n v="69"/>
    <n v="7"/>
    <n v="483"/>
    <n v="2"/>
  </r>
  <r>
    <s v="1072"/>
    <d v="2021-12-07T00:00:00"/>
    <n v="4"/>
    <s v="Company D"/>
    <x v="2"/>
    <x v="0"/>
    <s v="Texas"/>
    <x v="4"/>
    <n v="69"/>
    <n v="7"/>
    <n v="483"/>
    <n v="2"/>
  </r>
  <r>
    <s v="1074"/>
    <d v="2021-12-08T00:00:00"/>
    <n v="10"/>
    <s v="Company J"/>
    <x v="7"/>
    <x v="3"/>
    <s v="California"/>
    <x v="4"/>
    <n v="69"/>
    <n v="7"/>
    <n v="483"/>
    <n v="8"/>
  </r>
  <r>
    <s v="1075"/>
    <d v="2021-12-08T00:00:00"/>
    <n v="4"/>
    <s v="Company D"/>
    <x v="2"/>
    <x v="0"/>
    <s v="Texas"/>
    <x v="4"/>
    <n v="69"/>
    <n v="5"/>
    <n v="345"/>
    <n v="2"/>
  </r>
  <r>
    <s v="1079"/>
    <d v="2021-12-11T00:00:00"/>
    <n v="10"/>
    <s v="Company J"/>
    <x v="7"/>
    <x v="3"/>
    <s v="California"/>
    <x v="4"/>
    <n v="69"/>
    <n v="6"/>
    <n v="414"/>
    <n v="8"/>
  </r>
  <r>
    <s v="1086"/>
    <d v="2021-12-13T00:00:00"/>
    <n v="11"/>
    <s v="Company K"/>
    <x v="5"/>
    <x v="1"/>
    <s v="New Mexico"/>
    <x v="4"/>
    <n v="69"/>
    <n v="1"/>
    <n v="69"/>
    <n v="6"/>
  </r>
  <r>
    <s v="1087"/>
    <d v="2021-12-13T00:00:00"/>
    <n v="3"/>
    <s v="Company C"/>
    <x v="2"/>
    <x v="0"/>
    <s v="Texas"/>
    <x v="4"/>
    <n v="69"/>
    <n v="5"/>
    <n v="345"/>
    <n v="2"/>
  </r>
  <r>
    <s v="1094"/>
    <d v="2021-12-16T00:00:00"/>
    <n v="5"/>
    <s v="Company E"/>
    <x v="4"/>
    <x v="2"/>
    <s v="Texas"/>
    <x v="4"/>
    <n v="69"/>
    <n v="1"/>
    <n v="69"/>
    <n v="2"/>
  </r>
  <r>
    <s v="1097"/>
    <d v="2021-12-17T00:00:00"/>
    <n v="1"/>
    <s v="Company A"/>
    <x v="2"/>
    <x v="0"/>
    <s v="Texas"/>
    <x v="4"/>
    <n v="69"/>
    <n v="6"/>
    <n v="414"/>
    <n v="2"/>
  </r>
  <r>
    <s v="1099"/>
    <d v="2021-12-18T00:00:00"/>
    <n v="3"/>
    <s v="Company C"/>
    <x v="2"/>
    <x v="0"/>
    <s v="Texas"/>
    <x v="4"/>
    <n v="69"/>
    <n v="2"/>
    <n v="138"/>
    <n v="2"/>
  </r>
  <r>
    <s v="1101"/>
    <d v="2021-12-18T00:00:00"/>
    <n v="8"/>
    <s v="Company H"/>
    <x v="7"/>
    <x v="3"/>
    <s v="California"/>
    <x v="4"/>
    <n v="69"/>
    <n v="9"/>
    <n v="621"/>
    <n v="8"/>
  </r>
  <r>
    <s v="1112"/>
    <d v="2021-12-20T00:00:00"/>
    <n v="10"/>
    <s v="Company J"/>
    <x v="7"/>
    <x v="3"/>
    <s v="California"/>
    <x v="4"/>
    <n v="69"/>
    <n v="6"/>
    <n v="414"/>
    <n v="8"/>
  </r>
  <r>
    <s v="1113"/>
    <d v="2021-12-20T00:00:00"/>
    <n v="19"/>
    <s v="Company S"/>
    <x v="6"/>
    <x v="0"/>
    <s v="Arizona"/>
    <x v="4"/>
    <n v="69"/>
    <n v="7"/>
    <n v="483"/>
    <n v="5"/>
  </r>
  <r>
    <s v="1114"/>
    <d v="2021-12-20T00:00:00"/>
    <n v="13"/>
    <s v="Company M"/>
    <x v="3"/>
    <x v="2"/>
    <s v="New Mexico"/>
    <x v="4"/>
    <n v="69"/>
    <n v="8"/>
    <n v="552"/>
    <n v="5"/>
  </r>
  <r>
    <s v="1125"/>
    <d v="2021-12-23T00:00:00"/>
    <n v="19"/>
    <s v="Company S"/>
    <x v="6"/>
    <x v="0"/>
    <s v="Arizona"/>
    <x v="4"/>
    <n v="69"/>
    <n v="5"/>
    <n v="345"/>
    <n v="5"/>
  </r>
  <r>
    <s v="1131"/>
    <d v="2021-12-25T00:00:00"/>
    <n v="4"/>
    <s v="Company D"/>
    <x v="4"/>
    <x v="2"/>
    <s v="Texas"/>
    <x v="4"/>
    <n v="69"/>
    <n v="7"/>
    <n v="483"/>
    <n v="2"/>
  </r>
  <r>
    <s v="1133"/>
    <d v="2021-12-25T00:00:00"/>
    <n v="8"/>
    <s v="Company H"/>
    <x v="1"/>
    <x v="1"/>
    <s v="California"/>
    <x v="4"/>
    <n v="69"/>
    <n v="2"/>
    <n v="138"/>
    <n v="4"/>
  </r>
  <r>
    <s v="1143"/>
    <d v="2021-12-28T00:00:00"/>
    <n v="17"/>
    <s v="Company Q"/>
    <x v="6"/>
    <x v="0"/>
    <s v="Arizona"/>
    <x v="4"/>
    <n v="69"/>
    <n v="6"/>
    <n v="414"/>
    <n v="5"/>
  </r>
  <r>
    <s v="1152"/>
    <d v="2022-01-03T00:00:00"/>
    <n v="1"/>
    <s v="Company A"/>
    <x v="4"/>
    <x v="2"/>
    <s v="Texas"/>
    <x v="4"/>
    <n v="69"/>
    <n v="7"/>
    <n v="483"/>
    <n v="2"/>
  </r>
  <r>
    <s v="1154"/>
    <d v="2022-01-05T00:00:00"/>
    <n v="4"/>
    <s v="Company D"/>
    <x v="4"/>
    <x v="2"/>
    <s v="Texas"/>
    <x v="4"/>
    <n v="69"/>
    <n v="1"/>
    <n v="69"/>
    <n v="2"/>
  </r>
  <r>
    <s v="1155"/>
    <d v="2022-01-05T00:00:00"/>
    <n v="12"/>
    <s v="Company L"/>
    <x v="3"/>
    <x v="2"/>
    <s v="New Mexico"/>
    <x v="4"/>
    <n v="69"/>
    <n v="5"/>
    <n v="345"/>
    <n v="5"/>
  </r>
  <r>
    <s v="1157"/>
    <d v="2022-01-05T00:00:00"/>
    <n v="17"/>
    <s v="Company Q"/>
    <x v="6"/>
    <x v="0"/>
    <s v="Arizona"/>
    <x v="4"/>
    <n v="69"/>
    <n v="6"/>
    <n v="414"/>
    <n v="5"/>
  </r>
  <r>
    <s v="1164"/>
    <d v="2022-01-07T00:00:00"/>
    <n v="7"/>
    <s v="Company G"/>
    <x v="7"/>
    <x v="3"/>
    <s v="California"/>
    <x v="4"/>
    <n v="69"/>
    <n v="6"/>
    <n v="414"/>
    <n v="8"/>
  </r>
  <r>
    <s v="1167"/>
    <d v="2022-01-08T00:00:00"/>
    <n v="13"/>
    <s v="Company M"/>
    <x v="5"/>
    <x v="1"/>
    <s v="New Mexico"/>
    <x v="4"/>
    <n v="69"/>
    <n v="9"/>
    <n v="621"/>
    <n v="6"/>
  </r>
  <r>
    <s v="1169"/>
    <d v="2022-01-08T00:00:00"/>
    <n v="13"/>
    <s v="Company M"/>
    <x v="5"/>
    <x v="1"/>
    <s v="New Mexico"/>
    <x v="4"/>
    <n v="69"/>
    <n v="6"/>
    <n v="414"/>
    <n v="6"/>
  </r>
  <r>
    <s v="1175"/>
    <d v="2022-01-12T00:00:00"/>
    <n v="16"/>
    <s v="Company P"/>
    <x v="0"/>
    <x v="0"/>
    <s v="Arizona"/>
    <x v="4"/>
    <n v="69"/>
    <n v="1"/>
    <n v="69"/>
    <n v="3"/>
  </r>
  <r>
    <s v="1176"/>
    <d v="2022-01-12T00:00:00"/>
    <n v="8"/>
    <s v="Company H"/>
    <x v="7"/>
    <x v="3"/>
    <s v="California"/>
    <x v="4"/>
    <n v="69"/>
    <n v="1"/>
    <n v="69"/>
    <n v="8"/>
  </r>
  <r>
    <s v="1180"/>
    <d v="2022-01-12T00:00:00"/>
    <n v="14"/>
    <s v="Company N"/>
    <x v="3"/>
    <x v="2"/>
    <s v="New Mexico"/>
    <x v="4"/>
    <n v="69"/>
    <n v="8"/>
    <n v="552"/>
    <n v="5"/>
  </r>
  <r>
    <s v="1189"/>
    <d v="2022-01-13T00:00:00"/>
    <n v="12"/>
    <s v="Company L"/>
    <x v="3"/>
    <x v="2"/>
    <s v="New Mexico"/>
    <x v="4"/>
    <n v="69"/>
    <n v="4"/>
    <n v="276"/>
    <n v="5"/>
  </r>
  <r>
    <s v="1193"/>
    <d v="2022-01-14T00:00:00"/>
    <n v="3"/>
    <s v="Company C"/>
    <x v="4"/>
    <x v="2"/>
    <s v="Texas"/>
    <x v="4"/>
    <n v="69"/>
    <n v="0"/>
    <n v="0"/>
    <n v="2"/>
  </r>
  <r>
    <s v="1198"/>
    <d v="2022-01-16T00:00:00"/>
    <n v="16"/>
    <s v="Company P"/>
    <x v="0"/>
    <x v="0"/>
    <s v="Arizona"/>
    <x v="4"/>
    <n v="69"/>
    <n v="9"/>
    <n v="621"/>
    <n v="3"/>
  </r>
  <r>
    <s v="1199"/>
    <d v="2022-01-16T00:00:00"/>
    <n v="16"/>
    <s v="Company P"/>
    <x v="0"/>
    <x v="0"/>
    <s v="Arizona"/>
    <x v="4"/>
    <n v="69"/>
    <n v="5"/>
    <n v="345"/>
    <n v="3"/>
  </r>
  <r>
    <s v="1200"/>
    <d v="2022-01-16T00:00:00"/>
    <n v="16"/>
    <s v="Company P"/>
    <x v="6"/>
    <x v="0"/>
    <s v="Arizona"/>
    <x v="4"/>
    <n v="69"/>
    <n v="2"/>
    <n v="138"/>
    <n v="5"/>
  </r>
  <r>
    <s v="1201"/>
    <d v="2022-01-17T00:00:00"/>
    <n v="16"/>
    <s v="Company P"/>
    <x v="6"/>
    <x v="0"/>
    <s v="Arizona"/>
    <x v="4"/>
    <n v="69"/>
    <n v="1"/>
    <n v="69"/>
    <n v="5"/>
  </r>
  <r>
    <s v="1204"/>
    <d v="2022-01-17T00:00:00"/>
    <n v="5"/>
    <s v="Company E"/>
    <x v="2"/>
    <x v="0"/>
    <s v="Texas"/>
    <x v="4"/>
    <n v="69"/>
    <n v="3"/>
    <n v="207"/>
    <n v="2"/>
  </r>
  <r>
    <s v="1206"/>
    <d v="2022-01-17T00:00:00"/>
    <n v="17"/>
    <s v="Company Q"/>
    <x v="6"/>
    <x v="0"/>
    <s v="Arizona"/>
    <x v="4"/>
    <n v="69"/>
    <n v="6"/>
    <n v="414"/>
    <n v="5"/>
  </r>
  <r>
    <s v="1213"/>
    <d v="2022-01-20T00:00:00"/>
    <n v="16"/>
    <s v="Company P"/>
    <x v="6"/>
    <x v="0"/>
    <s v="Arizona"/>
    <x v="4"/>
    <n v="69"/>
    <n v="2"/>
    <n v="138"/>
    <n v="5"/>
  </r>
  <r>
    <s v="1215"/>
    <d v="2022-01-21T00:00:00"/>
    <n v="4"/>
    <s v="Company D"/>
    <x v="2"/>
    <x v="0"/>
    <s v="Texas"/>
    <x v="4"/>
    <n v="69"/>
    <n v="6"/>
    <n v="414"/>
    <n v="2"/>
  </r>
  <r>
    <s v="1218"/>
    <d v="2022-01-22T00:00:00"/>
    <n v="12"/>
    <s v="Company L"/>
    <x v="3"/>
    <x v="2"/>
    <s v="New Mexico"/>
    <x v="4"/>
    <n v="69"/>
    <n v="7"/>
    <n v="483"/>
    <n v="5"/>
  </r>
  <r>
    <s v="1231"/>
    <d v="2022-01-28T00:00:00"/>
    <n v="2"/>
    <s v="Company B"/>
    <x v="4"/>
    <x v="2"/>
    <s v="Texas"/>
    <x v="4"/>
    <n v="69"/>
    <n v="3"/>
    <n v="207"/>
    <n v="2"/>
  </r>
  <r>
    <s v="1233"/>
    <d v="2022-01-28T00:00:00"/>
    <n v="5"/>
    <s v="Company E"/>
    <x v="2"/>
    <x v="0"/>
    <s v="Texas"/>
    <x v="4"/>
    <n v="69"/>
    <n v="2"/>
    <n v="138"/>
    <n v="2"/>
  </r>
  <r>
    <s v="1241"/>
    <d v="2022-02-03T00:00:00"/>
    <n v="6"/>
    <s v="Company F"/>
    <x v="1"/>
    <x v="1"/>
    <s v="California"/>
    <x v="4"/>
    <n v="69"/>
    <n v="5"/>
    <n v="345"/>
    <n v="4"/>
  </r>
  <r>
    <s v="1248"/>
    <d v="2022-02-05T00:00:00"/>
    <n v="11"/>
    <s v="Company K"/>
    <x v="3"/>
    <x v="2"/>
    <s v="New Mexico"/>
    <x v="4"/>
    <n v="69"/>
    <n v="4"/>
    <n v="276"/>
    <n v="5"/>
  </r>
  <r>
    <s v="1250"/>
    <d v="2022-02-05T00:00:00"/>
    <n v="3"/>
    <s v="Company C"/>
    <x v="2"/>
    <x v="0"/>
    <s v="Texas"/>
    <x v="4"/>
    <n v="69"/>
    <n v="6"/>
    <n v="414"/>
    <n v="2"/>
  </r>
  <r>
    <s v="1258"/>
    <d v="2022-02-08T00:00:00"/>
    <n v="11"/>
    <s v="Company K"/>
    <x v="3"/>
    <x v="2"/>
    <s v="New Mexico"/>
    <x v="4"/>
    <n v="69"/>
    <n v="6"/>
    <n v="414"/>
    <n v="5"/>
  </r>
  <r>
    <s v="1268"/>
    <d v="2022-02-14T00:00:00"/>
    <n v="2"/>
    <s v="Company B"/>
    <x v="2"/>
    <x v="0"/>
    <s v="Texas"/>
    <x v="4"/>
    <n v="69"/>
    <n v="9"/>
    <n v="621"/>
    <n v="2"/>
  </r>
  <r>
    <s v="1279"/>
    <d v="2022-02-19T00:00:00"/>
    <n v="17"/>
    <s v="Company Q"/>
    <x v="6"/>
    <x v="0"/>
    <s v="Arizona"/>
    <x v="4"/>
    <n v="69"/>
    <n v="4"/>
    <n v="276"/>
    <n v="5"/>
  </r>
  <r>
    <s v="1282"/>
    <d v="2022-02-19T00:00:00"/>
    <n v="6"/>
    <s v="Company F"/>
    <x v="7"/>
    <x v="3"/>
    <s v="California"/>
    <x v="4"/>
    <n v="69"/>
    <n v="8"/>
    <n v="552"/>
    <n v="8"/>
  </r>
  <r>
    <s v="1285"/>
    <d v="2022-02-19T00:00:00"/>
    <n v="2"/>
    <s v="Company B"/>
    <x v="4"/>
    <x v="2"/>
    <s v="Texas"/>
    <x v="4"/>
    <n v="69"/>
    <n v="8"/>
    <n v="552"/>
    <n v="2"/>
  </r>
  <r>
    <s v="1306"/>
    <d v="2022-02-23T00:00:00"/>
    <n v="7"/>
    <s v="Company G"/>
    <x v="7"/>
    <x v="3"/>
    <s v="California"/>
    <x v="4"/>
    <n v="69"/>
    <n v="5"/>
    <n v="345"/>
    <n v="8"/>
  </r>
  <r>
    <s v="1311"/>
    <d v="2022-02-25T00:00:00"/>
    <n v="4"/>
    <s v="Company D"/>
    <x v="4"/>
    <x v="2"/>
    <s v="Texas"/>
    <x v="4"/>
    <n v="69"/>
    <n v="4"/>
    <n v="276"/>
    <n v="2"/>
  </r>
  <r>
    <s v="1315"/>
    <d v="2022-02-26T00:00:00"/>
    <n v="12"/>
    <s v="Company L"/>
    <x v="5"/>
    <x v="1"/>
    <s v="New Mexico"/>
    <x v="4"/>
    <n v="69"/>
    <n v="8"/>
    <n v="552"/>
    <n v="6"/>
  </r>
  <r>
    <s v="1316"/>
    <d v="2022-02-26T00:00:00"/>
    <n v="1"/>
    <s v="Company A"/>
    <x v="2"/>
    <x v="0"/>
    <s v="Texas"/>
    <x v="4"/>
    <n v="69"/>
    <n v="9"/>
    <n v="621"/>
    <n v="2"/>
  </r>
  <r>
    <s v="1320"/>
    <d v="2022-02-27T00:00:00"/>
    <n v="8"/>
    <s v="Company H"/>
    <x v="7"/>
    <x v="3"/>
    <s v="California"/>
    <x v="4"/>
    <n v="69"/>
    <n v="4"/>
    <n v="276"/>
    <n v="8"/>
  </r>
  <r>
    <s v="1321"/>
    <d v="2022-02-28T00:00:00"/>
    <n v="10"/>
    <s v="Company J"/>
    <x v="7"/>
    <x v="3"/>
    <s v="California"/>
    <x v="4"/>
    <n v="69"/>
    <n v="9"/>
    <n v="621"/>
    <n v="8"/>
  </r>
  <r>
    <s v="1335"/>
    <d v="2022-03-06T00:00:00"/>
    <n v="18"/>
    <s v="Company R"/>
    <x v="6"/>
    <x v="0"/>
    <s v="Arizona"/>
    <x v="4"/>
    <n v="69"/>
    <n v="2"/>
    <n v="138"/>
    <n v="5"/>
  </r>
  <r>
    <s v="1339"/>
    <d v="2022-03-07T00:00:00"/>
    <n v="19"/>
    <s v="Company S"/>
    <x v="6"/>
    <x v="0"/>
    <s v="Arizona"/>
    <x v="4"/>
    <n v="69"/>
    <n v="7"/>
    <n v="483"/>
    <n v="5"/>
  </r>
  <r>
    <s v="1342"/>
    <d v="2022-03-07T00:00:00"/>
    <n v="17"/>
    <s v="Company Q"/>
    <x v="0"/>
    <x v="0"/>
    <s v="Arizona"/>
    <x v="4"/>
    <n v="69"/>
    <n v="0"/>
    <n v="0"/>
    <n v="3"/>
  </r>
  <r>
    <s v="1346"/>
    <d v="2022-03-08T00:00:00"/>
    <n v="11"/>
    <s v="Company K"/>
    <x v="3"/>
    <x v="2"/>
    <s v="New Mexico"/>
    <x v="4"/>
    <n v="69"/>
    <n v="7"/>
    <n v="483"/>
    <n v="5"/>
  </r>
  <r>
    <s v="1353"/>
    <d v="2022-03-10T00:00:00"/>
    <n v="6"/>
    <s v="Company F"/>
    <x v="1"/>
    <x v="1"/>
    <s v="California"/>
    <x v="4"/>
    <n v="69"/>
    <n v="5"/>
    <n v="345"/>
    <n v="4"/>
  </r>
  <r>
    <s v="1356"/>
    <d v="2022-03-11T00:00:00"/>
    <n v="7"/>
    <s v="Company G"/>
    <x v="7"/>
    <x v="3"/>
    <s v="California"/>
    <x v="4"/>
    <n v="69"/>
    <n v="1"/>
    <n v="69"/>
    <n v="8"/>
  </r>
  <r>
    <s v="1358"/>
    <d v="2022-03-11T00:00:00"/>
    <n v="13"/>
    <s v="Company M"/>
    <x v="5"/>
    <x v="1"/>
    <s v="New Mexico"/>
    <x v="4"/>
    <n v="69"/>
    <n v="2"/>
    <n v="138"/>
    <n v="6"/>
  </r>
  <r>
    <s v="1363"/>
    <d v="2022-03-11T00:00:00"/>
    <n v="2"/>
    <s v="Company B"/>
    <x v="2"/>
    <x v="0"/>
    <s v="Texas"/>
    <x v="4"/>
    <n v="69"/>
    <n v="4"/>
    <n v="276"/>
    <n v="2"/>
  </r>
  <r>
    <s v="1374"/>
    <d v="2022-03-16T00:00:00"/>
    <n v="13"/>
    <s v="Company M"/>
    <x v="5"/>
    <x v="1"/>
    <s v="New Mexico"/>
    <x v="4"/>
    <n v="69"/>
    <n v="9"/>
    <n v="621"/>
    <n v="6"/>
  </r>
  <r>
    <s v="1382"/>
    <d v="2022-03-19T00:00:00"/>
    <n v="5"/>
    <s v="Company E"/>
    <x v="4"/>
    <x v="2"/>
    <s v="Texas"/>
    <x v="4"/>
    <n v="69"/>
    <n v="1"/>
    <n v="69"/>
    <n v="2"/>
  </r>
  <r>
    <s v="1389"/>
    <d v="2022-03-19T00:00:00"/>
    <n v="1"/>
    <s v="Company A"/>
    <x v="2"/>
    <x v="0"/>
    <s v="Texas"/>
    <x v="4"/>
    <n v="69"/>
    <n v="9"/>
    <n v="621"/>
    <n v="2"/>
  </r>
  <r>
    <s v="1393"/>
    <d v="2022-03-20T00:00:00"/>
    <n v="18"/>
    <s v="Company R"/>
    <x v="0"/>
    <x v="0"/>
    <s v="Arizona"/>
    <x v="4"/>
    <n v="69"/>
    <n v="3"/>
    <n v="207"/>
    <n v="3"/>
  </r>
  <r>
    <s v="1402"/>
    <d v="2022-03-23T00:00:00"/>
    <n v="8"/>
    <s v="Company H"/>
    <x v="1"/>
    <x v="1"/>
    <s v="California"/>
    <x v="4"/>
    <n v="69"/>
    <n v="8"/>
    <n v="552"/>
    <n v="4"/>
  </r>
  <r>
    <s v="1433"/>
    <d v="2022-04-04T00:00:00"/>
    <n v="5"/>
    <s v="Company E"/>
    <x v="4"/>
    <x v="2"/>
    <s v="Texas"/>
    <x v="4"/>
    <n v="69"/>
    <n v="5"/>
    <n v="345"/>
    <n v="2"/>
  </r>
  <r>
    <s v="1436"/>
    <d v="2022-04-04T00:00:00"/>
    <n v="20"/>
    <s v="Company T"/>
    <x v="6"/>
    <x v="0"/>
    <s v="Arizona"/>
    <x v="4"/>
    <n v="69"/>
    <n v="9"/>
    <n v="621"/>
    <n v="5"/>
  </r>
  <r>
    <s v="1438"/>
    <d v="2022-04-05T00:00:00"/>
    <n v="4"/>
    <s v="Company D"/>
    <x v="4"/>
    <x v="2"/>
    <s v="Texas"/>
    <x v="4"/>
    <n v="69"/>
    <n v="7"/>
    <n v="483"/>
    <n v="2"/>
  </r>
  <r>
    <s v="1442"/>
    <d v="2022-04-05T00:00:00"/>
    <n v="15"/>
    <s v="Company O"/>
    <x v="3"/>
    <x v="2"/>
    <s v="New Mexico"/>
    <x v="4"/>
    <n v="69"/>
    <n v="1"/>
    <n v="69"/>
    <n v="5"/>
  </r>
  <r>
    <s v="1447"/>
    <d v="2022-04-07T00:00:00"/>
    <n v="7"/>
    <s v="Company G"/>
    <x v="7"/>
    <x v="3"/>
    <s v="California"/>
    <x v="4"/>
    <n v="69"/>
    <n v="6"/>
    <n v="414"/>
    <n v="8"/>
  </r>
  <r>
    <s v="1453"/>
    <d v="2022-04-09T00:00:00"/>
    <n v="9"/>
    <s v="Company I"/>
    <x v="7"/>
    <x v="3"/>
    <s v="California"/>
    <x v="4"/>
    <n v="69"/>
    <n v="6"/>
    <n v="414"/>
    <n v="8"/>
  </r>
  <r>
    <s v="1457"/>
    <d v="2022-04-09T00:00:00"/>
    <n v="17"/>
    <s v="Company Q"/>
    <x v="0"/>
    <x v="0"/>
    <s v="Arizona"/>
    <x v="4"/>
    <n v="69"/>
    <n v="5"/>
    <n v="345"/>
    <n v="3"/>
  </r>
  <r>
    <s v="1458"/>
    <d v="2022-04-10T00:00:00"/>
    <n v="15"/>
    <s v="Company O"/>
    <x v="3"/>
    <x v="2"/>
    <s v="New Mexico"/>
    <x v="4"/>
    <n v="69"/>
    <n v="0"/>
    <n v="0"/>
    <n v="5"/>
  </r>
  <r>
    <s v="1469"/>
    <d v="2022-04-16T00:00:00"/>
    <n v="12"/>
    <s v="Company L"/>
    <x v="5"/>
    <x v="1"/>
    <s v="New Mexico"/>
    <x v="4"/>
    <n v="69"/>
    <n v="2"/>
    <n v="138"/>
    <n v="6"/>
  </r>
  <r>
    <s v="1470"/>
    <d v="2022-04-17T00:00:00"/>
    <n v="1"/>
    <s v="Company A"/>
    <x v="2"/>
    <x v="0"/>
    <s v="Texas"/>
    <x v="4"/>
    <n v="69"/>
    <n v="0"/>
    <n v="0"/>
    <n v="2"/>
  </r>
  <r>
    <s v="1472"/>
    <d v="2022-04-18T00:00:00"/>
    <n v="19"/>
    <s v="Company S"/>
    <x v="0"/>
    <x v="0"/>
    <s v="Arizona"/>
    <x v="4"/>
    <n v="69"/>
    <n v="0"/>
    <n v="0"/>
    <n v="3"/>
  </r>
  <r>
    <s v="1482"/>
    <d v="2022-04-20T00:00:00"/>
    <n v="4"/>
    <s v="Company D"/>
    <x v="2"/>
    <x v="0"/>
    <s v="Texas"/>
    <x v="4"/>
    <n v="69"/>
    <n v="0"/>
    <n v="0"/>
    <n v="2"/>
  </r>
  <r>
    <s v="1484"/>
    <d v="2022-04-21T00:00:00"/>
    <n v="18"/>
    <s v="Company R"/>
    <x v="0"/>
    <x v="0"/>
    <s v="Arizona"/>
    <x v="4"/>
    <n v="69"/>
    <n v="2"/>
    <n v="138"/>
    <n v="3"/>
  </r>
  <r>
    <s v="1486"/>
    <d v="2022-04-22T00:00:00"/>
    <n v="1"/>
    <s v="Company A"/>
    <x v="4"/>
    <x v="2"/>
    <s v="Texas"/>
    <x v="4"/>
    <n v="69"/>
    <n v="5"/>
    <n v="345"/>
    <n v="2"/>
  </r>
  <r>
    <s v="1489"/>
    <d v="2022-04-23T00:00:00"/>
    <n v="6"/>
    <s v="Company F"/>
    <x v="1"/>
    <x v="1"/>
    <s v="California"/>
    <x v="4"/>
    <n v="69"/>
    <n v="4"/>
    <n v="276"/>
    <n v="4"/>
  </r>
  <r>
    <s v="1501"/>
    <d v="2022-04-28T00:00:00"/>
    <n v="8"/>
    <s v="Company H"/>
    <x v="7"/>
    <x v="3"/>
    <s v="California"/>
    <x v="4"/>
    <n v="69"/>
    <n v="8"/>
    <n v="552"/>
    <n v="8"/>
  </r>
  <r>
    <s v="1506"/>
    <d v="2022-04-30T00:00:00"/>
    <n v="20"/>
    <s v="Company T"/>
    <x v="6"/>
    <x v="0"/>
    <s v="Arizona"/>
    <x v="4"/>
    <n v="69"/>
    <n v="4"/>
    <n v="276"/>
    <n v="5"/>
  </r>
  <r>
    <s v="1510"/>
    <d v="2022-05-02T00:00:00"/>
    <n v="1"/>
    <s v="Company A"/>
    <x v="2"/>
    <x v="0"/>
    <s v="Texas"/>
    <x v="4"/>
    <n v="69"/>
    <n v="9"/>
    <n v="621"/>
    <n v="2"/>
  </r>
  <r>
    <s v="1517"/>
    <d v="2022-05-03T00:00:00"/>
    <n v="17"/>
    <s v="Company Q"/>
    <x v="0"/>
    <x v="0"/>
    <s v="Arizona"/>
    <x v="4"/>
    <n v="69"/>
    <n v="5"/>
    <n v="345"/>
    <n v="3"/>
  </r>
  <r>
    <s v="1518"/>
    <d v="2022-05-03T00:00:00"/>
    <n v="3"/>
    <s v="Company C"/>
    <x v="2"/>
    <x v="0"/>
    <s v="Texas"/>
    <x v="4"/>
    <n v="69"/>
    <n v="8"/>
    <n v="552"/>
    <n v="2"/>
  </r>
  <r>
    <s v="1519"/>
    <d v="2022-05-04T00:00:00"/>
    <n v="14"/>
    <s v="Company N"/>
    <x v="5"/>
    <x v="1"/>
    <s v="New Mexico"/>
    <x v="4"/>
    <n v="69"/>
    <n v="9"/>
    <n v="621"/>
    <n v="6"/>
  </r>
  <r>
    <s v="1522"/>
    <d v="2022-05-06T00:00:00"/>
    <n v="15"/>
    <s v="Company O"/>
    <x v="5"/>
    <x v="1"/>
    <s v="New Mexico"/>
    <x v="4"/>
    <n v="69"/>
    <n v="9"/>
    <n v="621"/>
    <n v="6"/>
  </r>
  <r>
    <s v="1525"/>
    <d v="2022-05-07T00:00:00"/>
    <n v="3"/>
    <s v="Company C"/>
    <x v="4"/>
    <x v="2"/>
    <s v="Texas"/>
    <x v="4"/>
    <n v="69"/>
    <n v="6"/>
    <n v="414"/>
    <n v="2"/>
  </r>
  <r>
    <s v="1533"/>
    <d v="2022-05-09T00:00:00"/>
    <n v="18"/>
    <s v="Company R"/>
    <x v="0"/>
    <x v="0"/>
    <s v="Arizona"/>
    <x v="4"/>
    <n v="69"/>
    <n v="4"/>
    <n v="276"/>
    <n v="3"/>
  </r>
  <r>
    <s v="1534"/>
    <d v="2022-05-09T00:00:00"/>
    <n v="1"/>
    <s v="Company A"/>
    <x v="2"/>
    <x v="0"/>
    <s v="Texas"/>
    <x v="4"/>
    <n v="69"/>
    <n v="1"/>
    <n v="69"/>
    <n v="2"/>
  </r>
  <r>
    <s v="1535"/>
    <d v="2022-05-09T00:00:00"/>
    <n v="7"/>
    <s v="Company G"/>
    <x v="7"/>
    <x v="3"/>
    <s v="California"/>
    <x v="4"/>
    <n v="69"/>
    <n v="5"/>
    <n v="345"/>
    <n v="8"/>
  </r>
  <r>
    <s v="1538"/>
    <d v="2022-05-10T00:00:00"/>
    <n v="3"/>
    <s v="Company C"/>
    <x v="4"/>
    <x v="2"/>
    <s v="Texas"/>
    <x v="4"/>
    <n v="69"/>
    <n v="6"/>
    <n v="414"/>
    <n v="2"/>
  </r>
  <r>
    <s v="1554"/>
    <d v="2022-05-17T00:00:00"/>
    <n v="13"/>
    <s v="Company M"/>
    <x v="5"/>
    <x v="1"/>
    <s v="New Mexico"/>
    <x v="4"/>
    <n v="69"/>
    <n v="0"/>
    <n v="0"/>
    <n v="6"/>
  </r>
  <r>
    <s v="1557"/>
    <d v="2022-05-17T00:00:00"/>
    <n v="1"/>
    <s v="Company A"/>
    <x v="4"/>
    <x v="2"/>
    <s v="Texas"/>
    <x v="4"/>
    <n v="69"/>
    <n v="7"/>
    <n v="483"/>
    <n v="2"/>
  </r>
  <r>
    <s v="1567"/>
    <d v="2022-05-21T00:00:00"/>
    <n v="17"/>
    <s v="Company Q"/>
    <x v="0"/>
    <x v="0"/>
    <s v="Arizona"/>
    <x v="4"/>
    <n v="69"/>
    <n v="2"/>
    <n v="138"/>
    <n v="3"/>
  </r>
  <r>
    <s v="1569"/>
    <d v="2022-05-22T00:00:00"/>
    <n v="8"/>
    <s v="Company H"/>
    <x v="1"/>
    <x v="1"/>
    <s v="California"/>
    <x v="4"/>
    <n v="69"/>
    <n v="2"/>
    <n v="138"/>
    <n v="4"/>
  </r>
  <r>
    <s v="1570"/>
    <d v="2022-05-22T00:00:00"/>
    <n v="14"/>
    <s v="Company N"/>
    <x v="3"/>
    <x v="2"/>
    <s v="New Mexico"/>
    <x v="4"/>
    <n v="69"/>
    <n v="9"/>
    <n v="621"/>
    <n v="5"/>
  </r>
  <r>
    <s v="1578"/>
    <d v="2022-05-25T00:00:00"/>
    <n v="7"/>
    <s v="Company G"/>
    <x v="1"/>
    <x v="1"/>
    <s v="California"/>
    <x v="4"/>
    <n v="69"/>
    <n v="3"/>
    <n v="207"/>
    <n v="4"/>
  </r>
  <r>
    <s v="1581"/>
    <d v="2022-05-25T00:00:00"/>
    <n v="9"/>
    <s v="Company I"/>
    <x v="7"/>
    <x v="3"/>
    <s v="California"/>
    <x v="4"/>
    <n v="69"/>
    <n v="0"/>
    <n v="0"/>
    <n v="8"/>
  </r>
  <r>
    <s v="1589"/>
    <d v="2022-05-26T00:00:00"/>
    <n v="7"/>
    <s v="Company G"/>
    <x v="1"/>
    <x v="1"/>
    <s v="California"/>
    <x v="4"/>
    <n v="69"/>
    <n v="3"/>
    <n v="207"/>
    <n v="4"/>
  </r>
  <r>
    <s v="1591"/>
    <d v="2022-05-26T00:00:00"/>
    <n v="16"/>
    <s v="Company P"/>
    <x v="0"/>
    <x v="0"/>
    <s v="Arizona"/>
    <x v="4"/>
    <n v="69"/>
    <n v="5"/>
    <n v="345"/>
    <n v="3"/>
  </r>
  <r>
    <s v="1606"/>
    <d v="2022-05-29T00:00:00"/>
    <n v="16"/>
    <s v="Company P"/>
    <x v="6"/>
    <x v="0"/>
    <s v="Arizona"/>
    <x v="4"/>
    <n v="69"/>
    <n v="1"/>
    <n v="69"/>
    <n v="5"/>
  </r>
  <r>
    <s v="1610"/>
    <d v="2022-05-31T00:00:00"/>
    <n v="18"/>
    <s v="Company R"/>
    <x v="0"/>
    <x v="0"/>
    <s v="Arizona"/>
    <x v="4"/>
    <n v="69"/>
    <n v="4"/>
    <n v="276"/>
    <n v="3"/>
  </r>
  <r>
    <s v="1615"/>
    <d v="2022-06-02T00:00:00"/>
    <n v="3"/>
    <s v="Company C"/>
    <x v="4"/>
    <x v="2"/>
    <s v="Texas"/>
    <x v="4"/>
    <n v="69"/>
    <n v="6"/>
    <n v="414"/>
    <n v="2"/>
  </r>
  <r>
    <s v="1616"/>
    <d v="2022-06-02T00:00:00"/>
    <n v="10"/>
    <s v="Company J"/>
    <x v="1"/>
    <x v="1"/>
    <s v="California"/>
    <x v="4"/>
    <n v="69"/>
    <n v="4"/>
    <n v="276"/>
    <n v="4"/>
  </r>
  <r>
    <s v="1618"/>
    <d v="2022-06-03T00:00:00"/>
    <n v="19"/>
    <s v="Company S"/>
    <x v="0"/>
    <x v="0"/>
    <s v="Arizona"/>
    <x v="4"/>
    <n v="69"/>
    <n v="1"/>
    <n v="69"/>
    <n v="3"/>
  </r>
  <r>
    <s v="1631"/>
    <d v="2022-06-06T00:00:00"/>
    <n v="17"/>
    <s v="Company Q"/>
    <x v="0"/>
    <x v="0"/>
    <s v="Arizona"/>
    <x v="4"/>
    <n v="69"/>
    <n v="7"/>
    <n v="483"/>
    <n v="3"/>
  </r>
  <r>
    <s v="1636"/>
    <d v="2022-06-07T00:00:00"/>
    <n v="2"/>
    <s v="Company B"/>
    <x v="4"/>
    <x v="2"/>
    <s v="Texas"/>
    <x v="4"/>
    <n v="69"/>
    <n v="3"/>
    <n v="207"/>
    <n v="2"/>
  </r>
  <r>
    <s v="1640"/>
    <d v="2022-06-08T00:00:00"/>
    <n v="19"/>
    <s v="Company S"/>
    <x v="6"/>
    <x v="0"/>
    <s v="Arizona"/>
    <x v="4"/>
    <n v="69"/>
    <n v="5"/>
    <n v="345"/>
    <n v="5"/>
  </r>
  <r>
    <s v="1651"/>
    <d v="2022-06-11T00:00:00"/>
    <n v="20"/>
    <s v="Company T"/>
    <x v="0"/>
    <x v="0"/>
    <s v="Arizona"/>
    <x v="4"/>
    <n v="69"/>
    <n v="0"/>
    <n v="0"/>
    <n v="3"/>
  </r>
  <r>
    <s v="1659"/>
    <d v="2022-06-14T00:00:00"/>
    <n v="13"/>
    <s v="Company M"/>
    <x v="5"/>
    <x v="1"/>
    <s v="New Mexico"/>
    <x v="4"/>
    <n v="69"/>
    <n v="4"/>
    <n v="276"/>
    <n v="6"/>
  </r>
  <r>
    <s v="1661"/>
    <d v="2022-06-15T00:00:00"/>
    <n v="9"/>
    <s v="Company I"/>
    <x v="7"/>
    <x v="3"/>
    <s v="California"/>
    <x v="4"/>
    <n v="69"/>
    <n v="5"/>
    <n v="345"/>
    <n v="8"/>
  </r>
  <r>
    <s v="1662"/>
    <d v="2022-06-15T00:00:00"/>
    <n v="20"/>
    <s v="Company T"/>
    <x v="0"/>
    <x v="0"/>
    <s v="Arizona"/>
    <x v="4"/>
    <n v="69"/>
    <n v="8"/>
    <n v="552"/>
    <n v="3"/>
  </r>
  <r>
    <s v="1669"/>
    <d v="2022-06-16T00:00:00"/>
    <n v="18"/>
    <s v="Company R"/>
    <x v="0"/>
    <x v="0"/>
    <s v="Arizona"/>
    <x v="4"/>
    <n v="69"/>
    <n v="8"/>
    <n v="552"/>
    <n v="3"/>
  </r>
  <r>
    <s v="1672"/>
    <d v="2022-06-17T00:00:00"/>
    <n v="4"/>
    <s v="Company D"/>
    <x v="4"/>
    <x v="2"/>
    <s v="Texas"/>
    <x v="4"/>
    <n v="69"/>
    <n v="8"/>
    <n v="552"/>
    <n v="2"/>
  </r>
  <r>
    <s v="1681"/>
    <d v="2022-06-22T00:00:00"/>
    <n v="6"/>
    <s v="Company F"/>
    <x v="1"/>
    <x v="1"/>
    <s v="California"/>
    <x v="4"/>
    <n v="69"/>
    <n v="5"/>
    <n v="345"/>
    <n v="4"/>
  </r>
  <r>
    <s v="1692"/>
    <d v="2022-06-27T00:00:00"/>
    <n v="9"/>
    <s v="Company I"/>
    <x v="7"/>
    <x v="3"/>
    <s v="California"/>
    <x v="4"/>
    <n v="69"/>
    <n v="3"/>
    <n v="207"/>
    <n v="8"/>
  </r>
  <r>
    <s v="1697"/>
    <d v="2022-07-01T00:00:00"/>
    <n v="14"/>
    <s v="Company N"/>
    <x v="3"/>
    <x v="2"/>
    <s v="New Mexico"/>
    <x v="4"/>
    <n v="69"/>
    <n v="8"/>
    <n v="552"/>
    <n v="5"/>
  </r>
  <r>
    <s v="1706"/>
    <d v="2022-07-08T00:00:00"/>
    <n v="7"/>
    <s v="Company G"/>
    <x v="1"/>
    <x v="1"/>
    <s v="California"/>
    <x v="4"/>
    <n v="69"/>
    <n v="3"/>
    <n v="207"/>
    <n v="4"/>
  </r>
  <r>
    <s v="1711"/>
    <d v="2022-07-10T00:00:00"/>
    <n v="13"/>
    <s v="Company M"/>
    <x v="5"/>
    <x v="1"/>
    <s v="New Mexico"/>
    <x v="4"/>
    <n v="69"/>
    <n v="2"/>
    <n v="138"/>
    <n v="6"/>
  </r>
  <r>
    <s v="1715"/>
    <d v="2022-07-12T00:00:00"/>
    <n v="5"/>
    <s v="Company E"/>
    <x v="4"/>
    <x v="2"/>
    <s v="Texas"/>
    <x v="4"/>
    <n v="69"/>
    <n v="3"/>
    <n v="207"/>
    <n v="2"/>
  </r>
  <r>
    <s v="1717"/>
    <d v="2022-07-12T00:00:00"/>
    <n v="11"/>
    <s v="Company K"/>
    <x v="3"/>
    <x v="2"/>
    <s v="New Mexico"/>
    <x v="4"/>
    <n v="69"/>
    <n v="1"/>
    <n v="69"/>
    <n v="5"/>
  </r>
  <r>
    <s v="1737"/>
    <d v="2022-07-18T00:00:00"/>
    <n v="1"/>
    <s v="Company A"/>
    <x v="4"/>
    <x v="2"/>
    <s v="Texas"/>
    <x v="4"/>
    <n v="69"/>
    <n v="3"/>
    <n v="207"/>
    <n v="2"/>
  </r>
  <r>
    <s v="1739"/>
    <d v="2022-07-20T00:00:00"/>
    <n v="3"/>
    <s v="Company C"/>
    <x v="4"/>
    <x v="2"/>
    <s v="Texas"/>
    <x v="4"/>
    <n v="69"/>
    <n v="3"/>
    <n v="207"/>
    <n v="2"/>
  </r>
  <r>
    <s v="1743"/>
    <d v="2022-07-21T00:00:00"/>
    <n v="19"/>
    <s v="Company S"/>
    <x v="0"/>
    <x v="0"/>
    <s v="Arizona"/>
    <x v="4"/>
    <n v="69"/>
    <n v="2"/>
    <n v="138"/>
    <n v="3"/>
  </r>
  <r>
    <s v="1744"/>
    <d v="2022-07-21T00:00:00"/>
    <n v="9"/>
    <s v="Company I"/>
    <x v="7"/>
    <x v="3"/>
    <s v="California"/>
    <x v="4"/>
    <n v="69"/>
    <n v="4"/>
    <n v="276"/>
    <n v="8"/>
  </r>
  <r>
    <s v="1746"/>
    <d v="2022-07-22T00:00:00"/>
    <n v="9"/>
    <s v="Company I"/>
    <x v="1"/>
    <x v="1"/>
    <s v="California"/>
    <x v="4"/>
    <n v="69"/>
    <n v="4"/>
    <n v="276"/>
    <n v="4"/>
  </r>
  <r>
    <s v="1748"/>
    <d v="2022-07-22T00:00:00"/>
    <n v="11"/>
    <s v="Company K"/>
    <x v="5"/>
    <x v="1"/>
    <s v="New Mexico"/>
    <x v="4"/>
    <n v="69"/>
    <n v="0"/>
    <n v="0"/>
    <n v="6"/>
  </r>
  <r>
    <s v="1750"/>
    <d v="2022-07-24T00:00:00"/>
    <n v="19"/>
    <s v="Company S"/>
    <x v="0"/>
    <x v="0"/>
    <s v="Arizona"/>
    <x v="4"/>
    <n v="69"/>
    <n v="1"/>
    <n v="69"/>
    <n v="3"/>
  </r>
  <r>
    <s v="1751"/>
    <d v="2022-07-25T00:00:00"/>
    <n v="15"/>
    <s v="Company O"/>
    <x v="3"/>
    <x v="2"/>
    <s v="New Mexico"/>
    <x v="4"/>
    <n v="69"/>
    <n v="4"/>
    <n v="276"/>
    <n v="5"/>
  </r>
  <r>
    <s v="1753"/>
    <d v="2022-07-25T00:00:00"/>
    <n v="12"/>
    <s v="Company L"/>
    <x v="5"/>
    <x v="1"/>
    <s v="New Mexico"/>
    <x v="4"/>
    <n v="69"/>
    <n v="8"/>
    <n v="552"/>
    <n v="6"/>
  </r>
  <r>
    <s v="1754"/>
    <d v="2022-07-25T00:00:00"/>
    <n v="2"/>
    <s v="Company B"/>
    <x v="4"/>
    <x v="2"/>
    <s v="Texas"/>
    <x v="4"/>
    <n v="69"/>
    <n v="9"/>
    <n v="621"/>
    <n v="2"/>
  </r>
  <r>
    <s v="1758"/>
    <d v="2022-07-25T00:00:00"/>
    <n v="5"/>
    <s v="Company E"/>
    <x v="4"/>
    <x v="2"/>
    <s v="Texas"/>
    <x v="4"/>
    <n v="69"/>
    <n v="9"/>
    <n v="621"/>
    <n v="2"/>
  </r>
  <r>
    <s v="1762"/>
    <d v="2022-07-28T00:00:00"/>
    <n v="19"/>
    <s v="Company S"/>
    <x v="6"/>
    <x v="0"/>
    <s v="Arizona"/>
    <x v="4"/>
    <n v="69"/>
    <n v="8"/>
    <n v="552"/>
    <n v="5"/>
  </r>
  <r>
    <s v="1764"/>
    <d v="2022-07-29T00:00:00"/>
    <n v="9"/>
    <s v="Company I"/>
    <x v="7"/>
    <x v="3"/>
    <s v="California"/>
    <x v="4"/>
    <n v="69"/>
    <n v="2"/>
    <n v="138"/>
    <n v="8"/>
  </r>
  <r>
    <s v="1775"/>
    <d v="2022-08-04T00:00:00"/>
    <n v="7"/>
    <s v="Company G"/>
    <x v="1"/>
    <x v="1"/>
    <s v="California"/>
    <x v="4"/>
    <n v="69"/>
    <n v="9"/>
    <n v="621"/>
    <n v="4"/>
  </r>
  <r>
    <s v="1785"/>
    <d v="2022-08-08T00:00:00"/>
    <n v="9"/>
    <s v="Company I"/>
    <x v="1"/>
    <x v="1"/>
    <s v="California"/>
    <x v="4"/>
    <n v="69"/>
    <n v="0"/>
    <n v="0"/>
    <n v="4"/>
  </r>
  <r>
    <s v="1793"/>
    <d v="2022-08-11T00:00:00"/>
    <n v="17"/>
    <s v="Company Q"/>
    <x v="0"/>
    <x v="0"/>
    <s v="Arizona"/>
    <x v="4"/>
    <n v="69"/>
    <n v="0"/>
    <n v="0"/>
    <n v="3"/>
  </r>
  <r>
    <s v="1794"/>
    <d v="2022-08-11T00:00:00"/>
    <n v="2"/>
    <s v="Company B"/>
    <x v="4"/>
    <x v="2"/>
    <s v="Texas"/>
    <x v="4"/>
    <n v="69"/>
    <n v="9"/>
    <n v="621"/>
    <n v="2"/>
  </r>
  <r>
    <s v="1795"/>
    <d v="2022-08-11T00:00:00"/>
    <n v="7"/>
    <s v="Company G"/>
    <x v="1"/>
    <x v="1"/>
    <s v="California"/>
    <x v="4"/>
    <n v="69"/>
    <n v="5"/>
    <n v="345"/>
    <n v="4"/>
  </r>
  <r>
    <s v="1806"/>
    <d v="2022-08-12T00:00:00"/>
    <n v="17"/>
    <s v="Company Q"/>
    <x v="0"/>
    <x v="0"/>
    <s v="Arizona"/>
    <x v="4"/>
    <n v="69"/>
    <n v="7"/>
    <n v="483"/>
    <n v="3"/>
  </r>
  <r>
    <s v="1807"/>
    <d v="2022-08-12T00:00:00"/>
    <n v="4"/>
    <s v="Company D"/>
    <x v="4"/>
    <x v="2"/>
    <s v="Texas"/>
    <x v="4"/>
    <n v="69"/>
    <n v="3"/>
    <n v="207"/>
    <n v="2"/>
  </r>
  <r>
    <s v="1809"/>
    <d v="2022-08-14T00:00:00"/>
    <n v="8"/>
    <s v="Company H"/>
    <x v="7"/>
    <x v="3"/>
    <s v="California"/>
    <x v="4"/>
    <n v="69"/>
    <n v="5"/>
    <n v="345"/>
    <n v="8"/>
  </r>
  <r>
    <s v="1811"/>
    <d v="2022-08-15T00:00:00"/>
    <n v="15"/>
    <s v="Company O"/>
    <x v="5"/>
    <x v="1"/>
    <s v="New Mexico"/>
    <x v="4"/>
    <n v="69"/>
    <n v="4"/>
    <n v="276"/>
    <n v="6"/>
  </r>
  <r>
    <s v="1812"/>
    <d v="2022-08-15T00:00:00"/>
    <n v="11"/>
    <s v="Company K"/>
    <x v="5"/>
    <x v="1"/>
    <s v="New Mexico"/>
    <x v="4"/>
    <n v="69"/>
    <n v="8"/>
    <n v="552"/>
    <n v="6"/>
  </r>
  <r>
    <s v="1817"/>
    <d v="2022-08-17T00:00:00"/>
    <n v="8"/>
    <s v="Company H"/>
    <x v="1"/>
    <x v="1"/>
    <s v="California"/>
    <x v="4"/>
    <n v="69"/>
    <n v="8"/>
    <n v="552"/>
    <n v="4"/>
  </r>
  <r>
    <s v="1820"/>
    <d v="2022-08-17T00:00:00"/>
    <n v="2"/>
    <s v="Company B"/>
    <x v="2"/>
    <x v="0"/>
    <s v="Texas"/>
    <x v="4"/>
    <n v="69"/>
    <n v="9"/>
    <n v="621"/>
    <n v="2"/>
  </r>
  <r>
    <s v="1828"/>
    <d v="2022-08-19T00:00:00"/>
    <n v="18"/>
    <s v="Company R"/>
    <x v="0"/>
    <x v="0"/>
    <s v="Arizona"/>
    <x v="4"/>
    <n v="69"/>
    <n v="6"/>
    <n v="414"/>
    <n v="3"/>
  </r>
  <r>
    <s v="1829"/>
    <d v="2022-08-19T00:00:00"/>
    <n v="13"/>
    <s v="Company M"/>
    <x v="5"/>
    <x v="1"/>
    <s v="New Mexico"/>
    <x v="4"/>
    <n v="69"/>
    <n v="4"/>
    <n v="276"/>
    <n v="6"/>
  </r>
  <r>
    <s v="1833"/>
    <d v="2022-08-21T00:00:00"/>
    <n v="8"/>
    <s v="Company H"/>
    <x v="1"/>
    <x v="1"/>
    <s v="California"/>
    <x v="4"/>
    <n v="69"/>
    <n v="5"/>
    <n v="345"/>
    <n v="4"/>
  </r>
  <r>
    <s v="1837"/>
    <d v="2022-08-22T00:00:00"/>
    <n v="6"/>
    <s v="Company F"/>
    <x v="7"/>
    <x v="3"/>
    <s v="California"/>
    <x v="4"/>
    <n v="69"/>
    <n v="3"/>
    <n v="207"/>
    <n v="8"/>
  </r>
  <r>
    <s v="1848"/>
    <d v="2022-08-24T00:00:00"/>
    <n v="1"/>
    <s v="Company A"/>
    <x v="4"/>
    <x v="2"/>
    <s v="Texas"/>
    <x v="4"/>
    <n v="69"/>
    <n v="5"/>
    <n v="345"/>
    <n v="2"/>
  </r>
  <r>
    <s v="1851"/>
    <d v="2022-08-26T00:00:00"/>
    <n v="14"/>
    <s v="Company N"/>
    <x v="5"/>
    <x v="1"/>
    <s v="New Mexico"/>
    <x v="4"/>
    <n v="69"/>
    <n v="2"/>
    <n v="138"/>
    <n v="6"/>
  </r>
  <r>
    <s v="1852"/>
    <d v="2022-08-27T00:00:00"/>
    <n v="11"/>
    <s v="Company K"/>
    <x v="3"/>
    <x v="2"/>
    <s v="New Mexico"/>
    <x v="4"/>
    <n v="69"/>
    <n v="9"/>
    <n v="621"/>
    <n v="5"/>
  </r>
  <r>
    <s v="1853"/>
    <d v="2022-08-28T00:00:00"/>
    <n v="16"/>
    <s v="Company P"/>
    <x v="0"/>
    <x v="0"/>
    <s v="Arizona"/>
    <x v="4"/>
    <n v="69"/>
    <n v="2"/>
    <n v="138"/>
    <n v="3"/>
  </r>
  <r>
    <s v="1859"/>
    <d v="2022-08-30T00:00:00"/>
    <n v="6"/>
    <s v="Company F"/>
    <x v="7"/>
    <x v="3"/>
    <s v="California"/>
    <x v="4"/>
    <n v="69"/>
    <n v="0"/>
    <n v="0"/>
    <n v="8"/>
  </r>
  <r>
    <s v="1866"/>
    <d v="2022-09-01T00:00:00"/>
    <n v="7"/>
    <s v="Company G"/>
    <x v="1"/>
    <x v="1"/>
    <s v="California"/>
    <x v="4"/>
    <n v="69"/>
    <n v="6"/>
    <n v="414"/>
    <n v="4"/>
  </r>
  <r>
    <s v="1872"/>
    <d v="2022-09-05T00:00:00"/>
    <n v="10"/>
    <s v="Company J"/>
    <x v="1"/>
    <x v="1"/>
    <s v="California"/>
    <x v="4"/>
    <n v="69"/>
    <n v="7"/>
    <n v="483"/>
    <n v="4"/>
  </r>
  <r>
    <s v="1878"/>
    <d v="2022-09-06T00:00:00"/>
    <n v="9"/>
    <s v="Company I"/>
    <x v="7"/>
    <x v="3"/>
    <s v="California"/>
    <x v="4"/>
    <n v="69"/>
    <n v="1"/>
    <n v="69"/>
    <n v="8"/>
  </r>
  <r>
    <s v="1881"/>
    <d v="2022-09-07T00:00:00"/>
    <n v="9"/>
    <s v="Company I"/>
    <x v="7"/>
    <x v="3"/>
    <s v="California"/>
    <x v="4"/>
    <n v="69"/>
    <n v="8"/>
    <n v="552"/>
    <n v="8"/>
  </r>
  <r>
    <s v="1883"/>
    <d v="2022-09-08T00:00:00"/>
    <n v="8"/>
    <s v="Company H"/>
    <x v="1"/>
    <x v="1"/>
    <s v="California"/>
    <x v="4"/>
    <n v="69"/>
    <n v="4"/>
    <n v="276"/>
    <n v="4"/>
  </r>
  <r>
    <s v="1888"/>
    <d v="2022-09-08T00:00:00"/>
    <n v="3"/>
    <s v="Company C"/>
    <x v="2"/>
    <x v="0"/>
    <s v="Texas"/>
    <x v="4"/>
    <n v="69"/>
    <n v="7"/>
    <n v="483"/>
    <n v="2"/>
  </r>
  <r>
    <s v="1889"/>
    <d v="2022-09-09T00:00:00"/>
    <n v="18"/>
    <s v="Company R"/>
    <x v="6"/>
    <x v="0"/>
    <s v="Arizona"/>
    <x v="4"/>
    <n v="69"/>
    <n v="3"/>
    <n v="207"/>
    <n v="5"/>
  </r>
  <r>
    <s v="1905"/>
    <d v="2022-09-17T00:00:00"/>
    <n v="14"/>
    <s v="Company N"/>
    <x v="5"/>
    <x v="1"/>
    <s v="New Mexico"/>
    <x v="4"/>
    <n v="69"/>
    <n v="5"/>
    <n v="345"/>
    <n v="6"/>
  </r>
  <r>
    <s v="1906"/>
    <d v="2022-09-17T00:00:00"/>
    <n v="16"/>
    <s v="Company P"/>
    <x v="0"/>
    <x v="0"/>
    <s v="Arizona"/>
    <x v="4"/>
    <n v="69"/>
    <n v="8"/>
    <n v="552"/>
    <n v="3"/>
  </r>
  <r>
    <s v="1907"/>
    <d v="2022-09-17T00:00:00"/>
    <n v="1"/>
    <s v="Company A"/>
    <x v="2"/>
    <x v="0"/>
    <s v="Texas"/>
    <x v="4"/>
    <n v="69"/>
    <n v="2"/>
    <n v="138"/>
    <n v="2"/>
  </r>
  <r>
    <s v="1909"/>
    <d v="2022-09-18T00:00:00"/>
    <n v="15"/>
    <s v="Company O"/>
    <x v="5"/>
    <x v="1"/>
    <s v="New Mexico"/>
    <x v="4"/>
    <n v="69"/>
    <n v="8"/>
    <n v="552"/>
    <n v="6"/>
  </r>
  <r>
    <s v="1913"/>
    <d v="2022-09-19T00:00:00"/>
    <n v="16"/>
    <s v="Company P"/>
    <x v="6"/>
    <x v="0"/>
    <s v="Arizona"/>
    <x v="4"/>
    <n v="69"/>
    <n v="5"/>
    <n v="345"/>
    <n v="5"/>
  </r>
  <r>
    <s v="1914"/>
    <d v="2022-09-19T00:00:00"/>
    <n v="9"/>
    <s v="Company I"/>
    <x v="1"/>
    <x v="1"/>
    <s v="California"/>
    <x v="4"/>
    <n v="69"/>
    <n v="0"/>
    <n v="0"/>
    <n v="4"/>
  </r>
  <r>
    <s v="1941"/>
    <d v="2022-09-28T00:00:00"/>
    <n v="11"/>
    <s v="Company K"/>
    <x v="5"/>
    <x v="1"/>
    <s v="New Mexico"/>
    <x v="4"/>
    <n v="69"/>
    <n v="3"/>
    <n v="207"/>
    <n v="6"/>
  </r>
  <r>
    <s v="1943"/>
    <d v="2022-09-29T00:00:00"/>
    <n v="18"/>
    <s v="Company R"/>
    <x v="6"/>
    <x v="0"/>
    <s v="Arizona"/>
    <x v="4"/>
    <n v="69"/>
    <n v="3"/>
    <n v="207"/>
    <n v="5"/>
  </r>
  <r>
    <s v="1950"/>
    <d v="2022-09-30T00:00:00"/>
    <n v="9"/>
    <s v="Company I"/>
    <x v="1"/>
    <x v="1"/>
    <s v="California"/>
    <x v="4"/>
    <n v="69"/>
    <n v="7"/>
    <n v="483"/>
    <n v="4"/>
  </r>
  <r>
    <s v="1953"/>
    <d v="2022-10-01T00:00:00"/>
    <n v="18"/>
    <s v="Company R"/>
    <x v="0"/>
    <x v="0"/>
    <s v="Arizona"/>
    <x v="4"/>
    <n v="69"/>
    <n v="0"/>
    <n v="0"/>
    <n v="3"/>
  </r>
  <r>
    <s v="1959"/>
    <d v="2022-10-03T00:00:00"/>
    <n v="12"/>
    <s v="Company L"/>
    <x v="3"/>
    <x v="2"/>
    <s v="New Mexico"/>
    <x v="4"/>
    <n v="69"/>
    <n v="7"/>
    <n v="483"/>
    <n v="5"/>
  </r>
  <r>
    <s v="1968"/>
    <d v="2022-10-05T00:00:00"/>
    <n v="1"/>
    <s v="Company A"/>
    <x v="4"/>
    <x v="2"/>
    <s v="Texas"/>
    <x v="4"/>
    <n v="69"/>
    <n v="2"/>
    <n v="138"/>
    <n v="2"/>
  </r>
  <r>
    <s v="1971"/>
    <d v="2022-10-05T00:00:00"/>
    <n v="17"/>
    <s v="Company Q"/>
    <x v="6"/>
    <x v="0"/>
    <s v="Arizona"/>
    <x v="4"/>
    <n v="69"/>
    <n v="6"/>
    <n v="414"/>
    <n v="5"/>
  </r>
  <r>
    <s v="1972"/>
    <d v="2022-10-05T00:00:00"/>
    <n v="8"/>
    <s v="Company H"/>
    <x v="7"/>
    <x v="3"/>
    <s v="California"/>
    <x v="4"/>
    <n v="69"/>
    <n v="0"/>
    <n v="0"/>
    <n v="8"/>
  </r>
  <r>
    <s v="1980"/>
    <d v="2022-10-09T00:00:00"/>
    <n v="17"/>
    <s v="Company Q"/>
    <x v="6"/>
    <x v="0"/>
    <s v="Arizona"/>
    <x v="4"/>
    <n v="69"/>
    <n v="4"/>
    <n v="276"/>
    <n v="5"/>
  </r>
  <r>
    <s v="1982"/>
    <d v="2022-10-09T00:00:00"/>
    <n v="15"/>
    <s v="Company O"/>
    <x v="5"/>
    <x v="1"/>
    <s v="New Mexico"/>
    <x v="4"/>
    <n v="69"/>
    <n v="1"/>
    <n v="69"/>
    <n v="6"/>
  </r>
  <r>
    <s v="1986"/>
    <d v="2022-10-12T00:00:00"/>
    <n v="1"/>
    <s v="Company A"/>
    <x v="2"/>
    <x v="0"/>
    <s v="Texas"/>
    <x v="4"/>
    <n v="69"/>
    <n v="8"/>
    <n v="552"/>
    <n v="2"/>
  </r>
  <r>
    <s v="1994"/>
    <d v="2022-10-16T00:00:00"/>
    <n v="3"/>
    <s v="Company C"/>
    <x v="2"/>
    <x v="0"/>
    <s v="Texas"/>
    <x v="4"/>
    <n v="69"/>
    <n v="3"/>
    <n v="207"/>
    <n v="2"/>
  </r>
  <r>
    <s v="1996"/>
    <d v="2022-10-16T00:00:00"/>
    <n v="9"/>
    <s v="Company I"/>
    <x v="1"/>
    <x v="1"/>
    <s v="California"/>
    <x v="4"/>
    <n v="69"/>
    <n v="8"/>
    <n v="552"/>
    <n v="4"/>
  </r>
  <r>
    <s v="1997"/>
    <d v="2022-10-16T00:00:00"/>
    <n v="5"/>
    <s v="Company E"/>
    <x v="4"/>
    <x v="2"/>
    <s v="Texas"/>
    <x v="4"/>
    <n v="69"/>
    <n v="6"/>
    <n v="414"/>
    <n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9A7B22-F7BD-4377-94D1-419A6BFE4BC1}" name="PivotTable3" cacheId="0" applyNumberFormats="0" applyBorderFormats="0" applyFontFormats="0" applyPatternFormats="0" applyAlignmentFormats="0" applyWidthHeightFormats="1" dataCaption="Values" updatedVersion="7" minRefreshableVersion="3" useAutoFormatting="1" itemPrintTitles="1" createdVersion="8" indent="0" outline="1" outlineData="1" multipleFieldFilters="0" chartFormat="8">
  <location ref="B3:H7" firstHeaderRow="1" firstDataRow="2" firstDataCol="1"/>
  <pivotFields count="15">
    <pivotField showAll="0"/>
    <pivotField numFmtId="14" showAll="0">
      <items count="655">
        <item x="437"/>
        <item x="285"/>
        <item x="286"/>
        <item x="287"/>
        <item x="0"/>
        <item x="601"/>
        <item x="1"/>
        <item x="2"/>
        <item x="3"/>
        <item x="602"/>
        <item x="4"/>
        <item x="5"/>
        <item x="6"/>
        <item x="603"/>
        <item x="7"/>
        <item x="536"/>
        <item x="288"/>
        <item x="8"/>
        <item x="289"/>
        <item x="438"/>
        <item x="439"/>
        <item x="9"/>
        <item x="290"/>
        <item x="10"/>
        <item x="11"/>
        <item x="12"/>
        <item x="291"/>
        <item x="13"/>
        <item x="14"/>
        <item x="440"/>
        <item x="604"/>
        <item x="605"/>
        <item x="15"/>
        <item x="16"/>
        <item x="17"/>
        <item x="18"/>
        <item x="292"/>
        <item x="441"/>
        <item x="19"/>
        <item x="442"/>
        <item x="443"/>
        <item x="20"/>
        <item x="537"/>
        <item x="21"/>
        <item x="606"/>
        <item x="444"/>
        <item x="293"/>
        <item x="538"/>
        <item x="539"/>
        <item x="22"/>
        <item x="294"/>
        <item x="295"/>
        <item x="445"/>
        <item x="23"/>
        <item x="24"/>
        <item x="25"/>
        <item x="26"/>
        <item x="446"/>
        <item x="296"/>
        <item x="540"/>
        <item x="541"/>
        <item x="447"/>
        <item x="297"/>
        <item x="448"/>
        <item x="298"/>
        <item x="449"/>
        <item x="27"/>
        <item x="542"/>
        <item x="607"/>
        <item x="28"/>
        <item x="29"/>
        <item x="30"/>
        <item x="299"/>
        <item x="31"/>
        <item x="32"/>
        <item x="300"/>
        <item x="33"/>
        <item x="450"/>
        <item x="34"/>
        <item x="451"/>
        <item x="543"/>
        <item x="544"/>
        <item x="301"/>
        <item x="35"/>
        <item x="36"/>
        <item x="302"/>
        <item x="303"/>
        <item x="545"/>
        <item x="452"/>
        <item x="37"/>
        <item x="608"/>
        <item x="38"/>
        <item x="609"/>
        <item x="546"/>
        <item x="304"/>
        <item x="305"/>
        <item x="306"/>
        <item x="453"/>
        <item x="454"/>
        <item x="610"/>
        <item x="611"/>
        <item x="39"/>
        <item x="307"/>
        <item x="40"/>
        <item x="308"/>
        <item x="547"/>
        <item x="41"/>
        <item x="612"/>
        <item x="42"/>
        <item x="43"/>
        <item x="44"/>
        <item x="45"/>
        <item x="309"/>
        <item x="310"/>
        <item x="46"/>
        <item x="548"/>
        <item x="613"/>
        <item x="47"/>
        <item x="311"/>
        <item x="455"/>
        <item x="614"/>
        <item x="312"/>
        <item x="48"/>
        <item x="615"/>
        <item x="49"/>
        <item x="313"/>
        <item x="616"/>
        <item x="456"/>
        <item x="50"/>
        <item x="457"/>
        <item x="549"/>
        <item x="314"/>
        <item x="458"/>
        <item x="617"/>
        <item x="51"/>
        <item x="52"/>
        <item x="53"/>
        <item x="54"/>
        <item x="55"/>
        <item x="56"/>
        <item x="315"/>
        <item x="57"/>
        <item x="58"/>
        <item x="316"/>
        <item x="317"/>
        <item x="59"/>
        <item x="318"/>
        <item x="459"/>
        <item x="60"/>
        <item x="319"/>
        <item x="618"/>
        <item x="320"/>
        <item x="321"/>
        <item x="61"/>
        <item x="62"/>
        <item x="460"/>
        <item x="461"/>
        <item x="462"/>
        <item x="63"/>
        <item x="64"/>
        <item x="463"/>
        <item x="65"/>
        <item x="66"/>
        <item x="67"/>
        <item x="322"/>
        <item x="323"/>
        <item x="68"/>
        <item x="550"/>
        <item x="324"/>
        <item x="69"/>
        <item x="551"/>
        <item x="70"/>
        <item x="71"/>
        <item x="619"/>
        <item x="72"/>
        <item x="325"/>
        <item x="73"/>
        <item x="620"/>
        <item x="74"/>
        <item x="552"/>
        <item x="75"/>
        <item x="326"/>
        <item x="621"/>
        <item x="327"/>
        <item x="553"/>
        <item x="622"/>
        <item x="76"/>
        <item x="328"/>
        <item x="77"/>
        <item x="554"/>
        <item x="464"/>
        <item x="78"/>
        <item x="623"/>
        <item x="79"/>
        <item x="80"/>
        <item x="81"/>
        <item x="329"/>
        <item x="82"/>
        <item x="330"/>
        <item x="331"/>
        <item x="555"/>
        <item x="83"/>
        <item x="84"/>
        <item x="624"/>
        <item x="85"/>
        <item x="556"/>
        <item x="332"/>
        <item x="86"/>
        <item x="333"/>
        <item x="465"/>
        <item x="334"/>
        <item x="466"/>
        <item x="335"/>
        <item x="336"/>
        <item x="337"/>
        <item x="557"/>
        <item x="338"/>
        <item x="558"/>
        <item x="339"/>
        <item x="87"/>
        <item x="340"/>
        <item x="88"/>
        <item x="89"/>
        <item x="90"/>
        <item x="467"/>
        <item x="341"/>
        <item x="625"/>
        <item x="91"/>
        <item x="468"/>
        <item x="342"/>
        <item x="92"/>
        <item x="93"/>
        <item x="94"/>
        <item x="95"/>
        <item x="469"/>
        <item x="559"/>
        <item x="96"/>
        <item x="97"/>
        <item x="98"/>
        <item x="626"/>
        <item x="99"/>
        <item x="470"/>
        <item x="100"/>
        <item x="101"/>
        <item x="627"/>
        <item x="102"/>
        <item x="628"/>
        <item x="103"/>
        <item x="471"/>
        <item x="104"/>
        <item x="105"/>
        <item x="106"/>
        <item x="107"/>
        <item x="108"/>
        <item x="472"/>
        <item x="109"/>
        <item x="343"/>
        <item x="110"/>
        <item x="629"/>
        <item x="473"/>
        <item x="111"/>
        <item x="344"/>
        <item x="345"/>
        <item x="346"/>
        <item x="112"/>
        <item x="347"/>
        <item x="113"/>
        <item x="348"/>
        <item x="630"/>
        <item x="474"/>
        <item x="114"/>
        <item x="349"/>
        <item x="350"/>
        <item x="115"/>
        <item x="351"/>
        <item x="560"/>
        <item x="352"/>
        <item x="353"/>
        <item x="116"/>
        <item x="475"/>
        <item x="117"/>
        <item x="118"/>
        <item x="354"/>
        <item x="355"/>
        <item x="356"/>
        <item x="357"/>
        <item x="358"/>
        <item x="119"/>
        <item x="120"/>
        <item x="476"/>
        <item x="121"/>
        <item x="477"/>
        <item x="359"/>
        <item x="631"/>
        <item x="122"/>
        <item x="123"/>
        <item x="478"/>
        <item x="479"/>
        <item x="124"/>
        <item x="125"/>
        <item x="480"/>
        <item x="126"/>
        <item x="127"/>
        <item x="128"/>
        <item x="481"/>
        <item x="561"/>
        <item x="129"/>
        <item x="562"/>
        <item x="482"/>
        <item x="563"/>
        <item x="130"/>
        <item x="131"/>
        <item x="132"/>
        <item x="133"/>
        <item x="483"/>
        <item x="484"/>
        <item x="485"/>
        <item x="486"/>
        <item x="360"/>
        <item x="134"/>
        <item x="361"/>
        <item x="487"/>
        <item x="135"/>
        <item x="136"/>
        <item x="137"/>
        <item x="138"/>
        <item x="139"/>
        <item x="140"/>
        <item x="141"/>
        <item x="362"/>
        <item x="142"/>
        <item x="363"/>
        <item x="143"/>
        <item x="564"/>
        <item x="144"/>
        <item x="145"/>
        <item x="364"/>
        <item x="146"/>
        <item x="147"/>
        <item x="488"/>
        <item x="365"/>
        <item x="632"/>
        <item x="366"/>
        <item x="367"/>
        <item x="368"/>
        <item x="369"/>
        <item x="148"/>
        <item x="370"/>
        <item x="371"/>
        <item x="372"/>
        <item x="149"/>
        <item x="150"/>
        <item x="565"/>
        <item x="151"/>
        <item x="566"/>
        <item x="152"/>
        <item x="373"/>
        <item x="153"/>
        <item x="374"/>
        <item x="375"/>
        <item x="154"/>
        <item x="633"/>
        <item x="155"/>
        <item x="156"/>
        <item x="489"/>
        <item x="157"/>
        <item x="490"/>
        <item x="376"/>
        <item x="567"/>
        <item x="377"/>
        <item x="378"/>
        <item x="379"/>
        <item x="568"/>
        <item x="569"/>
        <item x="491"/>
        <item x="492"/>
        <item x="158"/>
        <item x="159"/>
        <item x="160"/>
        <item x="380"/>
        <item x="493"/>
        <item x="161"/>
        <item x="162"/>
        <item x="570"/>
        <item x="571"/>
        <item x="381"/>
        <item x="382"/>
        <item x="572"/>
        <item x="573"/>
        <item x="163"/>
        <item x="164"/>
        <item x="383"/>
        <item x="165"/>
        <item x="384"/>
        <item x="574"/>
        <item x="166"/>
        <item x="385"/>
        <item x="386"/>
        <item x="494"/>
        <item x="387"/>
        <item x="167"/>
        <item x="388"/>
        <item x="168"/>
        <item x="575"/>
        <item x="169"/>
        <item x="495"/>
        <item x="170"/>
        <item x="171"/>
        <item x="496"/>
        <item x="172"/>
        <item x="389"/>
        <item x="497"/>
        <item x="390"/>
        <item x="173"/>
        <item x="174"/>
        <item x="391"/>
        <item x="175"/>
        <item x="176"/>
        <item x="177"/>
        <item x="178"/>
        <item x="634"/>
        <item x="179"/>
        <item x="498"/>
        <item x="180"/>
        <item x="181"/>
        <item x="182"/>
        <item x="392"/>
        <item x="393"/>
        <item x="183"/>
        <item x="576"/>
        <item x="184"/>
        <item x="635"/>
        <item x="499"/>
        <item x="185"/>
        <item x="186"/>
        <item x="187"/>
        <item x="188"/>
        <item x="577"/>
        <item x="500"/>
        <item x="636"/>
        <item x="189"/>
        <item x="578"/>
        <item x="190"/>
        <item x="394"/>
        <item x="501"/>
        <item x="191"/>
        <item x="192"/>
        <item x="193"/>
        <item x="194"/>
        <item x="395"/>
        <item x="195"/>
        <item x="396"/>
        <item x="502"/>
        <item x="196"/>
        <item x="197"/>
        <item x="198"/>
        <item x="199"/>
        <item x="579"/>
        <item x="397"/>
        <item x="398"/>
        <item x="399"/>
        <item x="200"/>
        <item x="580"/>
        <item x="201"/>
        <item x="503"/>
        <item x="504"/>
        <item x="400"/>
        <item x="202"/>
        <item x="203"/>
        <item x="204"/>
        <item x="637"/>
        <item x="638"/>
        <item x="205"/>
        <item x="206"/>
        <item x="207"/>
        <item x="401"/>
        <item x="581"/>
        <item x="208"/>
        <item x="402"/>
        <item x="209"/>
        <item x="403"/>
        <item x="404"/>
        <item x="639"/>
        <item x="582"/>
        <item x="210"/>
        <item x="405"/>
        <item x="406"/>
        <item x="211"/>
        <item x="640"/>
        <item x="212"/>
        <item x="641"/>
        <item x="213"/>
        <item x="505"/>
        <item x="407"/>
        <item x="214"/>
        <item x="506"/>
        <item x="408"/>
        <item x="215"/>
        <item x="216"/>
        <item x="507"/>
        <item x="409"/>
        <item x="217"/>
        <item x="218"/>
        <item x="219"/>
        <item x="220"/>
        <item x="410"/>
        <item x="411"/>
        <item x="583"/>
        <item x="221"/>
        <item x="222"/>
        <item x="412"/>
        <item x="223"/>
        <item x="508"/>
        <item x="224"/>
        <item x="413"/>
        <item x="642"/>
        <item x="414"/>
        <item x="415"/>
        <item x="643"/>
        <item x="584"/>
        <item x="225"/>
        <item x="226"/>
        <item x="644"/>
        <item x="227"/>
        <item x="228"/>
        <item x="229"/>
        <item x="230"/>
        <item x="585"/>
        <item x="231"/>
        <item x="232"/>
        <item x="233"/>
        <item x="234"/>
        <item x="416"/>
        <item x="235"/>
        <item x="509"/>
        <item x="586"/>
        <item x="510"/>
        <item x="511"/>
        <item x="587"/>
        <item x="236"/>
        <item x="237"/>
        <item x="238"/>
        <item x="645"/>
        <item x="417"/>
        <item x="239"/>
        <item x="588"/>
        <item x="646"/>
        <item x="512"/>
        <item x="418"/>
        <item x="240"/>
        <item x="241"/>
        <item x="589"/>
        <item x="513"/>
        <item x="647"/>
        <item x="590"/>
        <item x="242"/>
        <item x="243"/>
        <item x="244"/>
        <item x="514"/>
        <item x="245"/>
        <item x="246"/>
        <item x="247"/>
        <item x="248"/>
        <item x="249"/>
        <item x="591"/>
        <item x="419"/>
        <item x="420"/>
        <item x="515"/>
        <item x="250"/>
        <item x="648"/>
        <item x="251"/>
        <item x="592"/>
        <item x="516"/>
        <item x="517"/>
        <item x="518"/>
        <item x="519"/>
        <item x="252"/>
        <item x="593"/>
        <item x="253"/>
        <item x="520"/>
        <item x="521"/>
        <item x="421"/>
        <item x="254"/>
        <item x="422"/>
        <item x="255"/>
        <item x="256"/>
        <item x="522"/>
        <item x="257"/>
        <item x="258"/>
        <item x="523"/>
        <item x="423"/>
        <item x="594"/>
        <item x="524"/>
        <item x="525"/>
        <item x="424"/>
        <item x="425"/>
        <item x="426"/>
        <item x="427"/>
        <item x="259"/>
        <item x="595"/>
        <item x="260"/>
        <item x="596"/>
        <item x="649"/>
        <item x="650"/>
        <item x="651"/>
        <item x="597"/>
        <item x="261"/>
        <item x="262"/>
        <item x="263"/>
        <item x="428"/>
        <item x="264"/>
        <item x="265"/>
        <item x="526"/>
        <item x="266"/>
        <item x="527"/>
        <item x="267"/>
        <item x="652"/>
        <item x="528"/>
        <item x="268"/>
        <item x="269"/>
        <item x="529"/>
        <item x="530"/>
        <item x="531"/>
        <item x="270"/>
        <item x="271"/>
        <item x="272"/>
        <item x="429"/>
        <item x="273"/>
        <item x="430"/>
        <item x="274"/>
        <item x="275"/>
        <item x="598"/>
        <item x="431"/>
        <item x="432"/>
        <item x="276"/>
        <item x="532"/>
        <item x="277"/>
        <item x="653"/>
        <item x="278"/>
        <item x="433"/>
        <item x="279"/>
        <item x="280"/>
        <item x="281"/>
        <item x="434"/>
        <item x="599"/>
        <item x="533"/>
        <item x="435"/>
        <item x="282"/>
        <item x="534"/>
        <item x="283"/>
        <item x="436"/>
        <item x="535"/>
        <item x="600"/>
        <item x="284"/>
        <item t="default"/>
      </items>
    </pivotField>
    <pivotField showAll="0"/>
    <pivotField showAll="0"/>
    <pivotField showAll="0"/>
    <pivotField showAll="0"/>
    <pivotField showAll="0">
      <items count="5">
        <item x="0"/>
        <item x="1"/>
        <item x="3"/>
        <item x="2"/>
        <item t="default"/>
      </items>
    </pivotField>
    <pivotField axis="axisCol" showAll="0">
      <items count="6">
        <item x="0"/>
        <item x="2"/>
        <item x="4"/>
        <item x="3"/>
        <item x="1"/>
        <item t="default"/>
      </items>
    </pivotField>
    <pivotField showAll="0"/>
    <pivotField showAll="0"/>
    <pivotField dataField="1" showAll="0"/>
    <pivotField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5">
        <item sd="0" x="0"/>
        <item sd="0" x="1"/>
        <item sd="0" x="2"/>
        <item sd="0" x="3"/>
        <item t="default"/>
      </items>
    </pivotField>
  </pivotFields>
  <rowFields count="1">
    <field x="14"/>
  </rowFields>
  <rowItems count="3">
    <i>
      <x v="1"/>
    </i>
    <i>
      <x v="2"/>
    </i>
    <i t="grand">
      <x/>
    </i>
  </rowItems>
  <colFields count="1">
    <field x="7"/>
  </colFields>
  <colItems count="6">
    <i>
      <x/>
    </i>
    <i>
      <x v="1"/>
    </i>
    <i>
      <x v="2"/>
    </i>
    <i>
      <x v="3"/>
    </i>
    <i>
      <x v="4"/>
    </i>
    <i t="grand">
      <x/>
    </i>
  </colItems>
  <dataFields count="1">
    <dataField name="Sum of Revenue" fld="10" baseField="0" baseItem="0" numFmtId="164"/>
  </dataFields>
  <formats count="36">
    <format dxfId="196">
      <pivotArea type="origin" dataOnly="0" labelOnly="1" outline="0" fieldPosition="0"/>
    </format>
    <format dxfId="195">
      <pivotArea field="7" type="button" dataOnly="0" labelOnly="1" outline="0" axis="axisCol" fieldPosition="0"/>
    </format>
    <format dxfId="194">
      <pivotArea type="topRight" dataOnly="0" labelOnly="1" outline="0" fieldPosition="0"/>
    </format>
    <format dxfId="193">
      <pivotArea type="origin" dataOnly="0" labelOnly="1" outline="0" fieldPosition="0"/>
    </format>
    <format dxfId="192">
      <pivotArea field="7" type="button" dataOnly="0" labelOnly="1" outline="0" axis="axisCol" fieldPosition="0"/>
    </format>
    <format dxfId="191">
      <pivotArea type="topRight" dataOnly="0" labelOnly="1" outline="0" fieldPosition="0"/>
    </format>
    <format dxfId="190">
      <pivotArea field="14" type="button" dataOnly="0" labelOnly="1" outline="0" axis="axisRow" fieldPosition="0"/>
    </format>
    <format dxfId="189">
      <pivotArea dataOnly="0" labelOnly="1" fieldPosition="0">
        <references count="1">
          <reference field="7" count="0"/>
        </references>
      </pivotArea>
    </format>
    <format dxfId="188">
      <pivotArea dataOnly="0" labelOnly="1" grandCol="1" outline="0" fieldPosition="0"/>
    </format>
    <format dxfId="187">
      <pivotArea field="14" type="button" dataOnly="0" labelOnly="1" outline="0" axis="axisRow" fieldPosition="0"/>
    </format>
    <format dxfId="186">
      <pivotArea dataOnly="0" labelOnly="1" fieldPosition="0">
        <references count="1">
          <reference field="7" count="0"/>
        </references>
      </pivotArea>
    </format>
    <format dxfId="185">
      <pivotArea dataOnly="0" labelOnly="1" grandCol="1" outline="0" fieldPosition="0"/>
    </format>
    <format dxfId="184">
      <pivotArea field="14" type="button" dataOnly="0" labelOnly="1" outline="0" axis="axisRow" fieldPosition="0"/>
    </format>
    <format dxfId="183">
      <pivotArea dataOnly="0" labelOnly="1" fieldPosition="0">
        <references count="1">
          <reference field="7" count="0"/>
        </references>
      </pivotArea>
    </format>
    <format dxfId="182">
      <pivotArea dataOnly="0" labelOnly="1" grandCol="1" outline="0" fieldPosition="0"/>
    </format>
    <format dxfId="181">
      <pivotArea collapsedLevelsAreSubtotals="1" fieldPosition="0">
        <references count="1">
          <reference field="14" count="1">
            <x v="1"/>
          </reference>
        </references>
      </pivotArea>
    </format>
    <format dxfId="180">
      <pivotArea collapsedLevelsAreSubtotals="1" fieldPosition="0">
        <references count="1">
          <reference field="14" count="1">
            <x v="2"/>
          </reference>
        </references>
      </pivotArea>
    </format>
    <format dxfId="179">
      <pivotArea dataOnly="0" labelOnly="1" fieldPosition="0">
        <references count="1">
          <reference field="14" count="2">
            <x v="1"/>
            <x v="2"/>
          </reference>
        </references>
      </pivotArea>
    </format>
    <format dxfId="178">
      <pivotArea dataOnly="0" labelOnly="1" grandRow="1" outline="0" fieldPosition="0"/>
    </format>
    <format dxfId="177">
      <pivotArea grandRow="1" outline="0" collapsedLevelsAreSubtotals="1" fieldPosition="0"/>
    </format>
    <format dxfId="176">
      <pivotArea dataOnly="0" labelOnly="1" grandRow="1" outline="0" fieldPosition="0"/>
    </format>
    <format dxfId="175">
      <pivotArea type="origin" dataOnly="0" labelOnly="1" outline="0" fieldPosition="0"/>
    </format>
    <format dxfId="174">
      <pivotArea collapsedLevelsAreSubtotals="1" fieldPosition="0">
        <references count="1">
          <reference field="14" count="1">
            <x v="1"/>
          </reference>
        </references>
      </pivotArea>
    </format>
    <format dxfId="173">
      <pivotArea collapsedLevelsAreSubtotals="1" fieldPosition="0">
        <references count="1">
          <reference field="14" count="1">
            <x v="2"/>
          </reference>
        </references>
      </pivotArea>
    </format>
    <format dxfId="172">
      <pivotArea dataOnly="0" labelOnly="1" fieldPosition="0">
        <references count="1">
          <reference field="14" count="2">
            <x v="1"/>
            <x v="2"/>
          </reference>
        </references>
      </pivotArea>
    </format>
    <format dxfId="171">
      <pivotArea grandRow="1" outline="0" collapsedLevelsAreSubtotals="1" fieldPosition="0"/>
    </format>
    <format dxfId="170">
      <pivotArea type="all" dataOnly="0" outline="0" fieldPosition="0"/>
    </format>
    <format dxfId="169">
      <pivotArea field="7" type="button" dataOnly="0" labelOnly="1" outline="0" axis="axisCol" fieldPosition="0"/>
    </format>
    <format dxfId="168">
      <pivotArea field="7" type="button" dataOnly="0" labelOnly="1" outline="0" axis="axisCol" fieldPosition="0"/>
    </format>
    <format dxfId="167">
      <pivotArea field="7" type="button" dataOnly="0" labelOnly="1" outline="0" axis="axisCol" fieldPosition="0"/>
    </format>
    <format dxfId="166">
      <pivotArea field="7" type="button" dataOnly="0" labelOnly="1" outline="0" axis="axisCol" fieldPosition="0"/>
    </format>
    <format dxfId="165">
      <pivotArea type="origin" dataOnly="0" labelOnly="1" outline="0" fieldPosition="0"/>
    </format>
    <format dxfId="164">
      <pivotArea type="origin" dataOnly="0" labelOnly="1" outline="0" fieldPosition="0"/>
    </format>
    <format dxfId="163">
      <pivotArea field="7" type="button" dataOnly="0" labelOnly="1" outline="0" axis="axisCol" fieldPosition="0"/>
    </format>
    <format dxfId="162">
      <pivotArea type="topRight" dataOnly="0" labelOnly="1" outline="0" fieldPosition="0"/>
    </format>
    <format dxfId="161">
      <pivotArea outline="0" collapsedLevelsAreSubtotals="1" fieldPosition="0"/>
    </format>
  </formats>
  <chartFormats count="15">
    <chartFormat chart="0" format="0" series="1">
      <pivotArea type="data" outline="0" fieldPosition="0">
        <references count="2">
          <reference field="4294967294" count="1" selected="0">
            <x v="0"/>
          </reference>
          <reference field="7" count="1" selected="0">
            <x v="0"/>
          </reference>
        </references>
      </pivotArea>
    </chartFormat>
    <chartFormat chart="0" format="1" series="1">
      <pivotArea type="data" outline="0" fieldPosition="0">
        <references count="2">
          <reference field="4294967294" count="1" selected="0">
            <x v="0"/>
          </reference>
          <reference field="7" count="1" selected="0">
            <x v="1"/>
          </reference>
        </references>
      </pivotArea>
    </chartFormat>
    <chartFormat chart="0" format="2" series="1">
      <pivotArea type="data" outline="0" fieldPosition="0">
        <references count="2">
          <reference field="4294967294" count="1" selected="0">
            <x v="0"/>
          </reference>
          <reference field="7" count="1" selected="0">
            <x v="2"/>
          </reference>
        </references>
      </pivotArea>
    </chartFormat>
    <chartFormat chart="0" format="3" series="1">
      <pivotArea type="data" outline="0" fieldPosition="0">
        <references count="2">
          <reference field="4294967294" count="1" selected="0">
            <x v="0"/>
          </reference>
          <reference field="7" count="1" selected="0">
            <x v="3"/>
          </reference>
        </references>
      </pivotArea>
    </chartFormat>
    <chartFormat chart="0" format="4" series="1">
      <pivotArea type="data" outline="0" fieldPosition="0">
        <references count="2">
          <reference field="4294967294" count="1" selected="0">
            <x v="0"/>
          </reference>
          <reference field="7" count="1" selected="0">
            <x v="4"/>
          </reference>
        </references>
      </pivotArea>
    </chartFormat>
    <chartFormat chart="2" format="10" series="1">
      <pivotArea type="data" outline="0" fieldPosition="0">
        <references count="2">
          <reference field="4294967294" count="1" selected="0">
            <x v="0"/>
          </reference>
          <reference field="7" count="1" selected="0">
            <x v="0"/>
          </reference>
        </references>
      </pivotArea>
    </chartFormat>
    <chartFormat chart="2" format="11" series="1">
      <pivotArea type="data" outline="0" fieldPosition="0">
        <references count="2">
          <reference field="4294967294" count="1" selected="0">
            <x v="0"/>
          </reference>
          <reference field="7" count="1" selected="0">
            <x v="1"/>
          </reference>
        </references>
      </pivotArea>
    </chartFormat>
    <chartFormat chart="2" format="12" series="1">
      <pivotArea type="data" outline="0" fieldPosition="0">
        <references count="2">
          <reference field="4294967294" count="1" selected="0">
            <x v="0"/>
          </reference>
          <reference field="7" count="1" selected="0">
            <x v="2"/>
          </reference>
        </references>
      </pivotArea>
    </chartFormat>
    <chartFormat chart="2" format="13" series="1">
      <pivotArea type="data" outline="0" fieldPosition="0">
        <references count="2">
          <reference field="4294967294" count="1" selected="0">
            <x v="0"/>
          </reference>
          <reference field="7" count="1" selected="0">
            <x v="3"/>
          </reference>
        </references>
      </pivotArea>
    </chartFormat>
    <chartFormat chart="2" format="14" series="1">
      <pivotArea type="data" outline="0" fieldPosition="0">
        <references count="2">
          <reference field="4294967294" count="1" selected="0">
            <x v="0"/>
          </reference>
          <reference field="7" count="1" selected="0">
            <x v="4"/>
          </reference>
        </references>
      </pivotArea>
    </chartFormat>
    <chartFormat chart="4" format="5" series="1">
      <pivotArea type="data" outline="0" fieldPosition="0">
        <references count="2">
          <reference field="4294967294" count="1" selected="0">
            <x v="0"/>
          </reference>
          <reference field="7" count="1" selected="0">
            <x v="0"/>
          </reference>
        </references>
      </pivotArea>
    </chartFormat>
    <chartFormat chart="4" format="6" series="1">
      <pivotArea type="data" outline="0" fieldPosition="0">
        <references count="2">
          <reference field="4294967294" count="1" selected="0">
            <x v="0"/>
          </reference>
          <reference field="7" count="1" selected="0">
            <x v="1"/>
          </reference>
        </references>
      </pivotArea>
    </chartFormat>
    <chartFormat chart="4" format="7" series="1">
      <pivotArea type="data" outline="0" fieldPosition="0">
        <references count="2">
          <reference field="4294967294" count="1" selected="0">
            <x v="0"/>
          </reference>
          <reference field="7" count="1" selected="0">
            <x v="2"/>
          </reference>
        </references>
      </pivotArea>
    </chartFormat>
    <chartFormat chart="4" format="8" series="1">
      <pivotArea type="data" outline="0" fieldPosition="0">
        <references count="2">
          <reference field="4294967294" count="1" selected="0">
            <x v="0"/>
          </reference>
          <reference field="7" count="1" selected="0">
            <x v="3"/>
          </reference>
        </references>
      </pivotArea>
    </chartFormat>
    <chartFormat chart="4" format="9" series="1">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DE0A1A-9538-4DAA-BD1D-2852E4C5CB01}"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B3:C16" firstHeaderRow="1" firstDataRow="1" firstDataCol="1"/>
  <pivotFields count="15">
    <pivotField showAll="0"/>
    <pivotField numFmtId="14" showAll="0">
      <items count="655">
        <item x="437"/>
        <item x="285"/>
        <item x="286"/>
        <item x="287"/>
        <item x="0"/>
        <item x="601"/>
        <item x="1"/>
        <item x="2"/>
        <item x="3"/>
        <item x="602"/>
        <item x="4"/>
        <item x="5"/>
        <item x="6"/>
        <item x="603"/>
        <item x="7"/>
        <item x="536"/>
        <item x="288"/>
        <item x="8"/>
        <item x="289"/>
        <item x="438"/>
        <item x="439"/>
        <item x="9"/>
        <item x="290"/>
        <item x="10"/>
        <item x="11"/>
        <item x="12"/>
        <item x="291"/>
        <item x="13"/>
        <item x="14"/>
        <item x="440"/>
        <item x="604"/>
        <item x="605"/>
        <item x="15"/>
        <item x="16"/>
        <item x="17"/>
        <item x="18"/>
        <item x="292"/>
        <item x="441"/>
        <item x="19"/>
        <item x="442"/>
        <item x="443"/>
        <item x="20"/>
        <item x="537"/>
        <item x="21"/>
        <item x="606"/>
        <item x="444"/>
        <item x="293"/>
        <item x="538"/>
        <item x="539"/>
        <item x="22"/>
        <item x="294"/>
        <item x="295"/>
        <item x="445"/>
        <item x="23"/>
        <item x="24"/>
        <item x="25"/>
        <item x="26"/>
        <item x="446"/>
        <item x="296"/>
        <item x="540"/>
        <item x="541"/>
        <item x="447"/>
        <item x="297"/>
        <item x="448"/>
        <item x="298"/>
        <item x="449"/>
        <item x="27"/>
        <item x="542"/>
        <item x="607"/>
        <item x="28"/>
        <item x="29"/>
        <item x="30"/>
        <item x="299"/>
        <item x="31"/>
        <item x="32"/>
        <item x="300"/>
        <item x="33"/>
        <item x="450"/>
        <item x="34"/>
        <item x="451"/>
        <item x="543"/>
        <item x="544"/>
        <item x="301"/>
        <item x="35"/>
        <item x="36"/>
        <item x="302"/>
        <item x="303"/>
        <item x="545"/>
        <item x="452"/>
        <item x="37"/>
        <item x="608"/>
        <item x="38"/>
        <item x="609"/>
        <item x="546"/>
        <item x="304"/>
        <item x="305"/>
        <item x="306"/>
        <item x="453"/>
        <item x="454"/>
        <item x="610"/>
        <item x="611"/>
        <item x="39"/>
        <item x="307"/>
        <item x="40"/>
        <item x="308"/>
        <item x="547"/>
        <item x="41"/>
        <item x="612"/>
        <item x="42"/>
        <item x="43"/>
        <item x="44"/>
        <item x="45"/>
        <item x="309"/>
        <item x="310"/>
        <item x="46"/>
        <item x="548"/>
        <item x="613"/>
        <item x="47"/>
        <item x="311"/>
        <item x="455"/>
        <item x="614"/>
        <item x="312"/>
        <item x="48"/>
        <item x="615"/>
        <item x="49"/>
        <item x="313"/>
        <item x="616"/>
        <item x="456"/>
        <item x="50"/>
        <item x="457"/>
        <item x="549"/>
        <item x="314"/>
        <item x="458"/>
        <item x="617"/>
        <item x="51"/>
        <item x="52"/>
        <item x="53"/>
        <item x="54"/>
        <item x="55"/>
        <item x="56"/>
        <item x="315"/>
        <item x="57"/>
        <item x="58"/>
        <item x="316"/>
        <item x="317"/>
        <item x="59"/>
        <item x="318"/>
        <item x="459"/>
        <item x="60"/>
        <item x="319"/>
        <item x="618"/>
        <item x="320"/>
        <item x="321"/>
        <item x="61"/>
        <item x="62"/>
        <item x="460"/>
        <item x="461"/>
        <item x="462"/>
        <item x="63"/>
        <item x="64"/>
        <item x="463"/>
        <item x="65"/>
        <item x="66"/>
        <item x="67"/>
        <item x="322"/>
        <item x="323"/>
        <item x="68"/>
        <item x="550"/>
        <item x="324"/>
        <item x="69"/>
        <item x="551"/>
        <item x="70"/>
        <item x="71"/>
        <item x="619"/>
        <item x="72"/>
        <item x="325"/>
        <item x="73"/>
        <item x="620"/>
        <item x="74"/>
        <item x="552"/>
        <item x="75"/>
        <item x="326"/>
        <item x="621"/>
        <item x="327"/>
        <item x="553"/>
        <item x="622"/>
        <item x="76"/>
        <item x="328"/>
        <item x="77"/>
        <item x="554"/>
        <item x="464"/>
        <item x="78"/>
        <item x="623"/>
        <item x="79"/>
        <item x="80"/>
        <item x="81"/>
        <item x="329"/>
        <item x="82"/>
        <item x="330"/>
        <item x="331"/>
        <item x="555"/>
        <item x="83"/>
        <item x="84"/>
        <item x="624"/>
        <item x="85"/>
        <item x="556"/>
        <item x="332"/>
        <item x="86"/>
        <item x="333"/>
        <item x="465"/>
        <item x="334"/>
        <item x="466"/>
        <item x="335"/>
        <item x="336"/>
        <item x="337"/>
        <item x="557"/>
        <item x="338"/>
        <item x="558"/>
        <item x="339"/>
        <item x="87"/>
        <item x="340"/>
        <item x="88"/>
        <item x="89"/>
        <item x="90"/>
        <item x="467"/>
        <item x="341"/>
        <item x="625"/>
        <item x="91"/>
        <item x="468"/>
        <item x="342"/>
        <item x="92"/>
        <item x="93"/>
        <item x="94"/>
        <item x="95"/>
        <item x="469"/>
        <item x="559"/>
        <item x="96"/>
        <item x="97"/>
        <item x="98"/>
        <item x="626"/>
        <item x="99"/>
        <item x="470"/>
        <item x="100"/>
        <item x="101"/>
        <item x="627"/>
        <item x="102"/>
        <item x="628"/>
        <item x="103"/>
        <item x="471"/>
        <item x="104"/>
        <item x="105"/>
        <item x="106"/>
        <item x="107"/>
        <item x="108"/>
        <item x="472"/>
        <item x="109"/>
        <item x="343"/>
        <item x="110"/>
        <item x="629"/>
        <item x="473"/>
        <item x="111"/>
        <item x="344"/>
        <item x="345"/>
        <item x="346"/>
        <item x="112"/>
        <item x="347"/>
        <item x="113"/>
        <item x="348"/>
        <item x="630"/>
        <item x="474"/>
        <item x="114"/>
        <item x="349"/>
        <item x="350"/>
        <item x="115"/>
        <item x="351"/>
        <item x="560"/>
        <item x="352"/>
        <item x="353"/>
        <item x="116"/>
        <item x="475"/>
        <item x="117"/>
        <item x="118"/>
        <item x="354"/>
        <item x="355"/>
        <item x="356"/>
        <item x="357"/>
        <item x="358"/>
        <item x="119"/>
        <item x="120"/>
        <item x="476"/>
        <item x="121"/>
        <item x="477"/>
        <item x="359"/>
        <item x="631"/>
        <item x="122"/>
        <item x="123"/>
        <item x="478"/>
        <item x="479"/>
        <item x="124"/>
        <item x="125"/>
        <item x="480"/>
        <item x="126"/>
        <item x="127"/>
        <item x="128"/>
        <item x="481"/>
        <item x="561"/>
        <item x="129"/>
        <item x="562"/>
        <item x="482"/>
        <item x="563"/>
        <item x="130"/>
        <item x="131"/>
        <item x="132"/>
        <item x="133"/>
        <item x="483"/>
        <item x="484"/>
        <item x="485"/>
        <item x="486"/>
        <item x="360"/>
        <item x="134"/>
        <item x="361"/>
        <item x="487"/>
        <item x="135"/>
        <item x="136"/>
        <item x="137"/>
        <item x="138"/>
        <item x="139"/>
        <item x="140"/>
        <item x="141"/>
        <item x="362"/>
        <item x="142"/>
        <item x="363"/>
        <item x="143"/>
        <item x="564"/>
        <item x="144"/>
        <item x="145"/>
        <item x="364"/>
        <item x="146"/>
        <item x="147"/>
        <item x="488"/>
        <item x="365"/>
        <item x="632"/>
        <item x="366"/>
        <item x="367"/>
        <item x="368"/>
        <item x="369"/>
        <item x="148"/>
        <item x="370"/>
        <item x="371"/>
        <item x="372"/>
        <item x="149"/>
        <item x="150"/>
        <item x="565"/>
        <item x="151"/>
        <item x="566"/>
        <item x="152"/>
        <item x="373"/>
        <item x="153"/>
        <item x="374"/>
        <item x="375"/>
        <item x="154"/>
        <item x="633"/>
        <item x="155"/>
        <item x="156"/>
        <item x="489"/>
        <item x="157"/>
        <item x="490"/>
        <item x="376"/>
        <item x="567"/>
        <item x="377"/>
        <item x="378"/>
        <item x="379"/>
        <item x="568"/>
        <item x="569"/>
        <item x="491"/>
        <item x="492"/>
        <item x="158"/>
        <item x="159"/>
        <item x="160"/>
        <item x="380"/>
        <item x="493"/>
        <item x="161"/>
        <item x="162"/>
        <item x="570"/>
        <item x="571"/>
        <item x="381"/>
        <item x="382"/>
        <item x="572"/>
        <item x="573"/>
        <item x="163"/>
        <item x="164"/>
        <item x="383"/>
        <item x="165"/>
        <item x="384"/>
        <item x="574"/>
        <item x="166"/>
        <item x="385"/>
        <item x="386"/>
        <item x="494"/>
        <item x="387"/>
        <item x="167"/>
        <item x="388"/>
        <item x="168"/>
        <item x="575"/>
        <item x="169"/>
        <item x="495"/>
        <item x="170"/>
        <item x="171"/>
        <item x="496"/>
        <item x="172"/>
        <item x="389"/>
        <item x="497"/>
        <item x="390"/>
        <item x="173"/>
        <item x="174"/>
        <item x="391"/>
        <item x="175"/>
        <item x="176"/>
        <item x="177"/>
        <item x="178"/>
        <item x="634"/>
        <item x="179"/>
        <item x="498"/>
        <item x="180"/>
        <item x="181"/>
        <item x="182"/>
        <item x="392"/>
        <item x="393"/>
        <item x="183"/>
        <item x="576"/>
        <item x="184"/>
        <item x="635"/>
        <item x="499"/>
        <item x="185"/>
        <item x="186"/>
        <item x="187"/>
        <item x="188"/>
        <item x="577"/>
        <item x="500"/>
        <item x="636"/>
        <item x="189"/>
        <item x="578"/>
        <item x="190"/>
        <item x="394"/>
        <item x="501"/>
        <item x="191"/>
        <item x="192"/>
        <item x="193"/>
        <item x="194"/>
        <item x="395"/>
        <item x="195"/>
        <item x="396"/>
        <item x="502"/>
        <item x="196"/>
        <item x="197"/>
        <item x="198"/>
        <item x="199"/>
        <item x="579"/>
        <item x="397"/>
        <item x="398"/>
        <item x="399"/>
        <item x="200"/>
        <item x="580"/>
        <item x="201"/>
        <item x="503"/>
        <item x="504"/>
        <item x="400"/>
        <item x="202"/>
        <item x="203"/>
        <item x="204"/>
        <item x="637"/>
        <item x="638"/>
        <item x="205"/>
        <item x="206"/>
        <item x="207"/>
        <item x="401"/>
        <item x="581"/>
        <item x="208"/>
        <item x="402"/>
        <item x="209"/>
        <item x="403"/>
        <item x="404"/>
        <item x="639"/>
        <item x="582"/>
        <item x="210"/>
        <item x="405"/>
        <item x="406"/>
        <item x="211"/>
        <item x="640"/>
        <item x="212"/>
        <item x="641"/>
        <item x="213"/>
        <item x="505"/>
        <item x="407"/>
        <item x="214"/>
        <item x="506"/>
        <item x="408"/>
        <item x="215"/>
        <item x="216"/>
        <item x="507"/>
        <item x="409"/>
        <item x="217"/>
        <item x="218"/>
        <item x="219"/>
        <item x="220"/>
        <item x="410"/>
        <item x="411"/>
        <item x="583"/>
        <item x="221"/>
        <item x="222"/>
        <item x="412"/>
        <item x="223"/>
        <item x="508"/>
        <item x="224"/>
        <item x="413"/>
        <item x="642"/>
        <item x="414"/>
        <item x="415"/>
        <item x="643"/>
        <item x="584"/>
        <item x="225"/>
        <item x="226"/>
        <item x="644"/>
        <item x="227"/>
        <item x="228"/>
        <item x="229"/>
        <item x="230"/>
        <item x="585"/>
        <item x="231"/>
        <item x="232"/>
        <item x="233"/>
        <item x="234"/>
        <item x="416"/>
        <item x="235"/>
        <item x="509"/>
        <item x="586"/>
        <item x="510"/>
        <item x="511"/>
        <item x="587"/>
        <item x="236"/>
        <item x="237"/>
        <item x="238"/>
        <item x="645"/>
        <item x="417"/>
        <item x="239"/>
        <item x="588"/>
        <item x="646"/>
        <item x="512"/>
        <item x="418"/>
        <item x="240"/>
        <item x="241"/>
        <item x="589"/>
        <item x="513"/>
        <item x="647"/>
        <item x="590"/>
        <item x="242"/>
        <item x="243"/>
        <item x="244"/>
        <item x="514"/>
        <item x="245"/>
        <item x="246"/>
        <item x="247"/>
        <item x="248"/>
        <item x="249"/>
        <item x="591"/>
        <item x="419"/>
        <item x="420"/>
        <item x="515"/>
        <item x="250"/>
        <item x="648"/>
        <item x="251"/>
        <item x="592"/>
        <item x="516"/>
        <item x="517"/>
        <item x="518"/>
        <item x="519"/>
        <item x="252"/>
        <item x="593"/>
        <item x="253"/>
        <item x="520"/>
        <item x="521"/>
        <item x="421"/>
        <item x="254"/>
        <item x="422"/>
        <item x="255"/>
        <item x="256"/>
        <item x="522"/>
        <item x="257"/>
        <item x="258"/>
        <item x="523"/>
        <item x="423"/>
        <item x="594"/>
        <item x="524"/>
        <item x="525"/>
        <item x="424"/>
        <item x="425"/>
        <item x="426"/>
        <item x="427"/>
        <item x="259"/>
        <item x="595"/>
        <item x="260"/>
        <item x="596"/>
        <item x="649"/>
        <item x="650"/>
        <item x="651"/>
        <item x="597"/>
        <item x="261"/>
        <item x="262"/>
        <item x="263"/>
        <item x="428"/>
        <item x="264"/>
        <item x="265"/>
        <item x="526"/>
        <item x="266"/>
        <item x="527"/>
        <item x="267"/>
        <item x="652"/>
        <item x="528"/>
        <item x="268"/>
        <item x="269"/>
        <item x="529"/>
        <item x="530"/>
        <item x="531"/>
        <item x="270"/>
        <item x="271"/>
        <item x="272"/>
        <item x="429"/>
        <item x="273"/>
        <item x="430"/>
        <item x="274"/>
        <item x="275"/>
        <item x="598"/>
        <item x="431"/>
        <item x="432"/>
        <item x="276"/>
        <item x="532"/>
        <item x="277"/>
        <item x="653"/>
        <item x="278"/>
        <item x="433"/>
        <item x="279"/>
        <item x="280"/>
        <item x="281"/>
        <item x="434"/>
        <item x="599"/>
        <item x="533"/>
        <item x="435"/>
        <item x="282"/>
        <item x="534"/>
        <item x="283"/>
        <item x="436"/>
        <item x="535"/>
        <item x="600"/>
        <item x="284"/>
        <item t="default"/>
      </items>
    </pivotField>
    <pivotField showAll="0"/>
    <pivotField showAll="0"/>
    <pivotField showAll="0"/>
    <pivotField showAll="0"/>
    <pivotField showAll="0"/>
    <pivotField showAll="0"/>
    <pivotField showAll="0"/>
    <pivotField showAll="0"/>
    <pivotField dataField="1" showAll="0"/>
    <pivotField showAll="0"/>
    <pivotField axis="axisRow" showAll="0" defaultSubtotal="0">
      <items count="14">
        <item x="0"/>
        <item x="1"/>
        <item x="2"/>
        <item x="3"/>
        <item x="4"/>
        <item x="5"/>
        <item x="6"/>
        <item x="7"/>
        <item x="8"/>
        <item x="9"/>
        <item x="10"/>
        <item x="11"/>
        <item x="12"/>
        <item x="13"/>
      </items>
    </pivotField>
    <pivotField showAll="0" defaultSubtotal="0"/>
    <pivotField showAll="0" defaultSubtotal="0">
      <items count="4">
        <item x="0"/>
        <item x="1"/>
        <item x="2"/>
        <item x="3"/>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Revenue" fld="10" baseField="0" baseItem="0" numFmtId="164"/>
  </dataFields>
  <formats count="25">
    <format dxfId="160">
      <pivotArea field="12" type="button" dataOnly="0" labelOnly="1" outline="0" axis="axisRow" fieldPosition="0"/>
    </format>
    <format dxfId="159">
      <pivotArea dataOnly="0" labelOnly="1" outline="0" axis="axisValues" fieldPosition="0"/>
    </format>
    <format dxfId="158">
      <pivotArea field="12" type="button" dataOnly="0" labelOnly="1" outline="0" axis="axisRow" fieldPosition="0"/>
    </format>
    <format dxfId="157">
      <pivotArea dataOnly="0" labelOnly="1" outline="0" axis="axisValues" fieldPosition="0"/>
    </format>
    <format dxfId="156">
      <pivotArea collapsedLevelsAreSubtotals="1" fieldPosition="0">
        <references count="1">
          <reference field="12" count="12">
            <x v="1"/>
            <x v="2"/>
            <x v="3"/>
            <x v="4"/>
            <x v="5"/>
            <x v="6"/>
            <x v="7"/>
            <x v="8"/>
            <x v="9"/>
            <x v="10"/>
            <x v="11"/>
            <x v="12"/>
          </reference>
        </references>
      </pivotArea>
    </format>
    <format dxfId="155">
      <pivotArea grandRow="1" outline="0" collapsedLevelsAreSubtotals="1" fieldPosition="0"/>
    </format>
    <format dxfId="154">
      <pivotArea grandRow="1" outline="0" collapsedLevelsAreSubtotals="1" fieldPosition="0"/>
    </format>
    <format dxfId="153">
      <pivotArea grandRow="1" outline="0" collapsedLevelsAreSubtotals="1" fieldPosition="0"/>
    </format>
    <format dxfId="152">
      <pivotArea dataOnly="0" labelOnly="1" grandRow="1" outline="0" fieldPosition="0"/>
    </format>
    <format dxfId="151">
      <pivotArea dataOnly="0" labelOnly="1" grandRow="1" outline="0" fieldPosition="0"/>
    </format>
    <format dxfId="150">
      <pivotArea field="12" type="button" dataOnly="0" labelOnly="1" outline="0" axis="axisRow" fieldPosition="0"/>
    </format>
    <format dxfId="149">
      <pivotArea dataOnly="0" labelOnly="1" outline="0" axis="axisValues" fieldPosition="0"/>
    </format>
    <format dxfId="148">
      <pivotArea collapsedLevelsAreSubtotals="1" fieldPosition="0">
        <references count="1">
          <reference field="12" count="12">
            <x v="1"/>
            <x v="2"/>
            <x v="3"/>
            <x v="4"/>
            <x v="5"/>
            <x v="6"/>
            <x v="7"/>
            <x v="8"/>
            <x v="9"/>
            <x v="10"/>
            <x v="11"/>
            <x v="12"/>
          </reference>
        </references>
      </pivotArea>
    </format>
    <format dxfId="147">
      <pivotArea dataOnly="0" labelOnly="1" fieldPosition="0">
        <references count="1">
          <reference field="12" count="12">
            <x v="1"/>
            <x v="2"/>
            <x v="3"/>
            <x v="4"/>
            <x v="5"/>
            <x v="6"/>
            <x v="7"/>
            <x v="8"/>
            <x v="9"/>
            <x v="10"/>
            <x v="11"/>
            <x v="12"/>
          </reference>
        </references>
      </pivotArea>
    </format>
    <format dxfId="146">
      <pivotArea field="12" type="button" dataOnly="0" labelOnly="1" outline="0" axis="axisRow" fieldPosition="0"/>
    </format>
    <format dxfId="145">
      <pivotArea dataOnly="0" labelOnly="1" outline="0" axis="axisValues" fieldPosition="0"/>
    </format>
    <format dxfId="144">
      <pivotArea grandRow="1" outline="0" collapsedLevelsAreSubtotals="1" fieldPosition="0"/>
    </format>
    <format dxfId="143">
      <pivotArea dataOnly="0" labelOnly="1" grandRow="1" outline="0" fieldPosition="0"/>
    </format>
    <format dxfId="142">
      <pivotArea grandRow="1" outline="0" collapsedLevelsAreSubtotals="1" fieldPosition="0"/>
    </format>
    <format dxfId="141">
      <pivotArea dataOnly="0" labelOnly="1" grandRow="1" outline="0" fieldPosition="0"/>
    </format>
    <format dxfId="140">
      <pivotArea field="12" type="button" dataOnly="0" labelOnly="1" outline="0" axis="axisRow" fieldPosition="0"/>
    </format>
    <format dxfId="139">
      <pivotArea dataOnly="0" labelOnly="1" outline="0" axis="axisValues" fieldPosition="0"/>
    </format>
    <format dxfId="138">
      <pivotArea field="12" type="button" dataOnly="0" labelOnly="1" outline="0" axis="axisRow" fieldPosition="0"/>
    </format>
    <format dxfId="137">
      <pivotArea dataOnly="0" labelOnly="1" outline="0" axis="axisValues" fieldPosition="0"/>
    </format>
    <format dxfId="136">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47BC1A7-9C05-4AC0-B7DD-010B47D195EF}"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B3:C12" firstHeaderRow="1" firstDataRow="1" firstDataCol="1"/>
  <pivotFields count="15">
    <pivotField showAll="0"/>
    <pivotField numFmtId="14" showAll="0">
      <items count="655">
        <item x="437"/>
        <item x="285"/>
        <item x="286"/>
        <item x="287"/>
        <item x="0"/>
        <item x="601"/>
        <item x="1"/>
        <item x="2"/>
        <item x="3"/>
        <item x="602"/>
        <item x="4"/>
        <item x="5"/>
        <item x="6"/>
        <item x="603"/>
        <item x="7"/>
        <item x="536"/>
        <item x="288"/>
        <item x="8"/>
        <item x="289"/>
        <item x="438"/>
        <item x="439"/>
        <item x="9"/>
        <item x="290"/>
        <item x="10"/>
        <item x="11"/>
        <item x="12"/>
        <item x="291"/>
        <item x="13"/>
        <item x="14"/>
        <item x="440"/>
        <item x="604"/>
        <item x="605"/>
        <item x="15"/>
        <item x="16"/>
        <item x="17"/>
        <item x="18"/>
        <item x="292"/>
        <item x="441"/>
        <item x="19"/>
        <item x="442"/>
        <item x="443"/>
        <item x="20"/>
        <item x="537"/>
        <item x="21"/>
        <item x="606"/>
        <item x="444"/>
        <item x="293"/>
        <item x="538"/>
        <item x="539"/>
        <item x="22"/>
        <item x="294"/>
        <item x="295"/>
        <item x="445"/>
        <item x="23"/>
        <item x="24"/>
        <item x="25"/>
        <item x="26"/>
        <item x="446"/>
        <item x="296"/>
        <item x="540"/>
        <item x="541"/>
        <item x="447"/>
        <item x="297"/>
        <item x="448"/>
        <item x="298"/>
        <item x="449"/>
        <item x="27"/>
        <item x="542"/>
        <item x="607"/>
        <item x="28"/>
        <item x="29"/>
        <item x="30"/>
        <item x="299"/>
        <item x="31"/>
        <item x="32"/>
        <item x="300"/>
        <item x="33"/>
        <item x="450"/>
        <item x="34"/>
        <item x="451"/>
        <item x="543"/>
        <item x="544"/>
        <item x="301"/>
        <item x="35"/>
        <item x="36"/>
        <item x="302"/>
        <item x="303"/>
        <item x="545"/>
        <item x="452"/>
        <item x="37"/>
        <item x="608"/>
        <item x="38"/>
        <item x="609"/>
        <item x="546"/>
        <item x="304"/>
        <item x="305"/>
        <item x="306"/>
        <item x="453"/>
        <item x="454"/>
        <item x="610"/>
        <item x="611"/>
        <item x="39"/>
        <item x="307"/>
        <item x="40"/>
        <item x="308"/>
        <item x="547"/>
        <item x="41"/>
        <item x="612"/>
        <item x="42"/>
        <item x="43"/>
        <item x="44"/>
        <item x="45"/>
        <item x="309"/>
        <item x="310"/>
        <item x="46"/>
        <item x="548"/>
        <item x="613"/>
        <item x="47"/>
        <item x="311"/>
        <item x="455"/>
        <item x="614"/>
        <item x="312"/>
        <item x="48"/>
        <item x="615"/>
        <item x="49"/>
        <item x="313"/>
        <item x="616"/>
        <item x="456"/>
        <item x="50"/>
        <item x="457"/>
        <item x="549"/>
        <item x="314"/>
        <item x="458"/>
        <item x="617"/>
        <item x="51"/>
        <item x="52"/>
        <item x="53"/>
        <item x="54"/>
        <item x="55"/>
        <item x="56"/>
        <item x="315"/>
        <item x="57"/>
        <item x="58"/>
        <item x="316"/>
        <item x="317"/>
        <item x="59"/>
        <item x="318"/>
        <item x="459"/>
        <item x="60"/>
        <item x="319"/>
        <item x="618"/>
        <item x="320"/>
        <item x="321"/>
        <item x="61"/>
        <item x="62"/>
        <item x="460"/>
        <item x="461"/>
        <item x="462"/>
        <item x="63"/>
        <item x="64"/>
        <item x="463"/>
        <item x="65"/>
        <item x="66"/>
        <item x="67"/>
        <item x="322"/>
        <item x="323"/>
        <item x="68"/>
        <item x="550"/>
        <item x="324"/>
        <item x="69"/>
        <item x="551"/>
        <item x="70"/>
        <item x="71"/>
        <item x="619"/>
        <item x="72"/>
        <item x="325"/>
        <item x="73"/>
        <item x="620"/>
        <item x="74"/>
        <item x="552"/>
        <item x="75"/>
        <item x="326"/>
        <item x="621"/>
        <item x="327"/>
        <item x="553"/>
        <item x="622"/>
        <item x="76"/>
        <item x="328"/>
        <item x="77"/>
        <item x="554"/>
        <item x="464"/>
        <item x="78"/>
        <item x="623"/>
        <item x="79"/>
        <item x="80"/>
        <item x="81"/>
        <item x="329"/>
        <item x="82"/>
        <item x="330"/>
        <item x="331"/>
        <item x="555"/>
        <item x="83"/>
        <item x="84"/>
        <item x="624"/>
        <item x="85"/>
        <item x="556"/>
        <item x="332"/>
        <item x="86"/>
        <item x="333"/>
        <item x="465"/>
        <item x="334"/>
        <item x="466"/>
        <item x="335"/>
        <item x="336"/>
        <item x="337"/>
        <item x="557"/>
        <item x="338"/>
        <item x="558"/>
        <item x="339"/>
        <item x="87"/>
        <item x="340"/>
        <item x="88"/>
        <item x="89"/>
        <item x="90"/>
        <item x="467"/>
        <item x="341"/>
        <item x="625"/>
        <item x="91"/>
        <item x="468"/>
        <item x="342"/>
        <item x="92"/>
        <item x="93"/>
        <item x="94"/>
        <item x="95"/>
        <item x="469"/>
        <item x="559"/>
        <item x="96"/>
        <item x="97"/>
        <item x="98"/>
        <item x="626"/>
        <item x="99"/>
        <item x="470"/>
        <item x="100"/>
        <item x="101"/>
        <item x="627"/>
        <item x="102"/>
        <item x="628"/>
        <item x="103"/>
        <item x="471"/>
        <item x="104"/>
        <item x="105"/>
        <item x="106"/>
        <item x="107"/>
        <item x="108"/>
        <item x="472"/>
        <item x="109"/>
        <item x="343"/>
        <item x="110"/>
        <item x="629"/>
        <item x="473"/>
        <item x="111"/>
        <item x="344"/>
        <item x="345"/>
        <item x="346"/>
        <item x="112"/>
        <item x="347"/>
        <item x="113"/>
        <item x="348"/>
        <item x="630"/>
        <item x="474"/>
        <item x="114"/>
        <item x="349"/>
        <item x="350"/>
        <item x="115"/>
        <item x="351"/>
        <item x="560"/>
        <item x="352"/>
        <item x="353"/>
        <item x="116"/>
        <item x="475"/>
        <item x="117"/>
        <item x="118"/>
        <item x="354"/>
        <item x="355"/>
        <item x="356"/>
        <item x="357"/>
        <item x="358"/>
        <item x="119"/>
        <item x="120"/>
        <item x="476"/>
        <item x="121"/>
        <item x="477"/>
        <item x="359"/>
        <item x="631"/>
        <item x="122"/>
        <item x="123"/>
        <item x="478"/>
        <item x="479"/>
        <item x="124"/>
        <item x="125"/>
        <item x="480"/>
        <item x="126"/>
        <item x="127"/>
        <item x="128"/>
        <item x="481"/>
        <item x="561"/>
        <item x="129"/>
        <item x="562"/>
        <item x="482"/>
        <item x="563"/>
        <item x="130"/>
        <item x="131"/>
        <item x="132"/>
        <item x="133"/>
        <item x="483"/>
        <item x="484"/>
        <item x="485"/>
        <item x="486"/>
        <item x="360"/>
        <item x="134"/>
        <item x="361"/>
        <item x="487"/>
        <item x="135"/>
        <item x="136"/>
        <item x="137"/>
        <item x="138"/>
        <item x="139"/>
        <item x="140"/>
        <item x="141"/>
        <item x="362"/>
        <item x="142"/>
        <item x="363"/>
        <item x="143"/>
        <item x="564"/>
        <item x="144"/>
        <item x="145"/>
        <item x="364"/>
        <item x="146"/>
        <item x="147"/>
        <item x="488"/>
        <item x="365"/>
        <item x="632"/>
        <item x="366"/>
        <item x="367"/>
        <item x="368"/>
        <item x="369"/>
        <item x="148"/>
        <item x="370"/>
        <item x="371"/>
        <item x="372"/>
        <item x="149"/>
        <item x="150"/>
        <item x="565"/>
        <item x="151"/>
        <item x="566"/>
        <item x="152"/>
        <item x="373"/>
        <item x="153"/>
        <item x="374"/>
        <item x="375"/>
        <item x="154"/>
        <item x="633"/>
        <item x="155"/>
        <item x="156"/>
        <item x="489"/>
        <item x="157"/>
        <item x="490"/>
        <item x="376"/>
        <item x="567"/>
        <item x="377"/>
        <item x="378"/>
        <item x="379"/>
        <item x="568"/>
        <item x="569"/>
        <item x="491"/>
        <item x="492"/>
        <item x="158"/>
        <item x="159"/>
        <item x="160"/>
        <item x="380"/>
        <item x="493"/>
        <item x="161"/>
        <item x="162"/>
        <item x="570"/>
        <item x="571"/>
        <item x="381"/>
        <item x="382"/>
        <item x="572"/>
        <item x="573"/>
        <item x="163"/>
        <item x="164"/>
        <item x="383"/>
        <item x="165"/>
        <item x="384"/>
        <item x="574"/>
        <item x="166"/>
        <item x="385"/>
        <item x="386"/>
        <item x="494"/>
        <item x="387"/>
        <item x="167"/>
        <item x="388"/>
        <item x="168"/>
        <item x="575"/>
        <item x="169"/>
        <item x="495"/>
        <item x="170"/>
        <item x="171"/>
        <item x="496"/>
        <item x="172"/>
        <item x="389"/>
        <item x="497"/>
        <item x="390"/>
        <item x="173"/>
        <item x="174"/>
        <item x="391"/>
        <item x="175"/>
        <item x="176"/>
        <item x="177"/>
        <item x="178"/>
        <item x="634"/>
        <item x="179"/>
        <item x="498"/>
        <item x="180"/>
        <item x="181"/>
        <item x="182"/>
        <item x="392"/>
        <item x="393"/>
        <item x="183"/>
        <item x="576"/>
        <item x="184"/>
        <item x="635"/>
        <item x="499"/>
        <item x="185"/>
        <item x="186"/>
        <item x="187"/>
        <item x="188"/>
        <item x="577"/>
        <item x="500"/>
        <item x="636"/>
        <item x="189"/>
        <item x="578"/>
        <item x="190"/>
        <item x="394"/>
        <item x="501"/>
        <item x="191"/>
        <item x="192"/>
        <item x="193"/>
        <item x="194"/>
        <item x="395"/>
        <item x="195"/>
        <item x="396"/>
        <item x="502"/>
        <item x="196"/>
        <item x="197"/>
        <item x="198"/>
        <item x="199"/>
        <item x="579"/>
        <item x="397"/>
        <item x="398"/>
        <item x="399"/>
        <item x="200"/>
        <item x="580"/>
        <item x="201"/>
        <item x="503"/>
        <item x="504"/>
        <item x="400"/>
        <item x="202"/>
        <item x="203"/>
        <item x="204"/>
        <item x="637"/>
        <item x="638"/>
        <item x="205"/>
        <item x="206"/>
        <item x="207"/>
        <item x="401"/>
        <item x="581"/>
        <item x="208"/>
        <item x="402"/>
        <item x="209"/>
        <item x="403"/>
        <item x="404"/>
        <item x="639"/>
        <item x="582"/>
        <item x="210"/>
        <item x="405"/>
        <item x="406"/>
        <item x="211"/>
        <item x="640"/>
        <item x="212"/>
        <item x="641"/>
        <item x="213"/>
        <item x="505"/>
        <item x="407"/>
        <item x="214"/>
        <item x="506"/>
        <item x="408"/>
        <item x="215"/>
        <item x="216"/>
        <item x="507"/>
        <item x="409"/>
        <item x="217"/>
        <item x="218"/>
        <item x="219"/>
        <item x="220"/>
        <item x="410"/>
        <item x="411"/>
        <item x="583"/>
        <item x="221"/>
        <item x="222"/>
        <item x="412"/>
        <item x="223"/>
        <item x="508"/>
        <item x="224"/>
        <item x="413"/>
        <item x="642"/>
        <item x="414"/>
        <item x="415"/>
        <item x="643"/>
        <item x="584"/>
        <item x="225"/>
        <item x="226"/>
        <item x="644"/>
        <item x="227"/>
        <item x="228"/>
        <item x="229"/>
        <item x="230"/>
        <item x="585"/>
        <item x="231"/>
        <item x="232"/>
        <item x="233"/>
        <item x="234"/>
        <item x="416"/>
        <item x="235"/>
        <item x="509"/>
        <item x="586"/>
        <item x="510"/>
        <item x="511"/>
        <item x="587"/>
        <item x="236"/>
        <item x="237"/>
        <item x="238"/>
        <item x="645"/>
        <item x="417"/>
        <item x="239"/>
        <item x="588"/>
        <item x="646"/>
        <item x="512"/>
        <item x="418"/>
        <item x="240"/>
        <item x="241"/>
        <item x="589"/>
        <item x="513"/>
        <item x="647"/>
        <item x="590"/>
        <item x="242"/>
        <item x="243"/>
        <item x="244"/>
        <item x="514"/>
        <item x="245"/>
        <item x="246"/>
        <item x="247"/>
        <item x="248"/>
        <item x="249"/>
        <item x="591"/>
        <item x="419"/>
        <item x="420"/>
        <item x="515"/>
        <item x="250"/>
        <item x="648"/>
        <item x="251"/>
        <item x="592"/>
        <item x="516"/>
        <item x="517"/>
        <item x="518"/>
        <item x="519"/>
        <item x="252"/>
        <item x="593"/>
        <item x="253"/>
        <item x="520"/>
        <item x="521"/>
        <item x="421"/>
        <item x="254"/>
        <item x="422"/>
        <item x="255"/>
        <item x="256"/>
        <item x="522"/>
        <item x="257"/>
        <item x="258"/>
        <item x="523"/>
        <item x="423"/>
        <item x="594"/>
        <item x="524"/>
        <item x="525"/>
        <item x="424"/>
        <item x="425"/>
        <item x="426"/>
        <item x="427"/>
        <item x="259"/>
        <item x="595"/>
        <item x="260"/>
        <item x="596"/>
        <item x="649"/>
        <item x="650"/>
        <item x="651"/>
        <item x="597"/>
        <item x="261"/>
        <item x="262"/>
        <item x="263"/>
        <item x="428"/>
        <item x="264"/>
        <item x="265"/>
        <item x="526"/>
        <item x="266"/>
        <item x="527"/>
        <item x="267"/>
        <item x="652"/>
        <item x="528"/>
        <item x="268"/>
        <item x="269"/>
        <item x="529"/>
        <item x="530"/>
        <item x="531"/>
        <item x="270"/>
        <item x="271"/>
        <item x="272"/>
        <item x="429"/>
        <item x="273"/>
        <item x="430"/>
        <item x="274"/>
        <item x="275"/>
        <item x="598"/>
        <item x="431"/>
        <item x="432"/>
        <item x="276"/>
        <item x="532"/>
        <item x="277"/>
        <item x="653"/>
        <item x="278"/>
        <item x="433"/>
        <item x="279"/>
        <item x="280"/>
        <item x="281"/>
        <item x="434"/>
        <item x="599"/>
        <item x="533"/>
        <item x="435"/>
        <item x="282"/>
        <item x="534"/>
        <item x="283"/>
        <item x="436"/>
        <item x="535"/>
        <item x="600"/>
        <item x="284"/>
        <item t="default"/>
      </items>
    </pivotField>
    <pivotField showAll="0"/>
    <pivotField showAll="0"/>
    <pivotField axis="axisRow" showAll="0">
      <items count="9">
        <item sd="0" x="0"/>
        <item sd="0" x="2"/>
        <item sd="0" x="5"/>
        <item sd="0" x="4"/>
        <item sd="0" x="7"/>
        <item sd="0" x="1"/>
        <item sd="0" x="3"/>
        <item sd="0" x="6"/>
        <item t="default" sd="0"/>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items count="4">
        <item h="1" x="0"/>
        <item x="1"/>
        <item h="1" x="2"/>
        <item h="1" x="3"/>
      </items>
    </pivotField>
  </pivotFields>
  <rowFields count="1">
    <field x="4"/>
  </rowFields>
  <rowItems count="9">
    <i>
      <x/>
    </i>
    <i>
      <x v="1"/>
    </i>
    <i>
      <x v="2"/>
    </i>
    <i>
      <x v="3"/>
    </i>
    <i>
      <x v="4"/>
    </i>
    <i>
      <x v="5"/>
    </i>
    <i>
      <x v="6"/>
    </i>
    <i>
      <x v="7"/>
    </i>
    <i t="grand">
      <x/>
    </i>
  </rowItems>
  <colItems count="1">
    <i/>
  </colItems>
  <dataFields count="1">
    <dataField name="Sum of Revenue" fld="10" baseField="0" baseItem="0" numFmtId="164"/>
  </dataFields>
  <formats count="35">
    <format dxfId="135">
      <pivotArea field="4" type="button" dataOnly="0" labelOnly="1" outline="0" axis="axisRow" fieldPosition="0"/>
    </format>
    <format dxfId="134">
      <pivotArea dataOnly="0" labelOnly="1" outline="0" axis="axisValues" fieldPosition="0"/>
    </format>
    <format dxfId="133">
      <pivotArea collapsedLevelsAreSubtotals="1" fieldPosition="0">
        <references count="1">
          <reference field="4" count="0"/>
        </references>
      </pivotArea>
    </format>
    <format dxfId="132">
      <pivotArea dataOnly="0" labelOnly="1" fieldPosition="0">
        <references count="1">
          <reference field="4" count="0"/>
        </references>
      </pivotArea>
    </format>
    <format dxfId="131">
      <pivotArea collapsedLevelsAreSubtotals="1" fieldPosition="0">
        <references count="1">
          <reference field="4" count="0"/>
        </references>
      </pivotArea>
    </format>
    <format dxfId="130">
      <pivotArea dataOnly="0" labelOnly="1" fieldPosition="0">
        <references count="1">
          <reference field="4" count="0"/>
        </references>
      </pivotArea>
    </format>
    <format dxfId="129">
      <pivotArea grandRow="1" outline="0" collapsedLevelsAreSubtotals="1" fieldPosition="0"/>
    </format>
    <format dxfId="128">
      <pivotArea dataOnly="0" labelOnly="1" grandRow="1" outline="0" fieldPosition="0"/>
    </format>
    <format dxfId="127">
      <pivotArea grandRow="1" outline="0" collapsedLevelsAreSubtotals="1" fieldPosition="0"/>
    </format>
    <format dxfId="126">
      <pivotArea dataOnly="0" labelOnly="1" grandRow="1" outline="0" fieldPosition="0"/>
    </format>
    <format dxfId="125">
      <pivotArea field="4" type="button" dataOnly="0" labelOnly="1" outline="0" axis="axisRow" fieldPosition="0"/>
    </format>
    <format dxfId="124">
      <pivotArea dataOnly="0" labelOnly="1" outline="0" axis="axisValues" fieldPosition="0"/>
    </format>
    <format dxfId="123">
      <pivotArea field="4" type="button" dataOnly="0" labelOnly="1" outline="0" axis="axisRow" fieldPosition="0"/>
    </format>
    <format dxfId="122">
      <pivotArea dataOnly="0" labelOnly="1" outline="0" axis="axisValues" fieldPosition="0"/>
    </format>
    <format dxfId="121">
      <pivotArea collapsedLevelsAreSubtotals="1" fieldPosition="0">
        <references count="1">
          <reference field="4" count="0"/>
        </references>
      </pivotArea>
    </format>
    <format dxfId="120">
      <pivotArea dataOnly="0" labelOnly="1" fieldPosition="0">
        <references count="1">
          <reference field="4" count="0"/>
        </references>
      </pivotArea>
    </format>
    <format dxfId="119">
      <pivotArea collapsedLevelsAreSubtotals="1" fieldPosition="0">
        <references count="1">
          <reference field="4" count="0"/>
        </references>
      </pivotArea>
    </format>
    <format dxfId="118">
      <pivotArea dataOnly="0" labelOnly="1" fieldPosition="0">
        <references count="1">
          <reference field="4" count="0"/>
        </references>
      </pivotArea>
    </format>
    <format dxfId="117">
      <pivotArea dataOnly="0" labelOnly="1" fieldPosition="0">
        <references count="1">
          <reference field="4" count="0"/>
        </references>
      </pivotArea>
    </format>
    <format dxfId="116">
      <pivotArea grandRow="1" outline="0" collapsedLevelsAreSubtotals="1" fieldPosition="0"/>
    </format>
    <format dxfId="115">
      <pivotArea dataOnly="0" labelOnly="1" grandRow="1" outline="0" fieldPosition="0"/>
    </format>
    <format dxfId="114">
      <pivotArea field="4" type="button" dataOnly="0" labelOnly="1" outline="0" axis="axisRow" fieldPosition="0"/>
    </format>
    <format dxfId="113">
      <pivotArea dataOnly="0" labelOnly="1" outline="0" axis="axisValues" fieldPosition="0"/>
    </format>
    <format dxfId="112">
      <pivotArea type="all" dataOnly="0" outline="0" fieldPosition="0"/>
    </format>
    <format dxfId="111">
      <pivotArea outline="0" collapsedLevelsAreSubtotals="1" fieldPosition="0"/>
    </format>
    <format dxfId="110">
      <pivotArea field="4" type="button" dataOnly="0" labelOnly="1" outline="0" axis="axisRow" fieldPosition="0"/>
    </format>
    <format dxfId="109">
      <pivotArea dataOnly="0" labelOnly="1" fieldPosition="0">
        <references count="1">
          <reference field="4" count="0"/>
        </references>
      </pivotArea>
    </format>
    <format dxfId="108">
      <pivotArea dataOnly="0" labelOnly="1" grandRow="1" outline="0" fieldPosition="0"/>
    </format>
    <format dxfId="107">
      <pivotArea dataOnly="0" labelOnly="1" outline="0" axis="axisValues" fieldPosition="0"/>
    </format>
    <format dxfId="106">
      <pivotArea field="4" type="button" dataOnly="0" labelOnly="1" outline="0" axis="axisRow" fieldPosition="0"/>
    </format>
    <format dxfId="105">
      <pivotArea dataOnly="0" labelOnly="1" outline="0" axis="axisValues" fieldPosition="0"/>
    </format>
    <format dxfId="104">
      <pivotArea outline="0" collapsedLevelsAreSubtotals="1" fieldPosition="0"/>
    </format>
    <format dxfId="103">
      <pivotArea outline="0" collapsedLevelsAreSubtotals="1" fieldPosition="0"/>
    </format>
    <format dxfId="102">
      <pivotArea collapsedLevelsAreSubtotals="1" fieldPosition="0">
        <references count="1">
          <reference field="4" count="0"/>
        </references>
      </pivotArea>
    </format>
    <format dxfId="101">
      <pivotArea dataOnly="0" labelOnly="1" fieldPosition="0">
        <references count="1">
          <reference field="4" count="0"/>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242D450-C0D3-4137-8A11-F14D0A9FDA94}" name="PivotTable1"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B3:C9" firstHeaderRow="1" firstDataRow="1" firstDataCol="1"/>
  <pivotFields count="12">
    <pivotField showAll="0"/>
    <pivotField numFmtId="14" showAll="0">
      <items count="655">
        <item x="437"/>
        <item x="285"/>
        <item x="286"/>
        <item x="287"/>
        <item x="0"/>
        <item x="601"/>
        <item x="1"/>
        <item x="2"/>
        <item x="3"/>
        <item x="602"/>
        <item x="4"/>
        <item x="5"/>
        <item x="6"/>
        <item x="603"/>
        <item x="7"/>
        <item x="536"/>
        <item x="288"/>
        <item x="8"/>
        <item x="289"/>
        <item x="438"/>
        <item x="439"/>
        <item x="9"/>
        <item x="290"/>
        <item x="10"/>
        <item x="11"/>
        <item x="12"/>
        <item x="291"/>
        <item x="13"/>
        <item x="14"/>
        <item x="440"/>
        <item x="604"/>
        <item x="605"/>
        <item x="15"/>
        <item x="16"/>
        <item x="17"/>
        <item x="18"/>
        <item x="292"/>
        <item x="441"/>
        <item x="19"/>
        <item x="442"/>
        <item x="443"/>
        <item x="20"/>
        <item x="537"/>
        <item x="21"/>
        <item x="606"/>
        <item x="444"/>
        <item x="293"/>
        <item x="538"/>
        <item x="539"/>
        <item x="22"/>
        <item x="294"/>
        <item x="295"/>
        <item x="445"/>
        <item x="23"/>
        <item x="24"/>
        <item x="25"/>
        <item x="26"/>
        <item x="446"/>
        <item x="296"/>
        <item x="540"/>
        <item x="541"/>
        <item x="447"/>
        <item x="297"/>
        <item x="448"/>
        <item x="298"/>
        <item x="449"/>
        <item x="27"/>
        <item x="542"/>
        <item x="607"/>
        <item x="28"/>
        <item x="29"/>
        <item x="30"/>
        <item x="299"/>
        <item x="31"/>
        <item x="32"/>
        <item x="300"/>
        <item x="33"/>
        <item x="450"/>
        <item x="34"/>
        <item x="451"/>
        <item x="543"/>
        <item x="544"/>
        <item x="301"/>
        <item x="35"/>
        <item x="36"/>
        <item x="302"/>
        <item x="303"/>
        <item x="545"/>
        <item x="452"/>
        <item x="37"/>
        <item x="608"/>
        <item x="38"/>
        <item x="609"/>
        <item x="546"/>
        <item x="304"/>
        <item x="305"/>
        <item x="306"/>
        <item x="453"/>
        <item x="454"/>
        <item x="610"/>
        <item x="611"/>
        <item x="39"/>
        <item x="307"/>
        <item x="40"/>
        <item x="308"/>
        <item x="547"/>
        <item x="41"/>
        <item x="612"/>
        <item x="42"/>
        <item x="43"/>
        <item x="44"/>
        <item x="45"/>
        <item x="309"/>
        <item x="310"/>
        <item x="46"/>
        <item x="548"/>
        <item x="613"/>
        <item x="47"/>
        <item x="311"/>
        <item x="455"/>
        <item x="614"/>
        <item x="312"/>
        <item x="48"/>
        <item x="615"/>
        <item x="49"/>
        <item x="313"/>
        <item x="616"/>
        <item x="456"/>
        <item x="50"/>
        <item x="457"/>
        <item x="549"/>
        <item x="314"/>
        <item x="458"/>
        <item x="617"/>
        <item x="51"/>
        <item x="52"/>
        <item x="53"/>
        <item x="54"/>
        <item x="55"/>
        <item x="56"/>
        <item x="315"/>
        <item x="57"/>
        <item x="58"/>
        <item x="316"/>
        <item x="317"/>
        <item x="59"/>
        <item x="318"/>
        <item x="459"/>
        <item x="60"/>
        <item x="319"/>
        <item x="618"/>
        <item x="320"/>
        <item x="321"/>
        <item x="61"/>
        <item x="62"/>
        <item x="460"/>
        <item x="461"/>
        <item x="462"/>
        <item x="63"/>
        <item x="64"/>
        <item x="463"/>
        <item x="65"/>
        <item x="66"/>
        <item x="67"/>
        <item x="322"/>
        <item x="323"/>
        <item x="68"/>
        <item x="550"/>
        <item x="324"/>
        <item x="69"/>
        <item x="551"/>
        <item x="70"/>
        <item x="71"/>
        <item x="619"/>
        <item x="72"/>
        <item x="325"/>
        <item x="73"/>
        <item x="620"/>
        <item x="74"/>
        <item x="552"/>
        <item x="75"/>
        <item x="326"/>
        <item x="621"/>
        <item x="327"/>
        <item x="553"/>
        <item x="622"/>
        <item x="76"/>
        <item x="328"/>
        <item x="77"/>
        <item x="554"/>
        <item x="464"/>
        <item x="78"/>
        <item x="623"/>
        <item x="79"/>
        <item x="80"/>
        <item x="81"/>
        <item x="329"/>
        <item x="82"/>
        <item x="330"/>
        <item x="331"/>
        <item x="555"/>
        <item x="83"/>
        <item x="84"/>
        <item x="624"/>
        <item x="85"/>
        <item x="556"/>
        <item x="332"/>
        <item x="86"/>
        <item x="333"/>
        <item x="465"/>
        <item x="334"/>
        <item x="466"/>
        <item x="335"/>
        <item x="336"/>
        <item x="337"/>
        <item x="557"/>
        <item x="338"/>
        <item x="558"/>
        <item x="339"/>
        <item x="87"/>
        <item x="340"/>
        <item x="88"/>
        <item x="89"/>
        <item x="90"/>
        <item x="467"/>
        <item x="341"/>
        <item x="625"/>
        <item x="91"/>
        <item x="468"/>
        <item x="342"/>
        <item x="92"/>
        <item x="93"/>
        <item x="94"/>
        <item x="95"/>
        <item x="469"/>
        <item x="559"/>
        <item x="96"/>
        <item x="97"/>
        <item x="98"/>
        <item x="626"/>
        <item x="99"/>
        <item x="470"/>
        <item x="100"/>
        <item x="101"/>
        <item x="627"/>
        <item x="102"/>
        <item x="628"/>
        <item x="103"/>
        <item x="471"/>
        <item x="104"/>
        <item x="105"/>
        <item x="106"/>
        <item x="107"/>
        <item x="108"/>
        <item x="472"/>
        <item x="109"/>
        <item x="343"/>
        <item x="110"/>
        <item x="629"/>
        <item x="473"/>
        <item x="111"/>
        <item x="344"/>
        <item x="345"/>
        <item x="346"/>
        <item x="112"/>
        <item x="347"/>
        <item x="113"/>
        <item x="348"/>
        <item x="630"/>
        <item x="474"/>
        <item x="114"/>
        <item x="349"/>
        <item x="350"/>
        <item x="115"/>
        <item x="351"/>
        <item x="560"/>
        <item x="352"/>
        <item x="353"/>
        <item x="116"/>
        <item x="475"/>
        <item x="117"/>
        <item x="118"/>
        <item x="354"/>
        <item x="355"/>
        <item x="356"/>
        <item x="357"/>
        <item x="358"/>
        <item x="119"/>
        <item x="120"/>
        <item x="476"/>
        <item x="121"/>
        <item x="477"/>
        <item x="359"/>
        <item x="631"/>
        <item x="122"/>
        <item x="123"/>
        <item x="478"/>
        <item x="479"/>
        <item x="124"/>
        <item x="125"/>
        <item x="480"/>
        <item x="126"/>
        <item x="127"/>
        <item x="128"/>
        <item x="481"/>
        <item x="561"/>
        <item x="129"/>
        <item x="562"/>
        <item x="482"/>
        <item x="563"/>
        <item x="130"/>
        <item x="131"/>
        <item x="132"/>
        <item x="133"/>
        <item x="483"/>
        <item x="484"/>
        <item x="485"/>
        <item x="486"/>
        <item x="360"/>
        <item x="134"/>
        <item x="361"/>
        <item x="487"/>
        <item x="135"/>
        <item x="136"/>
        <item x="137"/>
        <item x="138"/>
        <item x="139"/>
        <item x="140"/>
        <item x="141"/>
        <item x="362"/>
        <item x="142"/>
        <item x="363"/>
        <item x="143"/>
        <item x="564"/>
        <item x="144"/>
        <item x="145"/>
        <item x="364"/>
        <item x="146"/>
        <item x="147"/>
        <item x="488"/>
        <item x="365"/>
        <item x="632"/>
        <item x="366"/>
        <item x="367"/>
        <item x="368"/>
        <item x="369"/>
        <item x="148"/>
        <item x="370"/>
        <item x="371"/>
        <item x="372"/>
        <item x="149"/>
        <item x="150"/>
        <item x="565"/>
        <item x="151"/>
        <item x="566"/>
        <item x="152"/>
        <item x="373"/>
        <item x="153"/>
        <item x="374"/>
        <item x="375"/>
        <item x="154"/>
        <item x="633"/>
        <item x="155"/>
        <item x="156"/>
        <item x="489"/>
        <item x="157"/>
        <item x="490"/>
        <item x="376"/>
        <item x="567"/>
        <item x="377"/>
        <item x="378"/>
        <item x="379"/>
        <item x="568"/>
        <item x="569"/>
        <item x="491"/>
        <item x="492"/>
        <item x="158"/>
        <item x="159"/>
        <item x="160"/>
        <item x="380"/>
        <item x="493"/>
        <item x="161"/>
        <item x="162"/>
        <item x="570"/>
        <item x="571"/>
        <item x="381"/>
        <item x="382"/>
        <item x="572"/>
        <item x="573"/>
        <item x="163"/>
        <item x="164"/>
        <item x="383"/>
        <item x="165"/>
        <item x="384"/>
        <item x="574"/>
        <item x="166"/>
        <item x="385"/>
        <item x="386"/>
        <item x="494"/>
        <item x="387"/>
        <item x="167"/>
        <item x="388"/>
        <item x="168"/>
        <item x="575"/>
        <item x="169"/>
        <item x="495"/>
        <item x="170"/>
        <item x="171"/>
        <item x="496"/>
        <item x="172"/>
        <item x="389"/>
        <item x="497"/>
        <item x="390"/>
        <item x="173"/>
        <item x="174"/>
        <item x="391"/>
        <item x="175"/>
        <item x="176"/>
        <item x="177"/>
        <item x="178"/>
        <item x="634"/>
        <item x="179"/>
        <item x="498"/>
        <item x="180"/>
        <item x="181"/>
        <item x="182"/>
        <item x="392"/>
        <item x="393"/>
        <item x="183"/>
        <item x="576"/>
        <item x="184"/>
        <item x="635"/>
        <item x="499"/>
        <item x="185"/>
        <item x="186"/>
        <item x="187"/>
        <item x="188"/>
        <item x="577"/>
        <item x="500"/>
        <item x="636"/>
        <item x="189"/>
        <item x="578"/>
        <item x="190"/>
        <item x="394"/>
        <item x="501"/>
        <item x="191"/>
        <item x="192"/>
        <item x="193"/>
        <item x="194"/>
        <item x="395"/>
        <item x="195"/>
        <item x="396"/>
        <item x="502"/>
        <item x="196"/>
        <item x="197"/>
        <item x="198"/>
        <item x="199"/>
        <item x="579"/>
        <item x="397"/>
        <item x="398"/>
        <item x="399"/>
        <item x="200"/>
        <item x="580"/>
        <item x="201"/>
        <item x="503"/>
        <item x="504"/>
        <item x="400"/>
        <item x="202"/>
        <item x="203"/>
        <item x="204"/>
        <item x="637"/>
        <item x="638"/>
        <item x="205"/>
        <item x="206"/>
        <item x="207"/>
        <item x="401"/>
        <item x="581"/>
        <item x="208"/>
        <item x="402"/>
        <item x="209"/>
        <item x="403"/>
        <item x="404"/>
        <item x="639"/>
        <item x="582"/>
        <item x="210"/>
        <item x="405"/>
        <item x="406"/>
        <item x="211"/>
        <item x="640"/>
        <item x="212"/>
        <item x="641"/>
        <item x="213"/>
        <item x="505"/>
        <item x="407"/>
        <item x="214"/>
        <item x="506"/>
        <item x="408"/>
        <item x="215"/>
        <item x="216"/>
        <item x="507"/>
        <item x="409"/>
        <item x="217"/>
        <item x="218"/>
        <item x="219"/>
        <item x="220"/>
        <item x="410"/>
        <item x="411"/>
        <item x="583"/>
        <item x="221"/>
        <item x="222"/>
        <item x="412"/>
        <item x="223"/>
        <item x="508"/>
        <item x="224"/>
        <item x="413"/>
        <item x="642"/>
        <item x="414"/>
        <item x="415"/>
        <item x="643"/>
        <item x="584"/>
        <item x="225"/>
        <item x="226"/>
        <item x="644"/>
        <item x="227"/>
        <item x="228"/>
        <item x="229"/>
        <item x="230"/>
        <item x="585"/>
        <item x="231"/>
        <item x="232"/>
        <item x="233"/>
        <item x="234"/>
        <item x="416"/>
        <item x="235"/>
        <item x="509"/>
        <item x="586"/>
        <item x="510"/>
        <item x="511"/>
        <item x="587"/>
        <item x="236"/>
        <item x="237"/>
        <item x="238"/>
        <item x="645"/>
        <item x="417"/>
        <item x="239"/>
        <item x="588"/>
        <item x="646"/>
        <item x="512"/>
        <item x="418"/>
        <item x="240"/>
        <item x="241"/>
        <item x="589"/>
        <item x="513"/>
        <item x="647"/>
        <item x="590"/>
        <item x="242"/>
        <item x="243"/>
        <item x="244"/>
        <item x="514"/>
        <item x="245"/>
        <item x="246"/>
        <item x="247"/>
        <item x="248"/>
        <item x="249"/>
        <item x="591"/>
        <item x="419"/>
        <item x="420"/>
        <item x="515"/>
        <item x="250"/>
        <item x="648"/>
        <item x="251"/>
        <item x="592"/>
        <item x="516"/>
        <item x="517"/>
        <item x="518"/>
        <item x="519"/>
        <item x="252"/>
        <item x="593"/>
        <item x="253"/>
        <item x="520"/>
        <item x="521"/>
        <item x="421"/>
        <item x="254"/>
        <item x="422"/>
        <item x="255"/>
        <item x="256"/>
        <item x="522"/>
        <item x="257"/>
        <item x="258"/>
        <item x="523"/>
        <item x="423"/>
        <item x="594"/>
        <item x="524"/>
        <item x="525"/>
        <item x="424"/>
        <item x="425"/>
        <item x="426"/>
        <item x="427"/>
        <item x="259"/>
        <item x="595"/>
        <item x="260"/>
        <item x="596"/>
        <item x="649"/>
        <item x="650"/>
        <item x="651"/>
        <item x="597"/>
        <item x="261"/>
        <item x="262"/>
        <item x="263"/>
        <item x="428"/>
        <item x="264"/>
        <item x="265"/>
        <item x="526"/>
        <item x="266"/>
        <item x="527"/>
        <item x="267"/>
        <item x="652"/>
        <item x="528"/>
        <item x="268"/>
        <item x="269"/>
        <item x="529"/>
        <item x="530"/>
        <item x="531"/>
        <item x="270"/>
        <item x="271"/>
        <item x="272"/>
        <item x="429"/>
        <item x="273"/>
        <item x="430"/>
        <item x="274"/>
        <item x="275"/>
        <item x="598"/>
        <item x="431"/>
        <item x="432"/>
        <item x="276"/>
        <item x="532"/>
        <item x="277"/>
        <item x="653"/>
        <item x="278"/>
        <item x="433"/>
        <item x="279"/>
        <item x="280"/>
        <item x="281"/>
        <item x="434"/>
        <item x="599"/>
        <item x="533"/>
        <item x="435"/>
        <item x="282"/>
        <item x="534"/>
        <item x="283"/>
        <item x="436"/>
        <item x="535"/>
        <item x="600"/>
        <item x="284"/>
        <item t="default"/>
      </items>
    </pivotField>
    <pivotField showAll="0"/>
    <pivotField showAll="0"/>
    <pivotField showAll="0">
      <items count="9">
        <item x="0"/>
        <item x="2"/>
        <item x="5"/>
        <item x="4"/>
        <item x="7"/>
        <item x="1"/>
        <item x="3"/>
        <item x="6"/>
        <item t="default"/>
      </items>
    </pivotField>
    <pivotField showAll="0">
      <items count="5">
        <item x="0"/>
        <item x="3"/>
        <item x="2"/>
        <item x="1"/>
        <item t="default"/>
      </items>
    </pivotField>
    <pivotField showAll="0"/>
    <pivotField axis="axisRow" showAll="0">
      <items count="6">
        <item x="0"/>
        <item x="2"/>
        <item x="4"/>
        <item x="3"/>
        <item x="1"/>
        <item t="default"/>
      </items>
    </pivotField>
    <pivotField showAll="0"/>
    <pivotField showAll="0"/>
    <pivotField dataField="1" showAll="0"/>
    <pivotField showAll="0"/>
  </pivotFields>
  <rowFields count="1">
    <field x="7"/>
  </rowFields>
  <rowItems count="6">
    <i>
      <x/>
    </i>
    <i>
      <x v="1"/>
    </i>
    <i>
      <x v="2"/>
    </i>
    <i>
      <x v="3"/>
    </i>
    <i>
      <x v="4"/>
    </i>
    <i t="grand">
      <x/>
    </i>
  </rowItems>
  <colItems count="1">
    <i/>
  </colItems>
  <dataFields count="1">
    <dataField name="Sum of Revenue" fld="10" baseField="0" baseItem="0" numFmtId="164"/>
  </dataFields>
  <formats count="46">
    <format dxfId="100">
      <pivotArea field="7" type="button" dataOnly="0" labelOnly="1" outline="0" axis="axisRow" fieldPosition="0"/>
    </format>
    <format dxfId="99">
      <pivotArea dataOnly="0" labelOnly="1" outline="0" axis="axisValues" fieldPosition="0"/>
    </format>
    <format dxfId="98">
      <pivotArea field="7" type="button" dataOnly="0" labelOnly="1" outline="0" axis="axisRow" fieldPosition="0"/>
    </format>
    <format dxfId="97">
      <pivotArea dataOnly="0" labelOnly="1" outline="0" axis="axisValues" fieldPosition="0"/>
    </format>
    <format dxfId="96">
      <pivotArea collapsedLevelsAreSubtotals="1" fieldPosition="0">
        <references count="1">
          <reference field="7" count="0"/>
        </references>
      </pivotArea>
    </format>
    <format dxfId="95">
      <pivotArea dataOnly="0" labelOnly="1" fieldPosition="0">
        <references count="1">
          <reference field="7" count="0"/>
        </references>
      </pivotArea>
    </format>
    <format dxfId="94">
      <pivotArea grandRow="1" outline="0" collapsedLevelsAreSubtotals="1" fieldPosition="0"/>
    </format>
    <format dxfId="93">
      <pivotArea dataOnly="0" labelOnly="1" grandRow="1" outline="0" fieldPosition="0"/>
    </format>
    <format dxfId="92">
      <pivotArea grandRow="1" outline="0" collapsedLevelsAreSubtotals="1" fieldPosition="0"/>
    </format>
    <format dxfId="91">
      <pivotArea dataOnly="0" labelOnly="1" grandRow="1" outline="0" fieldPosition="0"/>
    </format>
    <format dxfId="90">
      <pivotArea field="7" type="button" dataOnly="0" labelOnly="1" outline="0" axis="axisRow" fieldPosition="0"/>
    </format>
    <format dxfId="89">
      <pivotArea dataOnly="0" labelOnly="1" outline="0" axis="axisValues" fieldPosition="0"/>
    </format>
    <format dxfId="88">
      <pivotArea collapsedLevelsAreSubtotals="1" fieldPosition="0">
        <references count="1">
          <reference field="7" count="0"/>
        </references>
      </pivotArea>
    </format>
    <format dxfId="87">
      <pivotArea collapsedLevelsAreSubtotals="1" fieldPosition="0">
        <references count="1">
          <reference field="7" count="0"/>
        </references>
      </pivotArea>
    </format>
    <format dxfId="86">
      <pivotArea grandRow="1" outline="0" collapsedLevelsAreSubtotals="1" fieldPosition="0"/>
    </format>
    <format dxfId="85">
      <pivotArea type="all" dataOnly="0" outline="0" fieldPosition="0"/>
    </format>
    <format dxfId="84">
      <pivotArea outline="0" collapsedLevelsAreSubtotals="1" fieldPosition="0"/>
    </format>
    <format dxfId="83">
      <pivotArea field="7" type="button" dataOnly="0" labelOnly="1" outline="0" axis="axisRow" fieldPosition="0"/>
    </format>
    <format dxfId="82">
      <pivotArea dataOnly="0" labelOnly="1" fieldPosition="0">
        <references count="1">
          <reference field="7" count="0"/>
        </references>
      </pivotArea>
    </format>
    <format dxfId="81">
      <pivotArea dataOnly="0" labelOnly="1" grandRow="1" outline="0" fieldPosition="0"/>
    </format>
    <format dxfId="80">
      <pivotArea dataOnly="0" labelOnly="1" outline="0" axis="axisValues" fieldPosition="0"/>
    </format>
    <format dxfId="79">
      <pivotArea type="all" dataOnly="0" outline="0" fieldPosition="0"/>
    </format>
    <format dxfId="78">
      <pivotArea outline="0" collapsedLevelsAreSubtotals="1" fieldPosition="0"/>
    </format>
    <format dxfId="77">
      <pivotArea field="7" type="button" dataOnly="0" labelOnly="1" outline="0" axis="axisRow" fieldPosition="0"/>
    </format>
    <format dxfId="76">
      <pivotArea dataOnly="0" labelOnly="1" fieldPosition="0">
        <references count="1">
          <reference field="7" count="0"/>
        </references>
      </pivotArea>
    </format>
    <format dxfId="75">
      <pivotArea dataOnly="0" labelOnly="1" grandRow="1" outline="0" fieldPosition="0"/>
    </format>
    <format dxfId="74">
      <pivotArea dataOnly="0" labelOnly="1" outline="0" axis="axisValues" fieldPosition="0"/>
    </format>
    <format dxfId="73">
      <pivotArea field="7" type="button" dataOnly="0" labelOnly="1" outline="0" axis="axisRow" fieldPosition="0"/>
    </format>
    <format dxfId="72">
      <pivotArea dataOnly="0" labelOnly="1" outline="0" axis="axisValues" fieldPosition="0"/>
    </format>
    <format dxfId="71">
      <pivotArea collapsedLevelsAreSubtotals="1" fieldPosition="0">
        <references count="1">
          <reference field="7" count="0"/>
        </references>
      </pivotArea>
    </format>
    <format dxfId="70">
      <pivotArea dataOnly="0" labelOnly="1" fieldPosition="0">
        <references count="1">
          <reference field="7" count="0"/>
        </references>
      </pivotArea>
    </format>
    <format dxfId="69">
      <pivotArea grandRow="1" outline="0" collapsedLevelsAreSubtotals="1" fieldPosition="0"/>
    </format>
    <format dxfId="68">
      <pivotArea dataOnly="0" labelOnly="1" grandRow="1" outline="0" fieldPosition="0"/>
    </format>
    <format dxfId="67">
      <pivotArea collapsedLevelsAreSubtotals="1" fieldPosition="0">
        <references count="1">
          <reference field="7" count="1">
            <x v="0"/>
          </reference>
        </references>
      </pivotArea>
    </format>
    <format dxfId="66">
      <pivotArea dataOnly="0" labelOnly="1" fieldPosition="0">
        <references count="1">
          <reference field="7" count="1">
            <x v="0"/>
          </reference>
        </references>
      </pivotArea>
    </format>
    <format dxfId="65">
      <pivotArea collapsedLevelsAreSubtotals="1" fieldPosition="0">
        <references count="1">
          <reference field="7" count="1">
            <x v="4"/>
          </reference>
        </references>
      </pivotArea>
    </format>
    <format dxfId="64">
      <pivotArea dataOnly="0" labelOnly="1" fieldPosition="0">
        <references count="1">
          <reference field="7" count="1">
            <x v="4"/>
          </reference>
        </references>
      </pivotArea>
    </format>
    <format dxfId="63">
      <pivotArea collapsedLevelsAreSubtotals="1" fieldPosition="0">
        <references count="1">
          <reference field="7" count="1">
            <x v="2"/>
          </reference>
        </references>
      </pivotArea>
    </format>
    <format dxfId="62">
      <pivotArea dataOnly="0" labelOnly="1" fieldPosition="0">
        <references count="1">
          <reference field="7" count="1">
            <x v="2"/>
          </reference>
        </references>
      </pivotArea>
    </format>
    <format dxfId="61">
      <pivotArea collapsedLevelsAreSubtotals="1" fieldPosition="0">
        <references count="1">
          <reference field="7" count="1">
            <x v="1"/>
          </reference>
        </references>
      </pivotArea>
    </format>
    <format dxfId="60">
      <pivotArea dataOnly="0" labelOnly="1" fieldPosition="0">
        <references count="1">
          <reference field="7" count="1">
            <x v="1"/>
          </reference>
        </references>
      </pivotArea>
    </format>
    <format dxfId="59">
      <pivotArea collapsedLevelsAreSubtotals="1" fieldPosition="0">
        <references count="1">
          <reference field="7" count="1">
            <x v="3"/>
          </reference>
        </references>
      </pivotArea>
    </format>
    <format dxfId="58">
      <pivotArea dataOnly="0" labelOnly="1" fieldPosition="0">
        <references count="1">
          <reference field="7" count="1">
            <x v="3"/>
          </reference>
        </references>
      </pivotArea>
    </format>
    <format dxfId="57">
      <pivotArea field="7" type="button" dataOnly="0" labelOnly="1" outline="0" axis="axisRow" fieldPosition="0"/>
    </format>
    <format dxfId="56">
      <pivotArea dataOnly="0" labelOnly="1" outline="0" axis="axisValues" fieldPosition="0"/>
    </format>
    <format dxfId="55">
      <pivotArea outline="0" collapsedLevelsAreSubtotals="1" fieldPosition="0"/>
    </format>
  </formats>
  <chartFormats count="2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7" count="1" selected="0">
            <x v="0"/>
          </reference>
        </references>
      </pivotArea>
    </chartFormat>
    <chartFormat chart="0" format="2">
      <pivotArea type="data" outline="0" fieldPosition="0">
        <references count="2">
          <reference field="4294967294" count="1" selected="0">
            <x v="0"/>
          </reference>
          <reference field="7" count="1" selected="0">
            <x v="1"/>
          </reference>
        </references>
      </pivotArea>
    </chartFormat>
    <chartFormat chart="0" format="3">
      <pivotArea type="data" outline="0" fieldPosition="0">
        <references count="2">
          <reference field="4294967294" count="1" selected="0">
            <x v="0"/>
          </reference>
          <reference field="7" count="1" selected="0">
            <x v="4"/>
          </reference>
        </references>
      </pivotArea>
    </chartFormat>
    <chartFormat chart="0" format="4">
      <pivotArea type="data" outline="0" fieldPosition="0">
        <references count="2">
          <reference field="4294967294" count="1" selected="0">
            <x v="0"/>
          </reference>
          <reference field="7" count="1" selected="0">
            <x v="3"/>
          </reference>
        </references>
      </pivotArea>
    </chartFormat>
    <chartFormat chart="0" format="5">
      <pivotArea type="data" outline="0" fieldPosition="0">
        <references count="2">
          <reference field="4294967294" count="1" selected="0">
            <x v="0"/>
          </reference>
          <reference field="7" count="1" selected="0">
            <x v="2"/>
          </reference>
        </references>
      </pivotArea>
    </chartFormat>
    <chartFormat chart="2" format="12" series="1">
      <pivotArea type="data" outline="0" fieldPosition="0">
        <references count="1">
          <reference field="4294967294" count="1" selected="0">
            <x v="0"/>
          </reference>
        </references>
      </pivotArea>
    </chartFormat>
    <chartFormat chart="2" format="13">
      <pivotArea type="data" outline="0" fieldPosition="0">
        <references count="2">
          <reference field="4294967294" count="1" selected="0">
            <x v="0"/>
          </reference>
          <reference field="7" count="1" selected="0">
            <x v="0"/>
          </reference>
        </references>
      </pivotArea>
    </chartFormat>
    <chartFormat chart="2" format="14">
      <pivotArea type="data" outline="0" fieldPosition="0">
        <references count="2">
          <reference field="4294967294" count="1" selected="0">
            <x v="0"/>
          </reference>
          <reference field="7" count="1" selected="0">
            <x v="1"/>
          </reference>
        </references>
      </pivotArea>
    </chartFormat>
    <chartFormat chart="2" format="15">
      <pivotArea type="data" outline="0" fieldPosition="0">
        <references count="2">
          <reference field="4294967294" count="1" selected="0">
            <x v="0"/>
          </reference>
          <reference field="7" count="1" selected="0">
            <x v="2"/>
          </reference>
        </references>
      </pivotArea>
    </chartFormat>
    <chartFormat chart="2" format="16">
      <pivotArea type="data" outline="0" fieldPosition="0">
        <references count="2">
          <reference field="4294967294" count="1" selected="0">
            <x v="0"/>
          </reference>
          <reference field="7" count="1" selected="0">
            <x v="3"/>
          </reference>
        </references>
      </pivotArea>
    </chartFormat>
    <chartFormat chart="2" format="17">
      <pivotArea type="data" outline="0" fieldPosition="0">
        <references count="2">
          <reference field="4294967294" count="1" selected="0">
            <x v="0"/>
          </reference>
          <reference field="7" count="1" selected="0">
            <x v="4"/>
          </reference>
        </references>
      </pivotArea>
    </chartFormat>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7" count="1" selected="0">
            <x v="0"/>
          </reference>
        </references>
      </pivotArea>
    </chartFormat>
    <chartFormat chart="3" format="8">
      <pivotArea type="data" outline="0" fieldPosition="0">
        <references count="2">
          <reference field="4294967294" count="1" selected="0">
            <x v="0"/>
          </reference>
          <reference field="7" count="1" selected="0">
            <x v="1"/>
          </reference>
        </references>
      </pivotArea>
    </chartFormat>
    <chartFormat chart="3" format="9">
      <pivotArea type="data" outline="0" fieldPosition="0">
        <references count="2">
          <reference field="4294967294" count="1" selected="0">
            <x v="0"/>
          </reference>
          <reference field="7" count="1" selected="0">
            <x v="2"/>
          </reference>
        </references>
      </pivotArea>
    </chartFormat>
    <chartFormat chart="3" format="10">
      <pivotArea type="data" outline="0" fieldPosition="0">
        <references count="2">
          <reference field="4294967294" count="1" selected="0">
            <x v="0"/>
          </reference>
          <reference field="7" count="1" selected="0">
            <x v="3"/>
          </reference>
        </references>
      </pivotArea>
    </chartFormat>
    <chartFormat chart="3" format="11">
      <pivotArea type="data" outline="0" fieldPosition="0">
        <references count="2">
          <reference field="4294967294" count="1" selected="0">
            <x v="0"/>
          </reference>
          <reference field="7" count="1" selected="0">
            <x v="4"/>
          </reference>
        </references>
      </pivotArea>
    </chartFormat>
    <chartFormat chart="4" format="12" series="1">
      <pivotArea type="data" outline="0" fieldPosition="0">
        <references count="1">
          <reference field="4294967294" count="1" selected="0">
            <x v="0"/>
          </reference>
        </references>
      </pivotArea>
    </chartFormat>
    <chartFormat chart="4" format="13">
      <pivotArea type="data" outline="0" fieldPosition="0">
        <references count="2">
          <reference field="4294967294" count="1" selected="0">
            <x v="0"/>
          </reference>
          <reference field="7" count="1" selected="0">
            <x v="0"/>
          </reference>
        </references>
      </pivotArea>
    </chartFormat>
    <chartFormat chart="4" format="14">
      <pivotArea type="data" outline="0" fieldPosition="0">
        <references count="2">
          <reference field="4294967294" count="1" selected="0">
            <x v="0"/>
          </reference>
          <reference field="7" count="1" selected="0">
            <x v="1"/>
          </reference>
        </references>
      </pivotArea>
    </chartFormat>
    <chartFormat chart="4" format="15">
      <pivotArea type="data" outline="0" fieldPosition="0">
        <references count="2">
          <reference field="4294967294" count="1" selected="0">
            <x v="0"/>
          </reference>
          <reference field="7" count="1" selected="0">
            <x v="2"/>
          </reference>
        </references>
      </pivotArea>
    </chartFormat>
    <chartFormat chart="4" format="16">
      <pivotArea type="data" outline="0" fieldPosition="0">
        <references count="2">
          <reference field="4294967294" count="1" selected="0">
            <x v="0"/>
          </reference>
          <reference field="7" count="1" selected="0">
            <x v="3"/>
          </reference>
        </references>
      </pivotArea>
    </chartFormat>
    <chartFormat chart="4" format="17">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11309FB-FC11-4B3B-83A0-AA57ACFDF19A}" name="PivotTable3"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6">
  <location ref="B3:H17" firstHeaderRow="1" firstDataRow="2" firstDataCol="1"/>
  <pivotFields count="12">
    <pivotField showAll="0"/>
    <pivotField numFmtId="14" showAll="0"/>
    <pivotField showAll="0"/>
    <pivotField showAll="0"/>
    <pivotField axis="axisRow" showAll="0">
      <items count="9">
        <item x="0"/>
        <item x="2"/>
        <item x="5"/>
        <item x="4"/>
        <item x="7"/>
        <item x="1"/>
        <item x="3"/>
        <item x="6"/>
        <item t="default"/>
      </items>
    </pivotField>
    <pivotField axis="axisRow" showAll="0">
      <items count="5">
        <item x="0"/>
        <item x="3"/>
        <item x="2"/>
        <item x="1"/>
        <item t="default"/>
      </items>
    </pivotField>
    <pivotField showAll="0"/>
    <pivotField axis="axisCol" showAll="0">
      <items count="6">
        <item x="0"/>
        <item x="2"/>
        <item x="4"/>
        <item x="3"/>
        <item x="1"/>
        <item t="default"/>
      </items>
    </pivotField>
    <pivotField showAll="0"/>
    <pivotField showAll="0"/>
    <pivotField dataField="1" showAll="0"/>
    <pivotField showAll="0"/>
  </pivotFields>
  <rowFields count="2">
    <field x="5"/>
    <field x="4"/>
  </rowFields>
  <rowItems count="13">
    <i>
      <x/>
    </i>
    <i r="1">
      <x/>
    </i>
    <i r="1">
      <x v="1"/>
    </i>
    <i r="1">
      <x v="7"/>
    </i>
    <i>
      <x v="1"/>
    </i>
    <i r="1">
      <x v="4"/>
    </i>
    <i>
      <x v="2"/>
    </i>
    <i r="1">
      <x v="3"/>
    </i>
    <i r="1">
      <x v="6"/>
    </i>
    <i>
      <x v="3"/>
    </i>
    <i r="1">
      <x v="2"/>
    </i>
    <i r="1">
      <x v="5"/>
    </i>
    <i t="grand">
      <x/>
    </i>
  </rowItems>
  <colFields count="1">
    <field x="7"/>
  </colFields>
  <colItems count="6">
    <i>
      <x/>
    </i>
    <i>
      <x v="1"/>
    </i>
    <i>
      <x v="2"/>
    </i>
    <i>
      <x v="3"/>
    </i>
    <i>
      <x v="4"/>
    </i>
    <i t="grand">
      <x/>
    </i>
  </colItems>
  <dataFields count="1">
    <dataField name="Sum of Revenue" fld="10" baseField="0" baseItem="0"/>
  </dataFields>
  <formats count="55">
    <format dxfId="54">
      <pivotArea field="5" type="button" dataOnly="0" labelOnly="1" outline="0" axis="axisRow" fieldPosition="0"/>
    </format>
    <format dxfId="53">
      <pivotArea dataOnly="0" labelOnly="1" outline="0" axis="axisValues" fieldPosition="0"/>
    </format>
    <format dxfId="52">
      <pivotArea collapsedLevelsAreSubtotals="1" fieldPosition="0">
        <references count="1">
          <reference field="5" count="1">
            <x v="0"/>
          </reference>
        </references>
      </pivotArea>
    </format>
    <format dxfId="51">
      <pivotArea dataOnly="0" labelOnly="1" fieldPosition="0">
        <references count="1">
          <reference field="5" count="1">
            <x v="0"/>
          </reference>
        </references>
      </pivotArea>
    </format>
    <format dxfId="50">
      <pivotArea collapsedLevelsAreSubtotals="1" fieldPosition="0">
        <references count="1">
          <reference field="5" count="1">
            <x v="1"/>
          </reference>
        </references>
      </pivotArea>
    </format>
    <format dxfId="49">
      <pivotArea dataOnly="0" labelOnly="1" fieldPosition="0">
        <references count="1">
          <reference field="5" count="1">
            <x v="1"/>
          </reference>
        </references>
      </pivotArea>
    </format>
    <format dxfId="48">
      <pivotArea collapsedLevelsAreSubtotals="1" fieldPosition="0">
        <references count="1">
          <reference field="5" count="1">
            <x v="2"/>
          </reference>
        </references>
      </pivotArea>
    </format>
    <format dxfId="47">
      <pivotArea dataOnly="0" labelOnly="1" fieldPosition="0">
        <references count="1">
          <reference field="5" count="1">
            <x v="2"/>
          </reference>
        </references>
      </pivotArea>
    </format>
    <format dxfId="46">
      <pivotArea collapsedLevelsAreSubtotals="1" fieldPosition="0">
        <references count="1">
          <reference field="5" count="1">
            <x v="3"/>
          </reference>
        </references>
      </pivotArea>
    </format>
    <format dxfId="45">
      <pivotArea dataOnly="0" labelOnly="1" fieldPosition="0">
        <references count="1">
          <reference field="5" count="1">
            <x v="3"/>
          </reference>
        </references>
      </pivotArea>
    </format>
    <format dxfId="44">
      <pivotArea grandRow="1" outline="0" collapsedLevelsAreSubtotals="1" fieldPosition="0"/>
    </format>
    <format dxfId="43">
      <pivotArea dataOnly="0" labelOnly="1" grandRow="1" outline="0" fieldPosition="0"/>
    </format>
    <format dxfId="42">
      <pivotArea collapsedLevelsAreSubtotals="1" fieldPosition="0">
        <references count="2">
          <reference field="4" count="3">
            <x v="0"/>
            <x v="1"/>
            <x v="7"/>
          </reference>
          <reference field="5" count="1" selected="0">
            <x v="0"/>
          </reference>
        </references>
      </pivotArea>
    </format>
    <format dxfId="41">
      <pivotArea dataOnly="0" labelOnly="1" fieldPosition="0">
        <references count="2">
          <reference field="4" count="3">
            <x v="0"/>
            <x v="1"/>
            <x v="7"/>
          </reference>
          <reference field="5" count="1" selected="0">
            <x v="0"/>
          </reference>
        </references>
      </pivotArea>
    </format>
    <format dxfId="40">
      <pivotArea collapsedLevelsAreSubtotals="1" fieldPosition="0">
        <references count="2">
          <reference field="4" count="1">
            <x v="4"/>
          </reference>
          <reference field="5" count="1" selected="0">
            <x v="1"/>
          </reference>
        </references>
      </pivotArea>
    </format>
    <format dxfId="39">
      <pivotArea dataOnly="0" labelOnly="1" fieldPosition="0">
        <references count="2">
          <reference field="4" count="1">
            <x v="4"/>
          </reference>
          <reference field="5" count="1" selected="0">
            <x v="1"/>
          </reference>
        </references>
      </pivotArea>
    </format>
    <format dxfId="38">
      <pivotArea collapsedLevelsAreSubtotals="1" fieldPosition="0">
        <references count="2">
          <reference field="4" count="2">
            <x v="3"/>
            <x v="6"/>
          </reference>
          <reference field="5" count="1" selected="0">
            <x v="2"/>
          </reference>
        </references>
      </pivotArea>
    </format>
    <format dxfId="37">
      <pivotArea dataOnly="0" labelOnly="1" fieldPosition="0">
        <references count="2">
          <reference field="4" count="2">
            <x v="3"/>
            <x v="6"/>
          </reference>
          <reference field="5" count="1" selected="0">
            <x v="2"/>
          </reference>
        </references>
      </pivotArea>
    </format>
    <format dxfId="36">
      <pivotArea collapsedLevelsAreSubtotals="1" fieldPosition="0">
        <references count="2">
          <reference field="4" count="2">
            <x v="2"/>
            <x v="5"/>
          </reference>
          <reference field="5" count="1" selected="0">
            <x v="3"/>
          </reference>
        </references>
      </pivotArea>
    </format>
    <format dxfId="35">
      <pivotArea dataOnly="0" labelOnly="1" fieldPosition="0">
        <references count="2">
          <reference field="4" count="2">
            <x v="2"/>
            <x v="5"/>
          </reference>
          <reference field="5" count="1" selected="0">
            <x v="3"/>
          </reference>
        </references>
      </pivotArea>
    </format>
    <format dxfId="34">
      <pivotArea type="all" dataOnly="0" outline="0" fieldPosition="0"/>
    </format>
    <format dxfId="33">
      <pivotArea outline="0" collapsedLevelsAreSubtotals="1" fieldPosition="0"/>
    </format>
    <format dxfId="32">
      <pivotArea field="5" type="button" dataOnly="0" labelOnly="1" outline="0" axis="axisRow" fieldPosition="0"/>
    </format>
    <format dxfId="31">
      <pivotArea dataOnly="0" labelOnly="1" fieldPosition="0">
        <references count="1">
          <reference field="5" count="0"/>
        </references>
      </pivotArea>
    </format>
    <format dxfId="30">
      <pivotArea dataOnly="0" labelOnly="1" grandRow="1" outline="0" fieldPosition="0"/>
    </format>
    <format dxfId="29">
      <pivotArea dataOnly="0" labelOnly="1" fieldPosition="0">
        <references count="2">
          <reference field="4" count="3">
            <x v="0"/>
            <x v="1"/>
            <x v="7"/>
          </reference>
          <reference field="5" count="1" selected="0">
            <x v="0"/>
          </reference>
        </references>
      </pivotArea>
    </format>
    <format dxfId="28">
      <pivotArea dataOnly="0" labelOnly="1" fieldPosition="0">
        <references count="2">
          <reference field="4" count="1">
            <x v="4"/>
          </reference>
          <reference field="5" count="1" selected="0">
            <x v="1"/>
          </reference>
        </references>
      </pivotArea>
    </format>
    <format dxfId="27">
      <pivotArea dataOnly="0" labelOnly="1" fieldPosition="0">
        <references count="2">
          <reference field="4" count="2">
            <x v="3"/>
            <x v="6"/>
          </reference>
          <reference field="5" count="1" selected="0">
            <x v="2"/>
          </reference>
        </references>
      </pivotArea>
    </format>
    <format dxfId="26">
      <pivotArea dataOnly="0" labelOnly="1" fieldPosition="0">
        <references count="2">
          <reference field="4" count="2">
            <x v="2"/>
            <x v="5"/>
          </reference>
          <reference field="5" count="1" selected="0">
            <x v="3"/>
          </reference>
        </references>
      </pivotArea>
    </format>
    <format dxfId="25">
      <pivotArea dataOnly="0" labelOnly="1" outline="0" axis="axisValues" fieldPosition="0"/>
    </format>
    <format dxfId="24">
      <pivotArea outline="0" collapsedLevelsAreSubtotals="1" fieldPosition="0"/>
    </format>
    <format dxfId="23">
      <pivotArea collapsedLevelsAreSubtotals="1" fieldPosition="0">
        <references count="3">
          <reference field="4" count="1">
            <x v="0"/>
          </reference>
          <reference field="5" count="1" selected="0">
            <x v="0"/>
          </reference>
          <reference field="7" count="1" selected="0">
            <x v="0"/>
          </reference>
        </references>
      </pivotArea>
    </format>
    <format dxfId="22">
      <pivotArea dataOnly="0" labelOnly="1" fieldPosition="0">
        <references count="1">
          <reference field="7" count="1">
            <x v="0"/>
          </reference>
        </references>
      </pivotArea>
    </format>
    <format dxfId="21">
      <pivotArea dataOnly="0" labelOnly="1" fieldPosition="0">
        <references count="1">
          <reference field="7" count="1">
            <x v="0"/>
          </reference>
        </references>
      </pivotArea>
    </format>
    <format dxfId="20">
      <pivotArea dataOnly="0" labelOnly="1" fieldPosition="0">
        <references count="1">
          <reference field="7" count="1">
            <x v="1"/>
          </reference>
        </references>
      </pivotArea>
    </format>
    <format dxfId="19">
      <pivotArea dataOnly="0" labelOnly="1" fieldPosition="0">
        <references count="1">
          <reference field="7" count="1">
            <x v="2"/>
          </reference>
        </references>
      </pivotArea>
    </format>
    <format dxfId="18">
      <pivotArea dataOnly="0" labelOnly="1" fieldPosition="0">
        <references count="1">
          <reference field="7" count="1">
            <x v="3"/>
          </reference>
        </references>
      </pivotArea>
    </format>
    <format dxfId="17">
      <pivotArea dataOnly="0" labelOnly="1" fieldPosition="0">
        <references count="1">
          <reference field="7" count="1">
            <x v="4"/>
          </reference>
        </references>
      </pivotArea>
    </format>
    <format dxfId="16">
      <pivotArea dataOnly="0" labelOnly="1" fieldPosition="0">
        <references count="1">
          <reference field="4" count="0"/>
        </references>
      </pivotArea>
    </format>
    <format dxfId="15">
      <pivotArea dataOnly="0" labelOnly="1" fieldPosition="0">
        <references count="1">
          <reference field="4" count="0"/>
        </references>
      </pivotArea>
    </format>
    <format dxfId="14">
      <pivotArea collapsedLevelsAreSubtotals="1" fieldPosition="0">
        <references count="1">
          <reference field="5" count="1">
            <x v="0"/>
          </reference>
        </references>
      </pivotArea>
    </format>
    <format dxfId="13">
      <pivotArea collapsedLevelsAreSubtotals="1" fieldPosition="0">
        <references count="2">
          <reference field="4" count="3">
            <x v="0"/>
            <x v="1"/>
            <x v="7"/>
          </reference>
          <reference field="5" count="1" selected="0">
            <x v="0"/>
          </reference>
        </references>
      </pivotArea>
    </format>
    <format dxfId="12">
      <pivotArea collapsedLevelsAreSubtotals="1" fieldPosition="0">
        <references count="1">
          <reference field="5" count="1">
            <x v="1"/>
          </reference>
        </references>
      </pivotArea>
    </format>
    <format dxfId="11">
      <pivotArea collapsedLevelsAreSubtotals="1" fieldPosition="0">
        <references count="2">
          <reference field="4" count="1">
            <x v="4"/>
          </reference>
          <reference field="5" count="1" selected="0">
            <x v="1"/>
          </reference>
        </references>
      </pivotArea>
    </format>
    <format dxfId="10">
      <pivotArea collapsedLevelsAreSubtotals="1" fieldPosition="0">
        <references count="1">
          <reference field="5" count="1">
            <x v="2"/>
          </reference>
        </references>
      </pivotArea>
    </format>
    <format dxfId="9">
      <pivotArea collapsedLevelsAreSubtotals="1" fieldPosition="0">
        <references count="2">
          <reference field="4" count="2">
            <x v="3"/>
            <x v="6"/>
          </reference>
          <reference field="5" count="1" selected="0">
            <x v="2"/>
          </reference>
        </references>
      </pivotArea>
    </format>
    <format dxfId="8">
      <pivotArea collapsedLevelsAreSubtotals="1" fieldPosition="0">
        <references count="1">
          <reference field="5" count="1">
            <x v="3"/>
          </reference>
        </references>
      </pivotArea>
    </format>
    <format dxfId="7">
      <pivotArea collapsedLevelsAreSubtotals="1" fieldPosition="0">
        <references count="2">
          <reference field="4" count="2">
            <x v="2"/>
            <x v="5"/>
          </reference>
          <reference field="5" count="1" selected="0">
            <x v="3"/>
          </reference>
        </references>
      </pivotArea>
    </format>
    <format dxfId="6">
      <pivotArea dataOnly="0" labelOnly="1" fieldPosition="0">
        <references count="1">
          <reference field="5" count="0"/>
        </references>
      </pivotArea>
    </format>
    <format dxfId="5">
      <pivotArea dataOnly="0" labelOnly="1" fieldPosition="0">
        <references count="2">
          <reference field="4" count="3">
            <x v="0"/>
            <x v="1"/>
            <x v="7"/>
          </reference>
          <reference field="5" count="1" selected="0">
            <x v="0"/>
          </reference>
        </references>
      </pivotArea>
    </format>
    <format dxfId="4">
      <pivotArea dataOnly="0" labelOnly="1" fieldPosition="0">
        <references count="2">
          <reference field="4" count="1">
            <x v="4"/>
          </reference>
          <reference field="5" count="1" selected="0">
            <x v="1"/>
          </reference>
        </references>
      </pivotArea>
    </format>
    <format dxfId="3">
      <pivotArea dataOnly="0" labelOnly="1" fieldPosition="0">
        <references count="2">
          <reference field="4" count="2">
            <x v="3"/>
            <x v="6"/>
          </reference>
          <reference field="5" count="1" selected="0">
            <x v="2"/>
          </reference>
        </references>
      </pivotArea>
    </format>
    <format dxfId="2">
      <pivotArea dataOnly="0" labelOnly="1" fieldPosition="0">
        <references count="2">
          <reference field="4" count="2">
            <x v="2"/>
            <x v="5"/>
          </reference>
          <reference field="5" count="1" selected="0">
            <x v="3"/>
          </reference>
        </references>
      </pivotArea>
    </format>
    <format dxfId="1">
      <pivotArea dataOnly="0" labelOnly="1" fieldPosition="0">
        <references count="1">
          <reference field="7" count="1">
            <x v="0"/>
          </reference>
        </references>
      </pivotArea>
    </format>
    <format dxfId="0">
      <pivotArea dataOnly="0" labelOnly="1" fieldPosition="0">
        <references count="1">
          <reference field="7" count="1">
            <x v="0"/>
          </reference>
        </references>
      </pivotArea>
    </format>
  </formats>
  <conditionalFormats count="8">
    <conditionalFormat priority="1">
      <pivotAreas count="1">
        <pivotArea type="data" collapsedLevelsAreSubtotals="1" fieldPosition="0">
          <references count="4">
            <reference field="4294967294" count="1" selected="0">
              <x v="0"/>
            </reference>
            <reference field="4" count="1">
              <x v="5"/>
            </reference>
            <reference field="5" count="1" selected="0">
              <x v="3"/>
            </reference>
            <reference field="7" count="5" selected="0">
              <x v="0"/>
              <x v="1"/>
              <x v="2"/>
              <x v="3"/>
              <x v="4"/>
            </reference>
          </references>
        </pivotArea>
      </pivotAreas>
    </conditionalFormat>
    <conditionalFormat priority="2">
      <pivotAreas count="1">
        <pivotArea type="data" collapsedLevelsAreSubtotals="1" fieldPosition="0">
          <references count="4">
            <reference field="4294967294" count="1" selected="0">
              <x v="0"/>
            </reference>
            <reference field="4" count="1">
              <x v="2"/>
            </reference>
            <reference field="5" count="1" selected="0">
              <x v="3"/>
            </reference>
            <reference field="7" count="5" selected="0">
              <x v="0"/>
              <x v="1"/>
              <x v="2"/>
              <x v="3"/>
              <x v="4"/>
            </reference>
          </references>
        </pivotArea>
      </pivotAreas>
    </conditionalFormat>
    <conditionalFormat priority="3">
      <pivotAreas count="1">
        <pivotArea type="data" collapsedLevelsAreSubtotals="1" fieldPosition="0">
          <references count="4">
            <reference field="4294967294" count="1" selected="0">
              <x v="0"/>
            </reference>
            <reference field="4" count="1">
              <x v="6"/>
            </reference>
            <reference field="5" count="1" selected="0">
              <x v="2"/>
            </reference>
            <reference field="7" count="5" selected="0">
              <x v="0"/>
              <x v="1"/>
              <x v="2"/>
              <x v="3"/>
              <x v="4"/>
            </reference>
          </references>
        </pivotArea>
      </pivotAreas>
    </conditionalFormat>
    <conditionalFormat priority="4">
      <pivotAreas count="1">
        <pivotArea type="data" collapsedLevelsAreSubtotals="1" fieldPosition="0">
          <references count="4">
            <reference field="4294967294" count="1" selected="0">
              <x v="0"/>
            </reference>
            <reference field="4" count="1">
              <x v="3"/>
            </reference>
            <reference field="5" count="1" selected="0">
              <x v="2"/>
            </reference>
            <reference field="7" count="5" selected="0">
              <x v="0"/>
              <x v="1"/>
              <x v="2"/>
              <x v="3"/>
              <x v="4"/>
            </reference>
          </references>
        </pivotArea>
      </pivotAreas>
    </conditionalFormat>
    <conditionalFormat priority="5">
      <pivotAreas count="1">
        <pivotArea type="data" collapsedLevelsAreSubtotals="1" fieldPosition="0">
          <references count="4">
            <reference field="4294967294" count="1" selected="0">
              <x v="0"/>
            </reference>
            <reference field="4" count="1">
              <x v="4"/>
            </reference>
            <reference field="5" count="1" selected="0">
              <x v="1"/>
            </reference>
            <reference field="7" count="5" selected="0">
              <x v="0"/>
              <x v="1"/>
              <x v="2"/>
              <x v="3"/>
              <x v="4"/>
            </reference>
          </references>
        </pivotArea>
      </pivotAreas>
    </conditionalFormat>
    <conditionalFormat priority="6">
      <pivotAreas count="1">
        <pivotArea type="data" collapsedLevelsAreSubtotals="1" fieldPosition="0">
          <references count="4">
            <reference field="4294967294" count="1" selected="0">
              <x v="0"/>
            </reference>
            <reference field="4" count="1">
              <x v="7"/>
            </reference>
            <reference field="5" count="1" selected="0">
              <x v="0"/>
            </reference>
            <reference field="7" count="5" selected="0">
              <x v="0"/>
              <x v="1"/>
              <x v="2"/>
              <x v="3"/>
              <x v="4"/>
            </reference>
          </references>
        </pivotArea>
      </pivotAreas>
    </conditionalFormat>
    <conditionalFormat priority="7">
      <pivotAreas count="1">
        <pivotArea type="data" collapsedLevelsAreSubtotals="1" fieldPosition="0">
          <references count="4">
            <reference field="4294967294" count="1" selected="0">
              <x v="0"/>
            </reference>
            <reference field="4" count="1">
              <x v="1"/>
            </reference>
            <reference field="5" count="1" selected="0">
              <x v="0"/>
            </reference>
            <reference field="7" count="5" selected="0">
              <x v="0"/>
              <x v="1"/>
              <x v="2"/>
              <x v="3"/>
              <x v="4"/>
            </reference>
          </references>
        </pivotArea>
      </pivotAreas>
    </conditionalFormat>
    <conditionalFormat priority="8">
      <pivotAreas count="1">
        <pivotArea type="data" collapsedLevelsAreSubtotals="1" fieldPosition="0">
          <references count="4">
            <reference field="4294967294" count="1" selected="0">
              <x v="0"/>
            </reference>
            <reference field="4" count="1">
              <x v="0"/>
            </reference>
            <reference field="5" count="1" selected="0">
              <x v="0"/>
            </reference>
            <reference field="7" count="5" selected="0">
              <x v="0"/>
              <x v="1"/>
              <x v="2"/>
              <x v="3"/>
              <x v="4"/>
            </reference>
          </references>
        </pivotArea>
      </pivotAreas>
    </conditionalFormat>
  </conditionalFormats>
  <chartFormats count="15">
    <chartFormat chart="1" format="0" series="1">
      <pivotArea type="data" outline="0" fieldPosition="0">
        <references count="2">
          <reference field="4294967294" count="1" selected="0">
            <x v="0"/>
          </reference>
          <reference field="7" count="1" selected="0">
            <x v="0"/>
          </reference>
        </references>
      </pivotArea>
    </chartFormat>
    <chartFormat chart="1" format="1" series="1">
      <pivotArea type="data" outline="0" fieldPosition="0">
        <references count="2">
          <reference field="4294967294" count="1" selected="0">
            <x v="0"/>
          </reference>
          <reference field="7" count="1" selected="0">
            <x v="1"/>
          </reference>
        </references>
      </pivotArea>
    </chartFormat>
    <chartFormat chart="1" format="2" series="1">
      <pivotArea type="data" outline="0" fieldPosition="0">
        <references count="2">
          <reference field="4294967294" count="1" selected="0">
            <x v="0"/>
          </reference>
          <reference field="7" count="1" selected="0">
            <x v="2"/>
          </reference>
        </references>
      </pivotArea>
    </chartFormat>
    <chartFormat chart="1" format="3" series="1">
      <pivotArea type="data" outline="0" fieldPosition="0">
        <references count="2">
          <reference field="4294967294" count="1" selected="0">
            <x v="0"/>
          </reference>
          <reference field="7" count="1" selected="0">
            <x v="3"/>
          </reference>
        </references>
      </pivotArea>
    </chartFormat>
    <chartFormat chart="1" format="4" series="1">
      <pivotArea type="data" outline="0" fieldPosition="0">
        <references count="2">
          <reference field="4294967294" count="1" selected="0">
            <x v="0"/>
          </reference>
          <reference field="7" count="1" selected="0">
            <x v="4"/>
          </reference>
        </references>
      </pivotArea>
    </chartFormat>
    <chartFormat chart="2" format="5" series="1">
      <pivotArea type="data" outline="0" fieldPosition="0">
        <references count="2">
          <reference field="4294967294" count="1" selected="0">
            <x v="0"/>
          </reference>
          <reference field="7" count="1" selected="0">
            <x v="0"/>
          </reference>
        </references>
      </pivotArea>
    </chartFormat>
    <chartFormat chart="2" format="6" series="1">
      <pivotArea type="data" outline="0" fieldPosition="0">
        <references count="2">
          <reference field="4294967294" count="1" selected="0">
            <x v="0"/>
          </reference>
          <reference field="7" count="1" selected="0">
            <x v="1"/>
          </reference>
        </references>
      </pivotArea>
    </chartFormat>
    <chartFormat chart="2" format="7" series="1">
      <pivotArea type="data" outline="0" fieldPosition="0">
        <references count="2">
          <reference field="4294967294" count="1" selected="0">
            <x v="0"/>
          </reference>
          <reference field="7" count="1" selected="0">
            <x v="2"/>
          </reference>
        </references>
      </pivotArea>
    </chartFormat>
    <chartFormat chart="2" format="8" series="1">
      <pivotArea type="data" outline="0" fieldPosition="0">
        <references count="2">
          <reference field="4294967294" count="1" selected="0">
            <x v="0"/>
          </reference>
          <reference field="7" count="1" selected="0">
            <x v="3"/>
          </reference>
        </references>
      </pivotArea>
    </chartFormat>
    <chartFormat chart="2" format="9" series="1">
      <pivotArea type="data" outline="0" fieldPosition="0">
        <references count="2">
          <reference field="4294967294" count="1" selected="0">
            <x v="0"/>
          </reference>
          <reference field="7" count="1" selected="0">
            <x v="4"/>
          </reference>
        </references>
      </pivotArea>
    </chartFormat>
    <chartFormat chart="3" format="10" series="1">
      <pivotArea type="data" outline="0" fieldPosition="0">
        <references count="2">
          <reference field="4294967294" count="1" selected="0">
            <x v="0"/>
          </reference>
          <reference field="7" count="1" selected="0">
            <x v="0"/>
          </reference>
        </references>
      </pivotArea>
    </chartFormat>
    <chartFormat chart="3" format="11" series="1">
      <pivotArea type="data" outline="0" fieldPosition="0">
        <references count="2">
          <reference field="4294967294" count="1" selected="0">
            <x v="0"/>
          </reference>
          <reference field="7" count="1" selected="0">
            <x v="1"/>
          </reference>
        </references>
      </pivotArea>
    </chartFormat>
    <chartFormat chart="3" format="12" series="1">
      <pivotArea type="data" outline="0" fieldPosition="0">
        <references count="2">
          <reference field="4294967294" count="1" selected="0">
            <x v="0"/>
          </reference>
          <reference field="7" count="1" selected="0">
            <x v="2"/>
          </reference>
        </references>
      </pivotArea>
    </chartFormat>
    <chartFormat chart="3" format="13" series="1">
      <pivotArea type="data" outline="0" fieldPosition="0">
        <references count="2">
          <reference field="4294967294" count="1" selected="0">
            <x v="0"/>
          </reference>
          <reference field="7" count="1" selected="0">
            <x v="3"/>
          </reference>
        </references>
      </pivotArea>
    </chartFormat>
    <chartFormat chart="3" format="14" series="1">
      <pivotArea type="data" outline="0" fieldPosition="0">
        <references count="2">
          <reference field="4294967294" count="1" selected="0">
            <x v="0"/>
          </reference>
          <reference field="7"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57476A19-30D9-46B0-91BF-18C2AA81AC5C}" sourceName="Product_Type">
  <pivotTables>
    <pivotTable tabId="5" name="PivotTable3"/>
  </pivotTables>
  <data>
    <tabular pivotCacheId="2142979868">
      <items count="5">
        <i x="0" s="1"/>
        <i x="2" s="1"/>
        <i x="4" s="1"/>
        <i x="3"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4E2468C9-522D-4540-BDCE-5896D76CBE79}" sourceName="Region">
  <pivotTables>
    <pivotTable tabId="5" name="PivotTable3"/>
  </pivotTables>
  <data>
    <tabular pivotCacheId="2142979868">
      <items count="4">
        <i x="0" s="1"/>
        <i x="1"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_Type" xr10:uid="{03D24A9C-C2CF-4B11-8529-82530A0D90C4}" cache="Slicer_Product_Type" caption="Product_Type" columnCount="3" style="SlicerStyleLight6" rowHeight="612000"/>
  <slicer name="Region" xr10:uid="{41A6C6A2-F8F8-4A6A-95C1-F82EC1C2C33B}" cache="Slicer_Region" caption="Region" style="SlicerStyleLight4" rowHeight="50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6629AE6-8CD7-45AC-9DB7-FA0DED0AD608}">
  <we:reference id="wa200001584" version="3.0.0.6" store="en-US" storeType="OMEX"/>
  <we:alternateReferences>
    <we:reference id="WA200001584" version="3.0.0.6"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3.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openxmlformats.org/officeDocument/2006/relationships/pivotTable" Target="../pivotTables/pivotTable4.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2.bin"/><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B1E3D9-4668-4E95-B0BF-EBFD2E6961C9}">
  <dimension ref="A1:X28"/>
  <sheetViews>
    <sheetView tabSelected="1" workbookViewId="0">
      <selection activeCell="T15" sqref="T15"/>
    </sheetView>
  </sheetViews>
  <sheetFormatPr defaultRowHeight="14.4"/>
  <cols>
    <col min="1" max="1" width="1.77734375" customWidth="1"/>
    <col min="8" max="8" width="8.88671875" customWidth="1"/>
    <col min="17" max="17" width="8.88671875" customWidth="1"/>
    <col min="24" max="24" width="1.77734375" customWidth="1"/>
  </cols>
  <sheetData>
    <row r="1" spans="1:24" ht="9" customHeight="1" thickBot="1">
      <c r="A1" s="81"/>
      <c r="B1" s="81"/>
      <c r="C1" s="81"/>
      <c r="D1" s="81"/>
      <c r="E1" s="81"/>
      <c r="F1" s="81"/>
      <c r="G1" s="81"/>
      <c r="H1" s="81"/>
      <c r="I1" s="81"/>
      <c r="J1" s="81"/>
      <c r="K1" s="81"/>
      <c r="L1" s="81"/>
      <c r="M1" s="81"/>
      <c r="N1" s="81"/>
      <c r="O1" s="81"/>
      <c r="P1" s="81"/>
      <c r="Q1" s="81"/>
      <c r="R1" s="81"/>
      <c r="S1" s="81"/>
      <c r="T1" s="81"/>
      <c r="U1" s="81"/>
      <c r="V1" s="81"/>
      <c r="W1" s="81"/>
      <c r="X1" s="81"/>
    </row>
    <row r="2" spans="1:24" ht="71.400000000000006" customHeight="1" thickTop="1" thickBot="1">
      <c r="A2" s="81"/>
      <c r="B2" s="107" t="s">
        <v>77</v>
      </c>
      <c r="C2" s="108"/>
      <c r="D2" s="108"/>
      <c r="E2" s="108"/>
      <c r="F2" s="108"/>
      <c r="G2" s="108"/>
      <c r="H2" s="108"/>
      <c r="I2" s="108"/>
      <c r="J2" s="108"/>
      <c r="K2" s="108"/>
      <c r="L2" s="108"/>
      <c r="M2" s="108"/>
      <c r="N2" s="108"/>
      <c r="O2" s="108"/>
      <c r="P2" s="108"/>
      <c r="Q2" s="108"/>
      <c r="R2" s="108"/>
      <c r="S2" s="108"/>
      <c r="T2" s="108"/>
      <c r="U2" s="108"/>
      <c r="V2" s="108"/>
      <c r="W2" s="108"/>
      <c r="X2" s="82"/>
    </row>
    <row r="3" spans="1:24" ht="15" thickTop="1">
      <c r="A3" s="83"/>
      <c r="B3" s="80"/>
      <c r="C3" s="80"/>
      <c r="D3" s="80"/>
      <c r="E3" s="80"/>
      <c r="F3" s="80"/>
      <c r="G3" s="80"/>
      <c r="H3" s="105"/>
      <c r="I3" s="86"/>
      <c r="J3" s="80"/>
      <c r="K3" s="80"/>
      <c r="L3" s="80"/>
      <c r="M3" s="80"/>
      <c r="N3" s="80"/>
      <c r="O3" s="80"/>
      <c r="P3" s="105"/>
      <c r="Q3" s="86"/>
      <c r="R3" s="80"/>
      <c r="S3" s="80"/>
      <c r="T3" s="80"/>
      <c r="U3" s="80"/>
      <c r="V3" s="80"/>
      <c r="W3" s="86"/>
      <c r="X3" s="81"/>
    </row>
    <row r="4" spans="1:24">
      <c r="A4" s="83"/>
      <c r="B4" s="80"/>
      <c r="C4" s="80"/>
      <c r="D4" s="80"/>
      <c r="E4" s="80"/>
      <c r="F4" s="80"/>
      <c r="G4" s="80"/>
      <c r="H4" s="106"/>
      <c r="I4" s="87"/>
      <c r="J4" s="80"/>
      <c r="K4" s="80"/>
      <c r="L4" s="80"/>
      <c r="M4" s="80"/>
      <c r="N4" s="80"/>
      <c r="O4" s="80"/>
      <c r="P4" s="106"/>
      <c r="Q4" s="87"/>
      <c r="R4" s="80"/>
      <c r="S4" s="80"/>
      <c r="T4" s="80"/>
      <c r="U4" s="80"/>
      <c r="V4" s="80"/>
      <c r="W4" s="87"/>
      <c r="X4" s="81"/>
    </row>
    <row r="5" spans="1:24">
      <c r="A5" s="83"/>
      <c r="B5" s="80"/>
      <c r="C5" s="80"/>
      <c r="D5" s="80"/>
      <c r="E5" s="80"/>
      <c r="F5" s="80"/>
      <c r="G5" s="80"/>
      <c r="H5" s="106"/>
      <c r="I5" s="87"/>
      <c r="J5" s="80"/>
      <c r="K5" s="80"/>
      <c r="L5" s="80"/>
      <c r="M5" s="80"/>
      <c r="N5" s="80"/>
      <c r="O5" s="80"/>
      <c r="P5" s="106"/>
      <c r="Q5" s="87"/>
      <c r="R5" s="80"/>
      <c r="S5" s="80"/>
      <c r="T5" s="80"/>
      <c r="U5" s="80"/>
      <c r="V5" s="80"/>
      <c r="W5" s="87"/>
      <c r="X5" s="81"/>
    </row>
    <row r="6" spans="1:24">
      <c r="A6" s="83"/>
      <c r="B6" s="80"/>
      <c r="C6" s="80"/>
      <c r="D6" s="80"/>
      <c r="E6" s="80"/>
      <c r="F6" s="80"/>
      <c r="G6" s="80"/>
      <c r="H6" s="106"/>
      <c r="I6" s="87"/>
      <c r="J6" s="80"/>
      <c r="K6" s="80"/>
      <c r="L6" s="80"/>
      <c r="M6" s="80"/>
      <c r="N6" s="80"/>
      <c r="O6" s="80"/>
      <c r="P6" s="106"/>
      <c r="Q6" s="87"/>
      <c r="R6" s="80"/>
      <c r="S6" s="80"/>
      <c r="T6" s="80"/>
      <c r="U6" s="80"/>
      <c r="V6" s="80"/>
      <c r="W6" s="87"/>
      <c r="X6" s="81"/>
    </row>
    <row r="7" spans="1:24">
      <c r="A7" s="83"/>
      <c r="B7" s="80"/>
      <c r="C7" s="80"/>
      <c r="D7" s="80"/>
      <c r="E7" s="80"/>
      <c r="F7" s="80"/>
      <c r="G7" s="80"/>
      <c r="H7" s="106"/>
      <c r="I7" s="87"/>
      <c r="J7" s="80"/>
      <c r="K7" s="80"/>
      <c r="L7" s="80"/>
      <c r="M7" s="80"/>
      <c r="N7" s="80"/>
      <c r="O7" s="80"/>
      <c r="P7" s="106"/>
      <c r="Q7" s="87"/>
      <c r="R7" s="80"/>
      <c r="S7" s="80"/>
      <c r="T7" s="80"/>
      <c r="U7" s="80"/>
      <c r="V7" s="80"/>
      <c r="W7" s="87"/>
      <c r="X7" s="81"/>
    </row>
    <row r="8" spans="1:24">
      <c r="A8" s="83"/>
      <c r="B8" s="80"/>
      <c r="C8" s="80"/>
      <c r="D8" s="80"/>
      <c r="E8" s="80"/>
      <c r="F8" s="80"/>
      <c r="G8" s="80"/>
      <c r="H8" s="106"/>
      <c r="I8" s="87"/>
      <c r="J8" s="80"/>
      <c r="K8" s="80"/>
      <c r="L8" s="80"/>
      <c r="M8" s="80"/>
      <c r="N8" s="80"/>
      <c r="O8" s="80"/>
      <c r="P8" s="106"/>
      <c r="Q8" s="87"/>
      <c r="R8" s="80"/>
      <c r="S8" s="80"/>
      <c r="T8" s="80"/>
      <c r="U8" s="80"/>
      <c r="V8" s="80"/>
      <c r="W8" s="87"/>
      <c r="X8" s="81"/>
    </row>
    <row r="9" spans="1:24">
      <c r="A9" s="83"/>
      <c r="B9" s="80"/>
      <c r="C9" s="80"/>
      <c r="D9" s="80"/>
      <c r="E9" s="80"/>
      <c r="F9" s="80"/>
      <c r="G9" s="80"/>
      <c r="H9" s="106"/>
      <c r="I9" s="87"/>
      <c r="J9" s="80"/>
      <c r="K9" s="80"/>
      <c r="L9" s="80"/>
      <c r="M9" s="80"/>
      <c r="N9" s="80"/>
      <c r="O9" s="80"/>
      <c r="P9" s="106"/>
      <c r="Q9" s="87"/>
      <c r="R9" s="80"/>
      <c r="S9" s="80"/>
      <c r="T9" s="80"/>
      <c r="U9" s="80"/>
      <c r="V9" s="80"/>
      <c r="W9" s="87"/>
      <c r="X9" s="81"/>
    </row>
    <row r="10" spans="1:24">
      <c r="A10" s="83"/>
      <c r="B10" s="80"/>
      <c r="C10" s="80"/>
      <c r="D10" s="80"/>
      <c r="E10" s="80"/>
      <c r="F10" s="80"/>
      <c r="G10" s="80"/>
      <c r="H10" s="106"/>
      <c r="I10" s="87"/>
      <c r="J10" s="80"/>
      <c r="K10" s="80"/>
      <c r="L10" s="80"/>
      <c r="M10" s="80"/>
      <c r="N10" s="80"/>
      <c r="O10" s="80"/>
      <c r="P10" s="106"/>
      <c r="Q10" s="87"/>
      <c r="R10" s="80"/>
      <c r="S10" s="80"/>
      <c r="T10" s="80"/>
      <c r="U10" s="80"/>
      <c r="V10" s="80"/>
      <c r="W10" s="87"/>
      <c r="X10" s="81"/>
    </row>
    <row r="11" spans="1:24">
      <c r="A11" s="83"/>
      <c r="B11" s="80"/>
      <c r="C11" s="80"/>
      <c r="D11" s="80"/>
      <c r="E11" s="80"/>
      <c r="F11" s="80"/>
      <c r="G11" s="80"/>
      <c r="H11" s="106"/>
      <c r="I11" s="87"/>
      <c r="J11" s="80"/>
      <c r="K11" s="80"/>
      <c r="L11" s="80"/>
      <c r="M11" s="80"/>
      <c r="N11" s="80"/>
      <c r="O11" s="80"/>
      <c r="P11" s="106"/>
      <c r="Q11" s="87"/>
      <c r="R11" s="80"/>
      <c r="S11" s="80"/>
      <c r="T11" s="80"/>
      <c r="U11" s="80"/>
      <c r="V11" s="80"/>
      <c r="W11" s="87"/>
      <c r="X11" s="81"/>
    </row>
    <row r="12" spans="1:24">
      <c r="A12" s="83"/>
      <c r="B12" s="80"/>
      <c r="C12" s="80"/>
      <c r="D12" s="80"/>
      <c r="E12" s="80"/>
      <c r="F12" s="80"/>
      <c r="G12" s="80"/>
      <c r="H12" s="106"/>
      <c r="I12" s="87"/>
      <c r="J12" s="80"/>
      <c r="K12" s="80"/>
      <c r="L12" s="80"/>
      <c r="M12" s="80"/>
      <c r="N12" s="80"/>
      <c r="O12" s="80"/>
      <c r="P12" s="106"/>
      <c r="Q12" s="87"/>
      <c r="R12" s="80"/>
      <c r="S12" s="80"/>
      <c r="T12" s="80"/>
      <c r="U12" s="80"/>
      <c r="V12" s="80"/>
      <c r="W12" s="87"/>
      <c r="X12" s="81"/>
    </row>
    <row r="13" spans="1:24">
      <c r="A13" s="83"/>
      <c r="B13" s="80"/>
      <c r="C13" s="80"/>
      <c r="D13" s="80"/>
      <c r="E13" s="80"/>
      <c r="F13" s="80"/>
      <c r="G13" s="80"/>
      <c r="H13" s="106"/>
      <c r="I13" s="87"/>
      <c r="J13" s="80"/>
      <c r="K13" s="80"/>
      <c r="L13" s="80"/>
      <c r="M13" s="80"/>
      <c r="N13" s="80"/>
      <c r="O13" s="80"/>
      <c r="P13" s="106"/>
      <c r="Q13" s="87"/>
      <c r="R13" s="80"/>
      <c r="S13" s="80"/>
      <c r="T13" s="80"/>
      <c r="U13" s="80"/>
      <c r="V13" s="80"/>
      <c r="W13" s="87"/>
      <c r="X13" s="81"/>
    </row>
    <row r="14" spans="1:24">
      <c r="A14" s="83"/>
      <c r="B14" s="80"/>
      <c r="C14" s="80"/>
      <c r="D14" s="80"/>
      <c r="E14" s="80"/>
      <c r="F14" s="80"/>
      <c r="G14" s="80"/>
      <c r="H14" s="106"/>
      <c r="I14" s="87"/>
      <c r="J14" s="80"/>
      <c r="K14" s="80"/>
      <c r="L14" s="80"/>
      <c r="M14" s="80"/>
      <c r="N14" s="80"/>
      <c r="O14" s="80"/>
      <c r="P14" s="106"/>
      <c r="Q14" s="87"/>
      <c r="R14" s="80"/>
      <c r="S14" s="80"/>
      <c r="T14" s="80"/>
      <c r="U14" s="80"/>
      <c r="V14" s="80"/>
      <c r="W14" s="87"/>
      <c r="X14" s="81"/>
    </row>
    <row r="15" spans="1:24">
      <c r="A15" s="83"/>
      <c r="B15" s="80"/>
      <c r="C15" s="80"/>
      <c r="D15" s="80"/>
      <c r="E15" s="80"/>
      <c r="F15" s="80"/>
      <c r="G15" s="80"/>
      <c r="H15" s="106"/>
      <c r="I15" s="87"/>
      <c r="J15" s="80"/>
      <c r="K15" s="80"/>
      <c r="L15" s="80"/>
      <c r="M15" s="80"/>
      <c r="N15" s="80"/>
      <c r="O15" s="80"/>
      <c r="P15" s="106"/>
      <c r="Q15" s="87"/>
      <c r="R15" s="80"/>
      <c r="S15" s="80"/>
      <c r="T15" s="80"/>
      <c r="U15" s="80"/>
      <c r="V15" s="80"/>
      <c r="W15" s="87"/>
      <c r="X15" s="81"/>
    </row>
    <row r="16" spans="1:24">
      <c r="A16" s="83"/>
      <c r="B16" s="80"/>
      <c r="C16" s="80"/>
      <c r="D16" s="80"/>
      <c r="E16" s="80"/>
      <c r="F16" s="80"/>
      <c r="G16" s="80"/>
      <c r="H16" s="106"/>
      <c r="I16" s="87"/>
      <c r="J16" s="80"/>
      <c r="K16" s="80"/>
      <c r="L16" s="80"/>
      <c r="M16" s="80"/>
      <c r="N16" s="80"/>
      <c r="O16" s="80"/>
      <c r="P16" s="106"/>
      <c r="Q16" s="87"/>
      <c r="R16" s="80"/>
      <c r="S16" s="80"/>
      <c r="T16" s="80"/>
      <c r="U16" s="80"/>
      <c r="V16" s="80"/>
      <c r="W16" s="87"/>
      <c r="X16" s="81"/>
    </row>
    <row r="17" spans="1:24">
      <c r="A17" s="83"/>
      <c r="B17" s="80"/>
      <c r="C17" s="80"/>
      <c r="D17" s="80"/>
      <c r="E17" s="80"/>
      <c r="F17" s="80"/>
      <c r="G17" s="80"/>
      <c r="H17" s="106"/>
      <c r="I17" s="87"/>
      <c r="J17" s="80"/>
      <c r="K17" s="80"/>
      <c r="L17" s="80"/>
      <c r="M17" s="80"/>
      <c r="N17" s="80"/>
      <c r="O17" s="80"/>
      <c r="P17" s="106"/>
      <c r="Q17" s="87"/>
      <c r="R17" s="80"/>
      <c r="S17" s="80"/>
      <c r="T17" s="80"/>
      <c r="U17" s="80"/>
      <c r="V17" s="80"/>
      <c r="W17" s="87"/>
      <c r="X17" s="81"/>
    </row>
    <row r="18" spans="1:24">
      <c r="A18" s="83"/>
      <c r="B18" s="80"/>
      <c r="C18" s="80"/>
      <c r="D18" s="80"/>
      <c r="E18" s="80"/>
      <c r="F18" s="80"/>
      <c r="G18" s="80"/>
      <c r="H18" s="106"/>
      <c r="I18" s="87"/>
      <c r="J18" s="80"/>
      <c r="K18" s="80"/>
      <c r="L18" s="80"/>
      <c r="M18" s="80"/>
      <c r="N18" s="80"/>
      <c r="O18" s="80"/>
      <c r="P18" s="106"/>
      <c r="Q18" s="87"/>
      <c r="R18" s="80"/>
      <c r="S18" s="80"/>
      <c r="T18" s="80"/>
      <c r="U18" s="80"/>
      <c r="V18" s="80"/>
      <c r="W18" s="87"/>
      <c r="X18" s="81"/>
    </row>
    <row r="19" spans="1:24">
      <c r="A19" s="83"/>
      <c r="B19" s="80"/>
      <c r="C19" s="80"/>
      <c r="D19" s="80"/>
      <c r="E19" s="80"/>
      <c r="F19" s="80"/>
      <c r="G19" s="80"/>
      <c r="H19" s="106"/>
      <c r="I19" s="87"/>
      <c r="J19" s="80"/>
      <c r="K19" s="80"/>
      <c r="L19" s="80"/>
      <c r="M19" s="80"/>
      <c r="N19" s="80"/>
      <c r="O19" s="80"/>
      <c r="P19" s="106"/>
      <c r="Q19" s="87"/>
      <c r="R19" s="80"/>
      <c r="S19" s="80"/>
      <c r="T19" s="80"/>
      <c r="U19" s="80"/>
      <c r="V19" s="80"/>
      <c r="W19" s="87"/>
      <c r="X19" s="81"/>
    </row>
    <row r="20" spans="1:24">
      <c r="A20" s="83"/>
      <c r="B20" s="80"/>
      <c r="C20" s="80"/>
      <c r="D20" s="80"/>
      <c r="E20" s="80"/>
      <c r="F20" s="80"/>
      <c r="G20" s="80"/>
      <c r="H20" s="106"/>
      <c r="I20" s="87"/>
      <c r="J20" s="80"/>
      <c r="K20" s="80"/>
      <c r="L20" s="80"/>
      <c r="M20" s="80"/>
      <c r="N20" s="80"/>
      <c r="O20" s="80"/>
      <c r="P20" s="106"/>
      <c r="Q20" s="87"/>
      <c r="R20" s="80"/>
      <c r="S20" s="80"/>
      <c r="T20" s="80"/>
      <c r="U20" s="80"/>
      <c r="V20" s="80"/>
      <c r="W20" s="87"/>
      <c r="X20" s="81"/>
    </row>
    <row r="21" spans="1:24">
      <c r="A21" s="83"/>
      <c r="B21" s="80"/>
      <c r="C21" s="80"/>
      <c r="D21" s="80"/>
      <c r="E21" s="80"/>
      <c r="F21" s="80"/>
      <c r="G21" s="80"/>
      <c r="H21" s="106"/>
      <c r="I21" s="87"/>
      <c r="J21" s="80"/>
      <c r="K21" s="80"/>
      <c r="L21" s="80"/>
      <c r="M21" s="80"/>
      <c r="N21" s="80"/>
      <c r="O21" s="80"/>
      <c r="P21" s="106"/>
      <c r="Q21" s="87"/>
      <c r="R21" s="80"/>
      <c r="S21" s="80"/>
      <c r="T21" s="80"/>
      <c r="U21" s="80"/>
      <c r="V21" s="80"/>
      <c r="W21" s="87"/>
      <c r="X21" s="81"/>
    </row>
    <row r="22" spans="1:24">
      <c r="A22" s="83"/>
      <c r="B22" s="80"/>
      <c r="C22" s="80"/>
      <c r="D22" s="80"/>
      <c r="E22" s="80"/>
      <c r="F22" s="80"/>
      <c r="G22" s="80"/>
      <c r="H22" s="106"/>
      <c r="I22" s="87"/>
      <c r="J22" s="80"/>
      <c r="K22" s="80"/>
      <c r="L22" s="80"/>
      <c r="M22" s="80"/>
      <c r="N22" s="80"/>
      <c r="O22" s="80"/>
      <c r="P22" s="106"/>
      <c r="Q22" s="87"/>
      <c r="R22" s="80"/>
      <c r="S22" s="80"/>
      <c r="T22" s="80"/>
      <c r="U22" s="80"/>
      <c r="V22" s="80"/>
      <c r="W22" s="87"/>
      <c r="X22" s="81"/>
    </row>
    <row r="23" spans="1:24">
      <c r="A23" s="83"/>
      <c r="B23" s="80"/>
      <c r="C23" s="80"/>
      <c r="D23" s="80"/>
      <c r="E23" s="80"/>
      <c r="F23" s="80"/>
      <c r="G23" s="80"/>
      <c r="H23" s="106"/>
      <c r="I23" s="87"/>
      <c r="J23" s="80"/>
      <c r="K23" s="80"/>
      <c r="L23" s="80"/>
      <c r="M23" s="80"/>
      <c r="N23" s="80"/>
      <c r="O23" s="80"/>
      <c r="P23" s="106"/>
      <c r="Q23" s="87"/>
      <c r="R23" s="80"/>
      <c r="S23" s="80"/>
      <c r="T23" s="80"/>
      <c r="U23" s="80"/>
      <c r="V23" s="80"/>
      <c r="W23" s="87"/>
      <c r="X23" s="81"/>
    </row>
    <row r="24" spans="1:24" ht="15" thickBot="1">
      <c r="A24" s="83"/>
      <c r="B24" s="84"/>
      <c r="C24" s="85"/>
      <c r="D24" s="85"/>
      <c r="E24" s="85"/>
      <c r="F24" s="85"/>
      <c r="G24" s="85"/>
      <c r="H24" s="84"/>
      <c r="I24" s="88"/>
      <c r="J24" s="85"/>
      <c r="K24" s="85"/>
      <c r="L24" s="85"/>
      <c r="M24" s="85"/>
      <c r="N24" s="85"/>
      <c r="O24" s="85"/>
      <c r="P24" s="84"/>
      <c r="Q24" s="88"/>
      <c r="R24" s="85"/>
      <c r="S24" s="85"/>
      <c r="T24" s="85"/>
      <c r="U24" s="85"/>
      <c r="V24" s="85"/>
      <c r="W24" s="88"/>
      <c r="X24" s="81"/>
    </row>
    <row r="25" spans="1:24" ht="9" customHeight="1" thickTop="1">
      <c r="A25" s="81"/>
      <c r="B25" s="81"/>
      <c r="C25" s="81"/>
      <c r="D25" s="81"/>
      <c r="E25" s="81"/>
      <c r="F25" s="81"/>
      <c r="G25" s="81"/>
      <c r="H25" s="81"/>
      <c r="I25" s="81"/>
      <c r="J25" s="81"/>
      <c r="K25" s="81"/>
      <c r="L25" s="81"/>
      <c r="M25" s="81"/>
      <c r="N25" s="81"/>
      <c r="O25" s="81"/>
      <c r="P25" s="81"/>
      <c r="Q25" s="81"/>
      <c r="R25" s="81"/>
      <c r="S25" s="81"/>
      <c r="T25" s="81"/>
      <c r="U25" s="81"/>
      <c r="V25" s="81"/>
      <c r="W25" s="81"/>
      <c r="X25" s="81"/>
    </row>
    <row r="26" spans="1:24">
      <c r="A26" s="79"/>
    </row>
    <row r="27" spans="1:24">
      <c r="A27" s="79"/>
    </row>
    <row r="28" spans="1:24">
      <c r="A28" s="79"/>
    </row>
  </sheetData>
  <mergeCells count="1">
    <mergeCell ref="B2:W2"/>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29A76-E6EE-4BBF-A622-D15BF8F250E4}">
  <dimension ref="A1:Y29"/>
  <sheetViews>
    <sheetView showGridLines="0" zoomScale="99" workbookViewId="0">
      <selection activeCell="AB20" sqref="AB20"/>
    </sheetView>
  </sheetViews>
  <sheetFormatPr defaultRowHeight="14.4"/>
  <cols>
    <col min="1" max="1" width="1.77734375" customWidth="1"/>
    <col min="23" max="23" width="17.5546875" customWidth="1"/>
    <col min="24" max="25" width="1.77734375" customWidth="1"/>
  </cols>
  <sheetData>
    <row r="1" spans="1:25" ht="9.6" customHeight="1" thickBot="1">
      <c r="A1" s="68"/>
      <c r="B1" s="68"/>
      <c r="C1" s="68"/>
      <c r="D1" s="68"/>
      <c r="E1" s="68"/>
      <c r="F1" s="68"/>
      <c r="G1" s="76"/>
      <c r="H1" s="76"/>
      <c r="I1" s="76"/>
      <c r="J1" s="76"/>
      <c r="K1" s="76"/>
      <c r="L1" s="76"/>
      <c r="M1" s="76"/>
      <c r="N1" s="76"/>
      <c r="O1" s="76"/>
      <c r="P1" s="76"/>
      <c r="Q1" s="76"/>
      <c r="R1" s="76"/>
      <c r="S1" s="76"/>
      <c r="T1" s="76"/>
      <c r="U1" s="76"/>
      <c r="V1" s="76"/>
      <c r="W1" s="76"/>
      <c r="X1" s="76"/>
      <c r="Y1" s="68"/>
    </row>
    <row r="2" spans="1:25" ht="41.4" customHeight="1" thickTop="1" thickBot="1">
      <c r="A2" s="68"/>
      <c r="B2" s="109" t="s">
        <v>76</v>
      </c>
      <c r="C2" s="110"/>
      <c r="D2" s="110"/>
      <c r="E2" s="110"/>
      <c r="F2" s="111"/>
      <c r="G2" s="70"/>
      <c r="H2" s="70"/>
      <c r="I2" s="70"/>
      <c r="J2" s="70"/>
      <c r="K2" s="70"/>
      <c r="L2" s="70"/>
      <c r="M2" s="75"/>
      <c r="N2" s="78"/>
      <c r="O2" s="70"/>
      <c r="P2" s="77"/>
      <c r="Q2" s="70"/>
      <c r="R2" s="70"/>
      <c r="S2" s="70"/>
      <c r="T2" s="70"/>
      <c r="U2" s="75"/>
      <c r="V2" s="78"/>
      <c r="W2" s="70"/>
      <c r="X2" s="77"/>
      <c r="Y2" s="68"/>
    </row>
    <row r="3" spans="1:25" ht="15" thickTop="1">
      <c r="A3" s="69"/>
      <c r="B3" s="70"/>
      <c r="C3" s="70"/>
      <c r="D3" s="70"/>
      <c r="E3" s="70"/>
      <c r="F3" s="71"/>
      <c r="G3" s="70"/>
      <c r="H3" s="70"/>
      <c r="I3" s="70"/>
      <c r="J3" s="70"/>
      <c r="K3" s="70"/>
      <c r="L3" s="70"/>
      <c r="M3" s="75"/>
      <c r="N3" s="70"/>
      <c r="O3" s="70"/>
      <c r="P3" s="71"/>
      <c r="Q3" s="70"/>
      <c r="R3" s="70"/>
      <c r="S3" s="70"/>
      <c r="T3" s="70"/>
      <c r="U3" s="75"/>
      <c r="V3" s="75"/>
      <c r="W3" s="70"/>
      <c r="X3" s="71"/>
      <c r="Y3" s="68"/>
    </row>
    <row r="4" spans="1:25">
      <c r="A4" s="69"/>
      <c r="B4" s="70"/>
      <c r="C4" s="70"/>
      <c r="D4" s="70"/>
      <c r="E4" s="70"/>
      <c r="F4" s="71"/>
      <c r="G4" s="70"/>
      <c r="H4" s="70"/>
      <c r="I4" s="70"/>
      <c r="J4" s="70"/>
      <c r="K4" s="70"/>
      <c r="L4" s="70"/>
      <c r="M4" s="75"/>
      <c r="N4" s="70"/>
      <c r="O4" s="70"/>
      <c r="P4" s="71"/>
      <c r="Q4" s="70"/>
      <c r="R4" s="70"/>
      <c r="S4" s="70"/>
      <c r="T4" s="70"/>
      <c r="U4" s="75"/>
      <c r="V4" s="75"/>
      <c r="W4" s="70"/>
      <c r="X4" s="71"/>
      <c r="Y4" s="68"/>
    </row>
    <row r="5" spans="1:25">
      <c r="A5" s="69"/>
      <c r="B5" s="70"/>
      <c r="C5" s="70"/>
      <c r="D5" s="70"/>
      <c r="E5" s="70"/>
      <c r="F5" s="71"/>
      <c r="G5" s="70"/>
      <c r="H5" s="70"/>
      <c r="I5" s="70"/>
      <c r="J5" s="70"/>
      <c r="K5" s="70"/>
      <c r="L5" s="70"/>
      <c r="M5" s="75"/>
      <c r="N5" s="70"/>
      <c r="O5" s="70"/>
      <c r="P5" s="71"/>
      <c r="Q5" s="70"/>
      <c r="R5" s="70"/>
      <c r="S5" s="70"/>
      <c r="T5" s="70"/>
      <c r="U5" s="75"/>
      <c r="V5" s="75"/>
      <c r="W5" s="70"/>
      <c r="X5" s="71"/>
      <c r="Y5" s="68"/>
    </row>
    <row r="6" spans="1:25">
      <c r="A6" s="69"/>
      <c r="B6" s="70"/>
      <c r="C6" s="70"/>
      <c r="D6" s="70"/>
      <c r="E6" s="70"/>
      <c r="F6" s="71"/>
      <c r="G6" s="70"/>
      <c r="H6" s="70"/>
      <c r="I6" s="70"/>
      <c r="J6" s="70"/>
      <c r="K6" s="70"/>
      <c r="L6" s="70"/>
      <c r="M6" s="75"/>
      <c r="N6" s="70"/>
      <c r="O6" s="70"/>
      <c r="P6" s="71"/>
      <c r="Q6" s="70"/>
      <c r="R6" s="70"/>
      <c r="S6" s="70"/>
      <c r="T6" s="70"/>
      <c r="U6" s="75"/>
      <c r="V6" s="75"/>
      <c r="W6" s="70"/>
      <c r="X6" s="71"/>
      <c r="Y6" s="68"/>
    </row>
    <row r="7" spans="1:25">
      <c r="A7" s="69"/>
      <c r="B7" s="70"/>
      <c r="C7" s="70"/>
      <c r="D7" s="70"/>
      <c r="E7" s="70"/>
      <c r="F7" s="71"/>
      <c r="G7" s="70"/>
      <c r="H7" s="70"/>
      <c r="I7" s="70"/>
      <c r="J7" s="70"/>
      <c r="K7" s="70"/>
      <c r="L7" s="70"/>
      <c r="M7" s="75"/>
      <c r="N7" s="70"/>
      <c r="O7" s="70"/>
      <c r="P7" s="71"/>
      <c r="Q7" s="70"/>
      <c r="R7" s="70"/>
      <c r="S7" s="70"/>
      <c r="T7" s="70"/>
      <c r="U7" s="75"/>
      <c r="V7" s="75"/>
      <c r="W7" s="70"/>
      <c r="X7" s="71"/>
      <c r="Y7" s="68"/>
    </row>
    <row r="8" spans="1:25">
      <c r="A8" s="69"/>
      <c r="B8" s="70"/>
      <c r="C8" s="70"/>
      <c r="D8" s="70"/>
      <c r="E8" s="70"/>
      <c r="F8" s="71"/>
      <c r="G8" s="70"/>
      <c r="H8" s="70"/>
      <c r="I8" s="70"/>
      <c r="J8" s="70"/>
      <c r="K8" s="70"/>
      <c r="L8" s="70"/>
      <c r="M8" s="75"/>
      <c r="N8" s="70"/>
      <c r="O8" s="70"/>
      <c r="P8" s="71"/>
      <c r="Q8" s="70"/>
      <c r="R8" s="70"/>
      <c r="S8" s="70"/>
      <c r="T8" s="70"/>
      <c r="U8" s="75"/>
      <c r="V8" s="75"/>
      <c r="W8" s="70"/>
      <c r="X8" s="71"/>
      <c r="Y8" s="68"/>
    </row>
    <row r="9" spans="1:25">
      <c r="A9" s="69"/>
      <c r="B9" s="70"/>
      <c r="C9" s="70"/>
      <c r="D9" s="70"/>
      <c r="E9" s="70"/>
      <c r="F9" s="71"/>
      <c r="G9" s="70"/>
      <c r="H9" s="70"/>
      <c r="I9" s="70"/>
      <c r="J9" s="70"/>
      <c r="K9" s="70"/>
      <c r="L9" s="70"/>
      <c r="M9" s="75"/>
      <c r="N9" s="70"/>
      <c r="O9" s="70"/>
      <c r="P9" s="71"/>
      <c r="Q9" s="70"/>
      <c r="R9" s="70"/>
      <c r="S9" s="70"/>
      <c r="T9" s="70"/>
      <c r="U9" s="75"/>
      <c r="V9" s="75"/>
      <c r="W9" s="70"/>
      <c r="X9" s="71"/>
      <c r="Y9" s="68"/>
    </row>
    <row r="10" spans="1:25">
      <c r="A10" s="69"/>
      <c r="B10" s="70"/>
      <c r="C10" s="70"/>
      <c r="D10" s="70"/>
      <c r="E10" s="70"/>
      <c r="F10" s="71"/>
      <c r="G10" s="70"/>
      <c r="H10" s="70"/>
      <c r="I10" s="70"/>
      <c r="J10" s="70"/>
      <c r="K10" s="70"/>
      <c r="L10" s="70"/>
      <c r="M10" s="75"/>
      <c r="N10" s="70"/>
      <c r="O10" s="70"/>
      <c r="P10" s="71"/>
      <c r="Q10" s="70"/>
      <c r="R10" s="70"/>
      <c r="S10" s="70"/>
      <c r="T10" s="70"/>
      <c r="U10" s="75"/>
      <c r="V10" s="75"/>
      <c r="W10" s="70"/>
      <c r="X10" s="71"/>
      <c r="Y10" s="68"/>
    </row>
    <row r="11" spans="1:25">
      <c r="A11" s="69"/>
      <c r="B11" s="70"/>
      <c r="C11" s="70"/>
      <c r="D11" s="70"/>
      <c r="E11" s="70"/>
      <c r="F11" s="71"/>
      <c r="G11" s="70"/>
      <c r="H11" s="70"/>
      <c r="I11" s="70"/>
      <c r="J11" s="70"/>
      <c r="K11" s="70"/>
      <c r="L11" s="70"/>
      <c r="M11" s="75"/>
      <c r="N11" s="70"/>
      <c r="O11" s="70"/>
      <c r="P11" s="71"/>
      <c r="Q11" s="70"/>
      <c r="R11" s="70"/>
      <c r="S11" s="70"/>
      <c r="T11" s="70"/>
      <c r="U11" s="75"/>
      <c r="V11" s="75"/>
      <c r="W11" s="75"/>
      <c r="X11" s="71"/>
      <c r="Y11" s="68"/>
    </row>
    <row r="12" spans="1:25">
      <c r="A12" s="69"/>
      <c r="B12" s="70"/>
      <c r="C12" s="70"/>
      <c r="D12" s="70"/>
      <c r="E12" s="70"/>
      <c r="F12" s="71"/>
      <c r="G12" s="70"/>
      <c r="H12" s="70"/>
      <c r="I12" s="70"/>
      <c r="J12" s="70"/>
      <c r="K12" s="70"/>
      <c r="L12" s="70"/>
      <c r="M12" s="75"/>
      <c r="N12" s="70"/>
      <c r="O12" s="70"/>
      <c r="P12" s="71"/>
      <c r="Q12" s="70"/>
      <c r="R12" s="70"/>
      <c r="S12" s="70"/>
      <c r="T12" s="70"/>
      <c r="U12" s="75"/>
      <c r="V12" s="75"/>
      <c r="W12" s="75"/>
      <c r="X12" s="71"/>
      <c r="Y12" s="68"/>
    </row>
    <row r="13" spans="1:25" ht="15" thickBot="1">
      <c r="A13" s="69"/>
      <c r="B13" s="72"/>
      <c r="C13" s="72"/>
      <c r="D13" s="72"/>
      <c r="E13" s="72"/>
      <c r="F13" s="73"/>
      <c r="G13" s="74"/>
      <c r="H13" s="72"/>
      <c r="I13" s="72"/>
      <c r="J13" s="72"/>
      <c r="K13" s="72"/>
      <c r="L13" s="72"/>
      <c r="M13" s="72"/>
      <c r="N13" s="72"/>
      <c r="O13" s="72"/>
      <c r="P13" s="73"/>
      <c r="Q13" s="72"/>
      <c r="R13" s="72"/>
      <c r="S13" s="72"/>
      <c r="T13" s="72"/>
      <c r="U13" s="72"/>
      <c r="V13" s="72"/>
      <c r="W13" s="72"/>
      <c r="X13" s="73"/>
      <c r="Y13" s="68"/>
    </row>
    <row r="14" spans="1:25" ht="15" hidden="1" thickTop="1">
      <c r="A14" s="69"/>
      <c r="B14" s="70"/>
      <c r="C14" s="70"/>
      <c r="D14" s="70"/>
      <c r="E14" s="70"/>
      <c r="F14" s="71"/>
      <c r="G14" s="70"/>
      <c r="H14" s="70"/>
      <c r="I14" s="70"/>
      <c r="J14" s="70"/>
      <c r="K14" s="70"/>
      <c r="L14" s="70"/>
      <c r="M14" s="71"/>
      <c r="N14" s="70"/>
      <c r="O14" s="70"/>
      <c r="P14" s="71"/>
      <c r="Q14" s="70"/>
      <c r="R14" s="70"/>
      <c r="S14" s="70"/>
      <c r="T14" s="70"/>
      <c r="U14" s="70"/>
      <c r="V14" s="75"/>
      <c r="W14" s="70"/>
      <c r="X14" s="71"/>
      <c r="Y14" s="68"/>
    </row>
    <row r="15" spans="1:25" ht="15" thickTop="1">
      <c r="A15" s="69"/>
      <c r="B15" s="70"/>
      <c r="C15" s="70"/>
      <c r="D15" s="70"/>
      <c r="E15" s="70"/>
      <c r="F15" s="75"/>
      <c r="G15" s="70"/>
      <c r="H15" s="70"/>
      <c r="I15" s="70"/>
      <c r="J15" s="70"/>
      <c r="K15" s="70"/>
      <c r="L15" s="70"/>
      <c r="M15" s="71"/>
      <c r="N15" s="75"/>
      <c r="O15" s="70"/>
      <c r="P15" s="70"/>
      <c r="Q15" s="70"/>
      <c r="R15" s="70"/>
      <c r="S15" s="70"/>
      <c r="T15" s="70"/>
      <c r="U15" s="75"/>
      <c r="V15" s="75"/>
      <c r="W15" s="75"/>
      <c r="X15" s="71"/>
      <c r="Y15" s="68"/>
    </row>
    <row r="16" spans="1:25">
      <c r="A16" s="69"/>
      <c r="B16" s="75"/>
      <c r="C16" s="75"/>
      <c r="D16" s="75"/>
      <c r="E16" s="75"/>
      <c r="F16" s="75"/>
      <c r="G16" s="75"/>
      <c r="H16" s="75"/>
      <c r="I16" s="75"/>
      <c r="J16" s="75"/>
      <c r="K16" s="75"/>
      <c r="L16" s="75"/>
      <c r="M16" s="71"/>
      <c r="N16" s="75"/>
      <c r="O16" s="75"/>
      <c r="P16" s="75"/>
      <c r="Q16" s="75"/>
      <c r="R16" s="70"/>
      <c r="S16" s="70"/>
      <c r="T16" s="70"/>
      <c r="U16" s="75"/>
      <c r="V16" s="75"/>
      <c r="W16" s="70"/>
      <c r="X16" s="71"/>
      <c r="Y16" s="68"/>
    </row>
    <row r="17" spans="1:25">
      <c r="A17" s="69"/>
      <c r="B17" s="75"/>
      <c r="C17" s="75"/>
      <c r="D17" s="75"/>
      <c r="E17" s="75"/>
      <c r="F17" s="75"/>
      <c r="G17" s="75"/>
      <c r="H17" s="75"/>
      <c r="I17" s="70"/>
      <c r="J17" s="70"/>
      <c r="K17" s="70"/>
      <c r="L17" s="70"/>
      <c r="M17" s="71"/>
      <c r="N17" s="70"/>
      <c r="O17" s="70"/>
      <c r="P17" s="70"/>
      <c r="Q17" s="70"/>
      <c r="R17" s="70"/>
      <c r="S17" s="70"/>
      <c r="T17" s="70"/>
      <c r="U17" s="75"/>
      <c r="V17" s="75"/>
      <c r="W17" s="70"/>
      <c r="X17" s="71"/>
      <c r="Y17" s="68"/>
    </row>
    <row r="18" spans="1:25">
      <c r="A18" s="69"/>
      <c r="B18" s="70"/>
      <c r="C18" s="70"/>
      <c r="D18" s="70"/>
      <c r="E18" s="70"/>
      <c r="F18" s="70"/>
      <c r="G18" s="70"/>
      <c r="H18" s="70"/>
      <c r="I18" s="70"/>
      <c r="J18" s="70"/>
      <c r="K18" s="70"/>
      <c r="L18" s="70"/>
      <c r="M18" s="71"/>
      <c r="N18" s="70"/>
      <c r="O18" s="70"/>
      <c r="P18" s="70"/>
      <c r="Q18" s="70"/>
      <c r="R18" s="70"/>
      <c r="S18" s="70"/>
      <c r="T18" s="70"/>
      <c r="U18" s="75"/>
      <c r="V18" s="75"/>
      <c r="W18" s="70"/>
      <c r="X18" s="71"/>
      <c r="Y18" s="68"/>
    </row>
    <row r="19" spans="1:25">
      <c r="A19" s="69"/>
      <c r="B19" s="70"/>
      <c r="C19" s="70"/>
      <c r="D19" s="70"/>
      <c r="E19" s="70"/>
      <c r="F19" s="70"/>
      <c r="G19" s="70"/>
      <c r="H19" s="70"/>
      <c r="I19" s="70"/>
      <c r="J19" s="70"/>
      <c r="K19" s="70"/>
      <c r="L19" s="70"/>
      <c r="M19" s="71"/>
      <c r="N19" s="70"/>
      <c r="O19" s="70"/>
      <c r="P19" s="70"/>
      <c r="Q19" s="70"/>
      <c r="R19" s="70"/>
      <c r="S19" s="70"/>
      <c r="T19" s="70"/>
      <c r="U19" s="75"/>
      <c r="V19" s="75"/>
      <c r="W19" s="70"/>
      <c r="X19" s="71"/>
      <c r="Y19" s="68"/>
    </row>
    <row r="20" spans="1:25">
      <c r="A20" s="69"/>
      <c r="B20" s="70"/>
      <c r="C20" s="70"/>
      <c r="D20" s="70"/>
      <c r="E20" s="70"/>
      <c r="F20" s="70"/>
      <c r="G20" s="70"/>
      <c r="H20" s="70"/>
      <c r="I20" s="70"/>
      <c r="J20" s="70"/>
      <c r="K20" s="70"/>
      <c r="L20" s="70"/>
      <c r="M20" s="71"/>
      <c r="N20" s="70"/>
      <c r="O20" s="70"/>
      <c r="P20" s="70"/>
      <c r="Q20" s="70"/>
      <c r="R20" s="70"/>
      <c r="S20" s="70"/>
      <c r="T20" s="70"/>
      <c r="U20" s="75"/>
      <c r="V20" s="75"/>
      <c r="W20" s="70"/>
      <c r="X20" s="71"/>
      <c r="Y20" s="68"/>
    </row>
    <row r="21" spans="1:25">
      <c r="A21" s="69"/>
      <c r="B21" s="70"/>
      <c r="C21" s="70"/>
      <c r="D21" s="70"/>
      <c r="E21" s="70"/>
      <c r="F21" s="70"/>
      <c r="G21" s="70"/>
      <c r="H21" s="70"/>
      <c r="I21" s="70"/>
      <c r="J21" s="70"/>
      <c r="K21" s="70"/>
      <c r="L21" s="70"/>
      <c r="M21" s="71"/>
      <c r="N21" s="70"/>
      <c r="O21" s="70"/>
      <c r="P21" s="70"/>
      <c r="Q21" s="70"/>
      <c r="R21" s="70"/>
      <c r="S21" s="70"/>
      <c r="T21" s="70"/>
      <c r="U21" s="75"/>
      <c r="V21" s="75"/>
      <c r="W21" s="70"/>
      <c r="X21" s="71"/>
      <c r="Y21" s="68"/>
    </row>
    <row r="22" spans="1:25">
      <c r="A22" s="69"/>
      <c r="B22" s="70"/>
      <c r="C22" s="70"/>
      <c r="D22" s="70"/>
      <c r="E22" s="70"/>
      <c r="F22" s="70"/>
      <c r="G22" s="70"/>
      <c r="H22" s="70"/>
      <c r="I22" s="70"/>
      <c r="J22" s="70"/>
      <c r="K22" s="70"/>
      <c r="L22" s="70"/>
      <c r="M22" s="71"/>
      <c r="N22" s="70"/>
      <c r="O22" s="70"/>
      <c r="P22" s="70"/>
      <c r="Q22" s="70"/>
      <c r="R22" s="70"/>
      <c r="S22" s="70"/>
      <c r="T22" s="70"/>
      <c r="U22" s="75"/>
      <c r="V22" s="75"/>
      <c r="W22" s="70"/>
      <c r="X22" s="71"/>
      <c r="Y22" s="68"/>
    </row>
    <row r="23" spans="1:25">
      <c r="A23" s="69"/>
      <c r="B23" s="70"/>
      <c r="C23" s="70"/>
      <c r="D23" s="70"/>
      <c r="E23" s="70"/>
      <c r="F23" s="70"/>
      <c r="G23" s="70"/>
      <c r="H23" s="70"/>
      <c r="I23" s="70"/>
      <c r="J23" s="70"/>
      <c r="K23" s="70"/>
      <c r="L23" s="70"/>
      <c r="M23" s="71"/>
      <c r="N23" s="70"/>
      <c r="O23" s="70"/>
      <c r="P23" s="70"/>
      <c r="Q23" s="70"/>
      <c r="R23" s="70"/>
      <c r="S23" s="70"/>
      <c r="T23" s="70"/>
      <c r="U23" s="75"/>
      <c r="V23" s="75"/>
      <c r="W23" s="70"/>
      <c r="X23" s="71"/>
      <c r="Y23" s="68"/>
    </row>
    <row r="24" spans="1:25">
      <c r="A24" s="69"/>
      <c r="B24" s="70"/>
      <c r="C24" s="70"/>
      <c r="D24" s="70"/>
      <c r="E24" s="70"/>
      <c r="F24" s="70"/>
      <c r="G24" s="70"/>
      <c r="H24" s="70"/>
      <c r="I24" s="70"/>
      <c r="J24" s="70"/>
      <c r="K24" s="70"/>
      <c r="L24" s="70"/>
      <c r="M24" s="71"/>
      <c r="N24" s="70"/>
      <c r="O24" s="70"/>
      <c r="P24" s="70"/>
      <c r="Q24" s="70"/>
      <c r="R24" s="70"/>
      <c r="S24" s="70"/>
      <c r="T24" s="70"/>
      <c r="U24" s="75"/>
      <c r="V24" s="75"/>
      <c r="W24" s="70"/>
      <c r="X24" s="71"/>
      <c r="Y24" s="68"/>
    </row>
    <row r="25" spans="1:25">
      <c r="A25" s="69"/>
      <c r="B25" s="70"/>
      <c r="C25" s="70"/>
      <c r="D25" s="70"/>
      <c r="E25" s="70"/>
      <c r="F25" s="70"/>
      <c r="G25" s="70"/>
      <c r="H25" s="70"/>
      <c r="I25" s="70"/>
      <c r="J25" s="70"/>
      <c r="K25" s="70"/>
      <c r="L25" s="70"/>
      <c r="M25" s="71"/>
      <c r="N25" s="70"/>
      <c r="O25" s="70"/>
      <c r="P25" s="70"/>
      <c r="Q25" s="70"/>
      <c r="R25" s="70"/>
      <c r="S25" s="70"/>
      <c r="T25" s="70"/>
      <c r="U25" s="75"/>
      <c r="V25" s="75"/>
      <c r="W25" s="70"/>
      <c r="X25" s="71"/>
      <c r="Y25" s="68"/>
    </row>
    <row r="26" spans="1:25">
      <c r="A26" s="69"/>
      <c r="B26" s="70"/>
      <c r="C26" s="70"/>
      <c r="D26" s="70"/>
      <c r="E26" s="70"/>
      <c r="F26" s="70"/>
      <c r="G26" s="70"/>
      <c r="H26" s="70"/>
      <c r="I26" s="70"/>
      <c r="J26" s="70"/>
      <c r="K26" s="70"/>
      <c r="L26" s="70"/>
      <c r="M26" s="71"/>
      <c r="N26" s="70"/>
      <c r="O26" s="70"/>
      <c r="P26" s="70"/>
      <c r="Q26" s="70"/>
      <c r="R26" s="70"/>
      <c r="S26" s="70"/>
      <c r="T26" s="70"/>
      <c r="U26" s="75"/>
      <c r="V26" s="75"/>
      <c r="W26" s="70"/>
      <c r="X26" s="71"/>
      <c r="Y26" s="68"/>
    </row>
    <row r="27" spans="1:25" ht="18.600000000000001" customHeight="1" thickBot="1">
      <c r="A27" s="69"/>
      <c r="B27" s="74"/>
      <c r="C27" s="72"/>
      <c r="D27" s="72"/>
      <c r="E27" s="72"/>
      <c r="F27" s="72"/>
      <c r="G27" s="72"/>
      <c r="H27" s="72"/>
      <c r="I27" s="72"/>
      <c r="J27" s="72"/>
      <c r="K27" s="72"/>
      <c r="L27" s="72"/>
      <c r="M27" s="73"/>
      <c r="N27" s="74"/>
      <c r="O27" s="72"/>
      <c r="P27" s="72"/>
      <c r="Q27" s="72"/>
      <c r="R27" s="72"/>
      <c r="S27" s="72"/>
      <c r="T27" s="72"/>
      <c r="U27" s="72"/>
      <c r="V27" s="72"/>
      <c r="W27" s="72"/>
      <c r="X27" s="73"/>
      <c r="Y27" s="68"/>
    </row>
    <row r="28" spans="1:25" ht="10.199999999999999" customHeight="1" thickTop="1">
      <c r="A28" s="68"/>
      <c r="B28" s="68"/>
      <c r="C28" s="68"/>
      <c r="D28" s="68"/>
      <c r="E28" s="68"/>
      <c r="F28" s="68"/>
      <c r="G28" s="68"/>
      <c r="H28" s="68"/>
      <c r="I28" s="68"/>
      <c r="J28" s="68"/>
      <c r="K28" s="68"/>
      <c r="L28" s="68"/>
      <c r="M28" s="68"/>
      <c r="N28" s="68"/>
      <c r="O28" s="68"/>
      <c r="P28" s="68"/>
      <c r="Q28" s="68"/>
      <c r="R28" s="68"/>
      <c r="S28" s="68"/>
      <c r="T28" s="68"/>
      <c r="U28" s="68"/>
      <c r="V28" s="68"/>
      <c r="W28" s="68"/>
      <c r="X28" s="68"/>
      <c r="Y28" s="68"/>
    </row>
    <row r="29" spans="1:25" ht="9" customHeight="1"/>
  </sheetData>
  <mergeCells count="1">
    <mergeCell ref="B2:F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11B05-2F32-4AA3-A4A5-0BDC1D290D88}">
  <dimension ref="A1:P24"/>
  <sheetViews>
    <sheetView showGridLines="0" zoomScale="107" zoomScaleNormal="280" workbookViewId="0">
      <selection activeCell="L22" sqref="L22"/>
    </sheetView>
  </sheetViews>
  <sheetFormatPr defaultRowHeight="14.4"/>
  <cols>
    <col min="1" max="1" width="1.77734375" customWidth="1"/>
    <col min="2" max="2" width="18.88671875" bestFit="1" customWidth="1"/>
    <col min="3" max="3" width="18.77734375" bestFit="1" customWidth="1"/>
    <col min="4" max="7" width="13.77734375" bestFit="1" customWidth="1"/>
    <col min="8" max="8" width="16.21875" bestFit="1" customWidth="1"/>
    <col min="9" max="9" width="10.6640625" customWidth="1"/>
    <col min="16" max="16" width="1.77734375" customWidth="1"/>
  </cols>
  <sheetData>
    <row r="1" spans="1:16" ht="9" customHeight="1">
      <c r="A1" s="8"/>
      <c r="B1" s="8"/>
      <c r="C1" s="8"/>
      <c r="D1" s="8"/>
      <c r="E1" s="8"/>
      <c r="F1" s="8"/>
      <c r="G1" s="8"/>
      <c r="H1" s="8"/>
      <c r="I1" s="8"/>
      <c r="J1" s="8"/>
      <c r="K1" s="8"/>
      <c r="L1" s="8"/>
      <c r="M1" s="8"/>
      <c r="N1" s="8"/>
      <c r="O1" s="8"/>
      <c r="P1" s="8"/>
    </row>
    <row r="2" spans="1:16" ht="34.200000000000003" customHeight="1" thickBot="1">
      <c r="A2" s="8"/>
      <c r="B2" s="112" t="s">
        <v>58</v>
      </c>
      <c r="C2" s="112"/>
      <c r="D2" s="112"/>
      <c r="E2" s="112"/>
      <c r="F2" s="112"/>
      <c r="G2" s="112"/>
      <c r="H2" s="112"/>
      <c r="I2" s="112"/>
      <c r="J2" s="112"/>
      <c r="K2" s="112"/>
      <c r="L2" s="112"/>
      <c r="M2" s="112"/>
      <c r="N2" s="112"/>
      <c r="O2" s="112"/>
      <c r="P2" s="8"/>
    </row>
    <row r="3" spans="1:16" s="3" customFormat="1" ht="19.2" thickTop="1" thickBot="1">
      <c r="A3" s="9"/>
      <c r="B3" s="11" t="s">
        <v>57</v>
      </c>
      <c r="C3" s="11" t="s">
        <v>56</v>
      </c>
      <c r="D3" s="5"/>
      <c r="E3" s="5"/>
      <c r="F3" s="5"/>
      <c r="G3" s="5"/>
      <c r="H3" s="5"/>
      <c r="I3" s="13"/>
      <c r="J3" s="13"/>
      <c r="K3" s="13"/>
      <c r="L3" s="13"/>
      <c r="M3" s="13"/>
      <c r="N3" s="13"/>
      <c r="O3" s="13"/>
      <c r="P3" s="9"/>
    </row>
    <row r="4" spans="1:16" s="4" customFormat="1" ht="16.2" thickTop="1" thickBot="1">
      <c r="A4" s="10"/>
      <c r="B4" s="6" t="s">
        <v>52</v>
      </c>
      <c r="C4" s="6" t="s">
        <v>39</v>
      </c>
      <c r="D4" s="6" t="s">
        <v>41</v>
      </c>
      <c r="E4" s="6" t="s">
        <v>43</v>
      </c>
      <c r="F4" s="6" t="s">
        <v>42</v>
      </c>
      <c r="G4" s="6" t="s">
        <v>40</v>
      </c>
      <c r="H4" s="6" t="s">
        <v>53</v>
      </c>
      <c r="I4" s="14"/>
      <c r="J4" s="14"/>
      <c r="K4" s="14"/>
      <c r="L4" s="14"/>
      <c r="M4" s="14"/>
      <c r="N4" s="14"/>
      <c r="O4" s="14"/>
      <c r="P4" s="10"/>
    </row>
    <row r="5" spans="1:16" ht="18.600000000000001" thickTop="1" thickBot="1">
      <c r="A5" s="8"/>
      <c r="B5" s="47" t="s">
        <v>54</v>
      </c>
      <c r="C5" s="48">
        <v>394611</v>
      </c>
      <c r="D5" s="48">
        <v>209149</v>
      </c>
      <c r="E5" s="48">
        <v>71415</v>
      </c>
      <c r="F5" s="48">
        <v>181260</v>
      </c>
      <c r="G5" s="48">
        <v>301716</v>
      </c>
      <c r="H5" s="48">
        <v>1158151</v>
      </c>
      <c r="I5" s="12"/>
      <c r="J5" s="12"/>
      <c r="K5" s="12"/>
      <c r="L5" s="12"/>
      <c r="M5" s="12"/>
      <c r="N5" s="12"/>
      <c r="O5" s="12"/>
      <c r="P5" s="8"/>
    </row>
    <row r="6" spans="1:16" ht="18.600000000000001" thickTop="1" thickBot="1">
      <c r="A6" s="8"/>
      <c r="B6" s="47" t="s">
        <v>55</v>
      </c>
      <c r="C6" s="48">
        <v>342342</v>
      </c>
      <c r="D6" s="48">
        <v>156613</v>
      </c>
      <c r="E6" s="48">
        <v>53475</v>
      </c>
      <c r="F6" s="48">
        <v>120045</v>
      </c>
      <c r="G6" s="48">
        <v>197965</v>
      </c>
      <c r="H6" s="48">
        <v>870440</v>
      </c>
      <c r="I6" s="12"/>
      <c r="J6" s="12"/>
      <c r="K6" s="12"/>
      <c r="L6" s="12"/>
      <c r="M6" s="12"/>
      <c r="N6" s="12"/>
      <c r="O6" s="12"/>
      <c r="P6" s="8"/>
    </row>
    <row r="7" spans="1:16" ht="19.8" thickTop="1" thickBot="1">
      <c r="A7" s="8"/>
      <c r="B7" s="7" t="s">
        <v>53</v>
      </c>
      <c r="C7" s="46">
        <v>736953</v>
      </c>
      <c r="D7" s="46">
        <v>365762</v>
      </c>
      <c r="E7" s="46">
        <v>124890</v>
      </c>
      <c r="F7" s="46">
        <v>301305</v>
      </c>
      <c r="G7" s="46">
        <v>499681</v>
      </c>
      <c r="H7" s="46">
        <v>2028591</v>
      </c>
      <c r="I7" s="12"/>
      <c r="J7" s="12"/>
      <c r="K7" s="12"/>
      <c r="L7" s="12"/>
      <c r="M7" s="12"/>
      <c r="N7" s="12"/>
      <c r="O7" s="12"/>
      <c r="P7" s="8"/>
    </row>
    <row r="8" spans="1:16" ht="15" thickTop="1">
      <c r="A8" s="8"/>
      <c r="B8" s="12"/>
      <c r="C8" s="12"/>
      <c r="D8" s="12"/>
      <c r="E8" s="12"/>
      <c r="F8" s="12"/>
      <c r="G8" s="12"/>
      <c r="H8" s="12"/>
      <c r="I8" s="12"/>
      <c r="J8" s="12"/>
      <c r="K8" s="12"/>
      <c r="L8" s="12"/>
      <c r="M8" s="12"/>
      <c r="N8" s="12"/>
      <c r="O8" s="12"/>
      <c r="P8" s="8"/>
    </row>
    <row r="9" spans="1:16">
      <c r="A9" s="8"/>
      <c r="B9" s="12"/>
      <c r="C9" s="12"/>
      <c r="D9" s="12"/>
      <c r="E9" s="12"/>
      <c r="F9" s="12"/>
      <c r="G9" s="12"/>
      <c r="H9" s="12"/>
      <c r="I9" s="12"/>
      <c r="J9" s="12"/>
      <c r="K9" s="12"/>
      <c r="L9" s="12"/>
      <c r="M9" s="12"/>
      <c r="N9" s="12"/>
      <c r="O9" s="12"/>
      <c r="P9" s="8"/>
    </row>
    <row r="10" spans="1:16">
      <c r="A10" s="8"/>
      <c r="B10" s="12"/>
      <c r="C10" s="12"/>
      <c r="D10" s="12"/>
      <c r="E10" s="12"/>
      <c r="F10" s="12"/>
      <c r="G10" s="12"/>
      <c r="H10" s="12"/>
      <c r="I10" s="12"/>
      <c r="J10" s="12"/>
      <c r="K10" s="12"/>
      <c r="L10" s="12"/>
      <c r="M10" s="12"/>
      <c r="N10" s="12"/>
      <c r="O10" s="12"/>
      <c r="P10" s="8"/>
    </row>
    <row r="11" spans="1:16">
      <c r="A11" s="8"/>
      <c r="B11" s="12"/>
      <c r="C11" s="12"/>
      <c r="D11" s="12"/>
      <c r="E11" s="12"/>
      <c r="F11" s="12"/>
      <c r="G11" s="12"/>
      <c r="H11" s="12"/>
      <c r="I11" s="12"/>
      <c r="J11" s="12"/>
      <c r="K11" s="12"/>
      <c r="L11" s="12"/>
      <c r="M11" s="12"/>
      <c r="N11" s="12"/>
      <c r="O11" s="12"/>
      <c r="P11" s="8"/>
    </row>
    <row r="12" spans="1:16">
      <c r="A12" s="8"/>
      <c r="B12" s="12"/>
      <c r="C12" s="12"/>
      <c r="D12" s="12"/>
      <c r="E12" s="12"/>
      <c r="F12" s="12"/>
      <c r="G12" s="12"/>
      <c r="H12" s="12"/>
      <c r="I12" s="12"/>
      <c r="J12" s="12"/>
      <c r="K12" s="12"/>
      <c r="L12" s="12"/>
      <c r="M12" s="12"/>
      <c r="N12" s="12"/>
      <c r="O12" s="12"/>
      <c r="P12" s="8"/>
    </row>
    <row r="13" spans="1:16">
      <c r="A13" s="8"/>
      <c r="B13" s="12"/>
      <c r="C13" s="12"/>
      <c r="D13" s="12"/>
      <c r="E13" s="12"/>
      <c r="F13" s="12"/>
      <c r="G13" s="12"/>
      <c r="H13" s="12"/>
      <c r="I13" s="12"/>
      <c r="J13" s="12"/>
      <c r="K13" s="12"/>
      <c r="L13" s="12"/>
      <c r="M13" s="12"/>
      <c r="N13" s="12"/>
      <c r="O13" s="12"/>
      <c r="P13" s="8"/>
    </row>
    <row r="14" spans="1:16">
      <c r="A14" s="8"/>
      <c r="B14" s="12"/>
      <c r="C14" s="12"/>
      <c r="D14" s="12"/>
      <c r="E14" s="12"/>
      <c r="F14" s="12"/>
      <c r="G14" s="12"/>
      <c r="H14" s="12"/>
      <c r="I14" s="12"/>
      <c r="J14" s="12"/>
      <c r="K14" s="12"/>
      <c r="L14" s="12"/>
      <c r="M14" s="12"/>
      <c r="N14" s="12"/>
      <c r="O14" s="12"/>
      <c r="P14" s="8"/>
    </row>
    <row r="15" spans="1:16">
      <c r="A15" s="8"/>
      <c r="B15" s="12"/>
      <c r="C15" s="12"/>
      <c r="D15" s="12"/>
      <c r="E15" s="12"/>
      <c r="F15" s="12"/>
      <c r="G15" s="12"/>
      <c r="H15" s="12"/>
      <c r="I15" s="12"/>
      <c r="J15" s="12"/>
      <c r="K15" s="12"/>
      <c r="L15" s="12"/>
      <c r="M15" s="12"/>
      <c r="N15" s="12"/>
      <c r="O15" s="12"/>
      <c r="P15" s="8"/>
    </row>
    <row r="16" spans="1:16">
      <c r="A16" s="8"/>
      <c r="B16" s="12"/>
      <c r="C16" s="12"/>
      <c r="D16" s="12"/>
      <c r="E16" s="12"/>
      <c r="F16" s="12"/>
      <c r="G16" s="12"/>
      <c r="H16" s="12"/>
      <c r="I16" s="12"/>
      <c r="J16" s="12"/>
      <c r="K16" s="12"/>
      <c r="L16" s="12"/>
      <c r="M16" s="12"/>
      <c r="N16" s="12"/>
      <c r="O16" s="12"/>
      <c r="P16" s="8"/>
    </row>
    <row r="17" spans="1:16">
      <c r="A17" s="8"/>
      <c r="B17" s="12"/>
      <c r="C17" s="12"/>
      <c r="D17" s="12"/>
      <c r="E17" s="12"/>
      <c r="F17" s="12"/>
      <c r="G17" s="12"/>
      <c r="H17" s="12"/>
      <c r="I17" s="12"/>
      <c r="J17" s="12"/>
      <c r="K17" s="12"/>
      <c r="L17" s="12"/>
      <c r="M17" s="12"/>
      <c r="N17" s="12"/>
      <c r="O17" s="12"/>
      <c r="P17" s="8"/>
    </row>
    <row r="18" spans="1:16">
      <c r="A18" s="8"/>
      <c r="B18" s="12"/>
      <c r="C18" s="12"/>
      <c r="D18" s="12"/>
      <c r="E18" s="12"/>
      <c r="F18" s="12"/>
      <c r="G18" s="12"/>
      <c r="H18" s="12"/>
      <c r="I18" s="12"/>
      <c r="J18" s="12"/>
      <c r="K18" s="12"/>
      <c r="L18" s="12"/>
      <c r="M18" s="12"/>
      <c r="N18" s="12"/>
      <c r="O18" s="12"/>
      <c r="P18" s="8"/>
    </row>
    <row r="19" spans="1:16">
      <c r="A19" s="8"/>
      <c r="B19" s="12"/>
      <c r="C19" s="12"/>
      <c r="D19" s="12"/>
      <c r="E19" s="12"/>
      <c r="F19" s="12"/>
      <c r="G19" s="12"/>
      <c r="H19" s="12"/>
      <c r="I19" s="12"/>
      <c r="J19" s="12"/>
      <c r="K19" s="12"/>
      <c r="L19" s="12"/>
      <c r="M19" s="12"/>
      <c r="N19" s="12"/>
      <c r="O19" s="12"/>
      <c r="P19" s="8"/>
    </row>
    <row r="20" spans="1:16">
      <c r="A20" s="8"/>
      <c r="B20" s="12"/>
      <c r="C20" s="12"/>
      <c r="D20" s="12"/>
      <c r="E20" s="12"/>
      <c r="F20" s="12"/>
      <c r="G20" s="12"/>
      <c r="H20" s="12"/>
      <c r="I20" s="12"/>
      <c r="J20" s="12"/>
      <c r="K20" s="12"/>
      <c r="L20" s="12"/>
      <c r="M20" s="12"/>
      <c r="N20" s="12"/>
      <c r="O20" s="12"/>
      <c r="P20" s="8"/>
    </row>
    <row r="21" spans="1:16">
      <c r="A21" s="8"/>
      <c r="B21" s="12"/>
      <c r="C21" s="12"/>
      <c r="D21" s="12"/>
      <c r="E21" s="12"/>
      <c r="F21" s="12"/>
      <c r="G21" s="12"/>
      <c r="H21" s="12"/>
      <c r="I21" s="12"/>
      <c r="J21" s="12"/>
      <c r="K21" s="12"/>
      <c r="L21" s="12"/>
      <c r="M21" s="12"/>
      <c r="N21" s="12"/>
      <c r="O21" s="12"/>
      <c r="P21" s="8"/>
    </row>
    <row r="22" spans="1:16">
      <c r="A22" s="8"/>
      <c r="B22" s="12"/>
      <c r="C22" s="12"/>
      <c r="D22" s="12"/>
      <c r="E22" s="12"/>
      <c r="F22" s="12"/>
      <c r="G22" s="12"/>
      <c r="H22" s="12"/>
      <c r="I22" s="12"/>
      <c r="J22" s="12"/>
      <c r="K22" s="12"/>
      <c r="L22" s="12"/>
      <c r="M22" s="12"/>
      <c r="N22" s="12"/>
      <c r="O22" s="12"/>
      <c r="P22" s="8"/>
    </row>
    <row r="23" spans="1:16" ht="21" customHeight="1">
      <c r="A23" s="8"/>
      <c r="B23" s="12"/>
      <c r="C23" s="12"/>
      <c r="D23" s="12"/>
      <c r="E23" s="12"/>
      <c r="F23" s="12"/>
      <c r="G23" s="12"/>
      <c r="H23" s="12"/>
      <c r="I23" s="12"/>
      <c r="J23" s="12"/>
      <c r="K23" s="12"/>
      <c r="L23" s="12"/>
      <c r="M23" s="12"/>
      <c r="N23" s="12"/>
      <c r="O23" s="12"/>
      <c r="P23" s="8"/>
    </row>
    <row r="24" spans="1:16" ht="8.4" customHeight="1">
      <c r="A24" s="8"/>
      <c r="B24" s="8"/>
      <c r="C24" s="8"/>
      <c r="D24" s="8"/>
      <c r="E24" s="8"/>
      <c r="F24" s="8"/>
      <c r="G24" s="8"/>
      <c r="H24" s="8"/>
      <c r="I24" s="8"/>
      <c r="J24" s="8"/>
      <c r="K24" s="8"/>
      <c r="L24" s="8"/>
      <c r="M24" s="8"/>
      <c r="N24" s="8"/>
      <c r="O24" s="8"/>
      <c r="P24" s="8"/>
    </row>
  </sheetData>
  <mergeCells count="1">
    <mergeCell ref="B2:O2"/>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44477D-242B-43DE-9278-B56671376523}">
  <dimension ref="A1:V21"/>
  <sheetViews>
    <sheetView workbookViewId="0">
      <selection activeCell="G18" sqref="G18"/>
    </sheetView>
  </sheetViews>
  <sheetFormatPr defaultRowHeight="14.4"/>
  <cols>
    <col min="1" max="1" width="1.77734375" customWidth="1"/>
    <col min="2" max="2" width="19.5546875" bestFit="1" customWidth="1"/>
    <col min="3" max="3" width="21.77734375" bestFit="1" customWidth="1"/>
    <col min="22" max="22" width="1.77734375" customWidth="1"/>
  </cols>
  <sheetData>
    <row r="1" spans="1:22" ht="9" customHeight="1">
      <c r="A1" s="17"/>
      <c r="B1" s="17"/>
      <c r="C1" s="17"/>
      <c r="D1" s="17"/>
      <c r="E1" s="17"/>
      <c r="F1" s="17"/>
      <c r="G1" s="17"/>
      <c r="H1" s="17"/>
      <c r="I1" s="17"/>
      <c r="J1" s="17"/>
      <c r="K1" s="17"/>
      <c r="L1" s="17"/>
      <c r="M1" s="17"/>
      <c r="N1" s="17"/>
      <c r="O1" s="17"/>
      <c r="P1" s="17"/>
      <c r="Q1" s="17"/>
      <c r="R1" s="17"/>
      <c r="S1" s="17"/>
      <c r="T1" s="17"/>
      <c r="U1" s="17"/>
      <c r="V1" s="17"/>
    </row>
    <row r="2" spans="1:22" ht="74.400000000000006" customHeight="1" thickBot="1">
      <c r="A2" s="17"/>
      <c r="B2" s="113" t="s">
        <v>71</v>
      </c>
      <c r="C2" s="114"/>
      <c r="D2" s="114"/>
      <c r="E2" s="114"/>
      <c r="F2" s="114"/>
      <c r="G2" s="114"/>
      <c r="H2" s="114"/>
      <c r="I2" s="114"/>
      <c r="J2" s="114"/>
      <c r="K2" s="114"/>
      <c r="L2" s="114"/>
      <c r="M2" s="114"/>
      <c r="N2" s="114"/>
      <c r="O2" s="114"/>
      <c r="P2" s="114"/>
      <c r="Q2" s="114"/>
      <c r="R2" s="114"/>
      <c r="S2" s="114"/>
      <c r="T2" s="114"/>
      <c r="U2" s="114"/>
      <c r="V2" s="17"/>
    </row>
    <row r="3" spans="1:22" ht="17.399999999999999" thickTop="1" thickBot="1">
      <c r="A3" s="17"/>
      <c r="B3" s="45" t="s">
        <v>52</v>
      </c>
      <c r="C3" s="45" t="s">
        <v>57</v>
      </c>
      <c r="D3" s="18"/>
      <c r="E3" s="18"/>
      <c r="F3" s="18"/>
      <c r="G3" s="18"/>
      <c r="H3" s="18"/>
      <c r="I3" s="18"/>
      <c r="J3" s="18"/>
      <c r="K3" s="18"/>
      <c r="L3" s="18"/>
      <c r="M3" s="18"/>
      <c r="N3" s="18"/>
      <c r="O3" s="18"/>
      <c r="P3" s="18"/>
      <c r="Q3" s="18"/>
      <c r="R3" s="18"/>
      <c r="S3" s="18"/>
      <c r="T3" s="18"/>
      <c r="U3" s="18"/>
      <c r="V3" s="17"/>
    </row>
    <row r="4" spans="1:22" ht="18.600000000000001" thickTop="1" thickBot="1">
      <c r="A4" s="17"/>
      <c r="B4" s="15" t="s">
        <v>59</v>
      </c>
      <c r="C4" s="49">
        <v>177052</v>
      </c>
      <c r="D4" s="18"/>
      <c r="E4" s="18"/>
      <c r="F4" s="18"/>
      <c r="G4" s="18"/>
      <c r="H4" s="18"/>
      <c r="I4" s="18"/>
      <c r="J4" s="18"/>
      <c r="K4" s="18"/>
      <c r="L4" s="18"/>
      <c r="M4" s="18"/>
      <c r="N4" s="18"/>
      <c r="O4" s="18"/>
      <c r="P4" s="18"/>
      <c r="Q4" s="18"/>
      <c r="R4" s="18"/>
      <c r="S4" s="18"/>
      <c r="T4" s="18"/>
      <c r="U4" s="18"/>
      <c r="V4" s="17"/>
    </row>
    <row r="5" spans="1:22" ht="18.600000000000001" thickTop="1" thickBot="1">
      <c r="A5" s="17"/>
      <c r="B5" s="15" t="s">
        <v>60</v>
      </c>
      <c r="C5" s="49">
        <v>199129</v>
      </c>
      <c r="D5" s="18"/>
      <c r="E5" s="18"/>
      <c r="F5" s="18"/>
      <c r="G5" s="18"/>
      <c r="H5" s="18"/>
      <c r="I5" s="18"/>
      <c r="J5" s="18"/>
      <c r="K5" s="18"/>
      <c r="L5" s="18"/>
      <c r="M5" s="18"/>
      <c r="N5" s="18"/>
      <c r="O5" s="18"/>
      <c r="P5" s="18"/>
      <c r="Q5" s="18"/>
      <c r="R5" s="18"/>
      <c r="S5" s="18"/>
      <c r="T5" s="18"/>
      <c r="U5" s="18"/>
      <c r="V5" s="17"/>
    </row>
    <row r="6" spans="1:22" ht="18.600000000000001" thickTop="1" thickBot="1">
      <c r="A6" s="17"/>
      <c r="B6" s="15" t="s">
        <v>61</v>
      </c>
      <c r="C6" s="49">
        <v>230383</v>
      </c>
      <c r="D6" s="18"/>
      <c r="E6" s="18"/>
      <c r="F6" s="18"/>
      <c r="G6" s="18"/>
      <c r="H6" s="18"/>
      <c r="I6" s="18"/>
      <c r="J6" s="18"/>
      <c r="K6" s="18"/>
      <c r="L6" s="18"/>
      <c r="M6" s="18"/>
      <c r="N6" s="18"/>
      <c r="O6" s="18"/>
      <c r="P6" s="18"/>
      <c r="Q6" s="18"/>
      <c r="R6" s="18"/>
      <c r="S6" s="18"/>
      <c r="T6" s="18"/>
      <c r="U6" s="18"/>
      <c r="V6" s="17"/>
    </row>
    <row r="7" spans="1:22" ht="18.600000000000001" thickTop="1" thickBot="1">
      <c r="A7" s="17"/>
      <c r="B7" s="15" t="s">
        <v>62</v>
      </c>
      <c r="C7" s="49">
        <v>185792</v>
      </c>
      <c r="D7" s="18"/>
      <c r="E7" s="18"/>
      <c r="F7" s="18"/>
      <c r="G7" s="18"/>
      <c r="H7" s="18"/>
      <c r="I7" s="18"/>
      <c r="J7" s="18"/>
      <c r="K7" s="18"/>
      <c r="L7" s="18"/>
      <c r="M7" s="18"/>
      <c r="N7" s="18"/>
      <c r="O7" s="18"/>
      <c r="P7" s="18"/>
      <c r="Q7" s="18"/>
      <c r="R7" s="18"/>
      <c r="S7" s="18"/>
      <c r="T7" s="18"/>
      <c r="U7" s="18"/>
      <c r="V7" s="17"/>
    </row>
    <row r="8" spans="1:22" ht="18.600000000000001" thickTop="1" thickBot="1">
      <c r="A8" s="17"/>
      <c r="B8" s="15" t="s">
        <v>63</v>
      </c>
      <c r="C8" s="49">
        <v>210160</v>
      </c>
      <c r="D8" s="18"/>
      <c r="E8" s="18"/>
      <c r="F8" s="18"/>
      <c r="G8" s="18"/>
      <c r="H8" s="18"/>
      <c r="I8" s="18"/>
      <c r="J8" s="18"/>
      <c r="K8" s="18"/>
      <c r="L8" s="18"/>
      <c r="M8" s="18"/>
      <c r="N8" s="18"/>
      <c r="O8" s="18"/>
      <c r="P8" s="18"/>
      <c r="Q8" s="18"/>
      <c r="R8" s="18"/>
      <c r="S8" s="18"/>
      <c r="T8" s="18"/>
      <c r="U8" s="18"/>
      <c r="V8" s="17"/>
    </row>
    <row r="9" spans="1:22" ht="18.600000000000001" thickTop="1" thickBot="1">
      <c r="A9" s="17"/>
      <c r="B9" s="15" t="s">
        <v>64</v>
      </c>
      <c r="C9" s="49">
        <v>193125</v>
      </c>
      <c r="D9" s="18"/>
      <c r="E9" s="18"/>
      <c r="F9" s="18"/>
      <c r="G9" s="18"/>
      <c r="H9" s="18"/>
      <c r="I9" s="18"/>
      <c r="J9" s="18"/>
      <c r="K9" s="18"/>
      <c r="L9" s="18"/>
      <c r="M9" s="18"/>
      <c r="N9" s="18"/>
      <c r="O9" s="18"/>
      <c r="P9" s="18"/>
      <c r="Q9" s="18"/>
      <c r="R9" s="18"/>
      <c r="S9" s="18"/>
      <c r="T9" s="18"/>
      <c r="U9" s="18"/>
      <c r="V9" s="17"/>
    </row>
    <row r="10" spans="1:22" ht="18.600000000000001" thickTop="1" thickBot="1">
      <c r="A10" s="17"/>
      <c r="B10" s="15" t="s">
        <v>65</v>
      </c>
      <c r="C10" s="49">
        <v>158674</v>
      </c>
      <c r="D10" s="18"/>
      <c r="E10" s="18"/>
      <c r="F10" s="18"/>
      <c r="G10" s="18"/>
      <c r="H10" s="18"/>
      <c r="I10" s="18"/>
      <c r="J10" s="18"/>
      <c r="K10" s="18"/>
      <c r="L10" s="18"/>
      <c r="M10" s="18"/>
      <c r="N10" s="18"/>
      <c r="O10" s="18"/>
      <c r="P10" s="18"/>
      <c r="Q10" s="18"/>
      <c r="R10" s="18"/>
      <c r="S10" s="18"/>
      <c r="T10" s="18"/>
      <c r="U10" s="18"/>
      <c r="V10" s="17"/>
    </row>
    <row r="11" spans="1:22" ht="18.600000000000001" thickTop="1" thickBot="1">
      <c r="A11" s="17"/>
      <c r="B11" s="15" t="s">
        <v>66</v>
      </c>
      <c r="C11" s="49">
        <v>184981</v>
      </c>
      <c r="D11" s="18"/>
      <c r="E11" s="18"/>
      <c r="F11" s="18"/>
      <c r="G11" s="18"/>
      <c r="H11" s="18"/>
      <c r="I11" s="18"/>
      <c r="J11" s="18"/>
      <c r="K11" s="18"/>
      <c r="L11" s="18"/>
      <c r="M11" s="18"/>
      <c r="N11" s="18"/>
      <c r="O11" s="18"/>
      <c r="P11" s="18"/>
      <c r="Q11" s="18"/>
      <c r="R11" s="18"/>
      <c r="S11" s="18"/>
      <c r="T11" s="18"/>
      <c r="U11" s="18"/>
      <c r="V11" s="17"/>
    </row>
    <row r="12" spans="1:22" ht="18.600000000000001" thickTop="1" thickBot="1">
      <c r="A12" s="17"/>
      <c r="B12" s="15" t="s">
        <v>67</v>
      </c>
      <c r="C12" s="49">
        <v>172217</v>
      </c>
      <c r="D12" s="18"/>
      <c r="E12" s="18"/>
      <c r="F12" s="18"/>
      <c r="G12" s="18"/>
      <c r="H12" s="18"/>
      <c r="I12" s="18"/>
      <c r="J12" s="18"/>
      <c r="K12" s="18"/>
      <c r="L12" s="18"/>
      <c r="M12" s="18"/>
      <c r="N12" s="18"/>
      <c r="O12" s="18"/>
      <c r="P12" s="18"/>
      <c r="Q12" s="18"/>
      <c r="R12" s="18"/>
      <c r="S12" s="18"/>
      <c r="T12" s="18"/>
      <c r="U12" s="18"/>
      <c r="V12" s="17"/>
    </row>
    <row r="13" spans="1:22" ht="18.600000000000001" thickTop="1" thickBot="1">
      <c r="A13" s="17"/>
      <c r="B13" s="15" t="s">
        <v>68</v>
      </c>
      <c r="C13" s="49">
        <v>126306</v>
      </c>
      <c r="D13" s="18"/>
      <c r="E13" s="18"/>
      <c r="F13" s="18"/>
      <c r="G13" s="18"/>
      <c r="H13" s="18"/>
      <c r="I13" s="18"/>
      <c r="J13" s="18"/>
      <c r="K13" s="18"/>
      <c r="L13" s="18"/>
      <c r="M13" s="18"/>
      <c r="N13" s="18"/>
      <c r="O13" s="18"/>
      <c r="P13" s="18"/>
      <c r="Q13" s="18"/>
      <c r="R13" s="18"/>
      <c r="S13" s="18"/>
      <c r="T13" s="18"/>
      <c r="U13" s="18"/>
      <c r="V13" s="17"/>
    </row>
    <row r="14" spans="1:22" ht="18.600000000000001" thickTop="1" thickBot="1">
      <c r="A14" s="17"/>
      <c r="B14" s="15" t="s">
        <v>69</v>
      </c>
      <c r="C14" s="49">
        <v>99699</v>
      </c>
      <c r="D14" s="18"/>
      <c r="E14" s="18"/>
      <c r="F14" s="18"/>
      <c r="G14" s="18"/>
      <c r="H14" s="18"/>
      <c r="I14" s="18"/>
      <c r="J14" s="18"/>
      <c r="K14" s="18"/>
      <c r="L14" s="18"/>
      <c r="M14" s="18"/>
      <c r="N14" s="18"/>
      <c r="O14" s="18"/>
      <c r="P14" s="18"/>
      <c r="Q14" s="18"/>
      <c r="R14" s="18"/>
      <c r="S14" s="18"/>
      <c r="T14" s="18"/>
      <c r="U14" s="18"/>
      <c r="V14" s="17"/>
    </row>
    <row r="15" spans="1:22" ht="18.600000000000001" thickTop="1" thickBot="1">
      <c r="A15" s="17"/>
      <c r="B15" s="15" t="s">
        <v>70</v>
      </c>
      <c r="C15" s="49">
        <v>91073</v>
      </c>
      <c r="D15" s="18"/>
      <c r="E15" s="18"/>
      <c r="F15" s="18"/>
      <c r="G15" s="18"/>
      <c r="H15" s="18"/>
      <c r="I15" s="18"/>
      <c r="J15" s="18"/>
      <c r="K15" s="18"/>
      <c r="L15" s="18"/>
      <c r="M15" s="18"/>
      <c r="N15" s="18"/>
      <c r="O15" s="18"/>
      <c r="P15" s="18"/>
      <c r="Q15" s="18"/>
      <c r="R15" s="18"/>
      <c r="S15" s="18"/>
      <c r="T15" s="18"/>
      <c r="U15" s="18"/>
      <c r="V15" s="17"/>
    </row>
    <row r="16" spans="1:22" ht="22.2" thickTop="1" thickBot="1">
      <c r="A16" s="17"/>
      <c r="B16" s="16" t="s">
        <v>53</v>
      </c>
      <c r="C16" s="50">
        <v>2028591</v>
      </c>
      <c r="D16" s="18"/>
      <c r="E16" s="18"/>
      <c r="F16" s="18"/>
      <c r="G16" s="18"/>
      <c r="H16" s="18"/>
      <c r="I16" s="18"/>
      <c r="J16" s="18"/>
      <c r="K16" s="18"/>
      <c r="L16" s="18"/>
      <c r="M16" s="18"/>
      <c r="N16" s="18"/>
      <c r="O16" s="18"/>
      <c r="P16" s="18"/>
      <c r="Q16" s="18"/>
      <c r="R16" s="18"/>
      <c r="S16" s="18"/>
      <c r="T16" s="18"/>
      <c r="U16" s="18"/>
      <c r="V16" s="17"/>
    </row>
    <row r="17" spans="1:22" ht="15" thickTop="1">
      <c r="A17" s="17"/>
      <c r="B17" s="18"/>
      <c r="C17" s="18"/>
      <c r="D17" s="18"/>
      <c r="E17" s="18"/>
      <c r="F17" s="18"/>
      <c r="G17" s="18"/>
      <c r="H17" s="18"/>
      <c r="I17" s="18"/>
      <c r="J17" s="18"/>
      <c r="K17" s="18"/>
      <c r="L17" s="18"/>
      <c r="M17" s="18"/>
      <c r="N17" s="18"/>
      <c r="O17" s="18"/>
      <c r="P17" s="18"/>
      <c r="Q17" s="18"/>
      <c r="R17" s="18"/>
      <c r="S17" s="18"/>
      <c r="T17" s="18"/>
      <c r="U17" s="18"/>
      <c r="V17" s="17"/>
    </row>
    <row r="18" spans="1:22">
      <c r="A18" s="17"/>
      <c r="B18" s="18"/>
      <c r="C18" s="18"/>
      <c r="D18" s="18"/>
      <c r="E18" s="18"/>
      <c r="F18" s="18"/>
      <c r="G18" s="18"/>
      <c r="H18" s="18"/>
      <c r="I18" s="18"/>
      <c r="J18" s="18"/>
      <c r="K18" s="18"/>
      <c r="L18" s="18"/>
      <c r="M18" s="18"/>
      <c r="N18" s="18"/>
      <c r="O18" s="18"/>
      <c r="P18" s="18"/>
      <c r="Q18" s="18"/>
      <c r="R18" s="18"/>
      <c r="S18" s="18"/>
      <c r="T18" s="18"/>
      <c r="U18" s="18"/>
      <c r="V18" s="17"/>
    </row>
    <row r="19" spans="1:22">
      <c r="A19" s="17"/>
      <c r="B19" s="18"/>
      <c r="C19" s="18"/>
      <c r="D19" s="18"/>
      <c r="E19" s="18"/>
      <c r="F19" s="18"/>
      <c r="G19" s="18"/>
      <c r="H19" s="18"/>
      <c r="I19" s="18"/>
      <c r="J19" s="18"/>
      <c r="K19" s="18"/>
      <c r="L19" s="18"/>
      <c r="M19" s="18"/>
      <c r="N19" s="18"/>
      <c r="O19" s="18"/>
      <c r="P19" s="18"/>
      <c r="Q19" s="18"/>
      <c r="R19" s="18"/>
      <c r="S19" s="18"/>
      <c r="T19" s="18"/>
      <c r="U19" s="18"/>
      <c r="V19" s="17"/>
    </row>
    <row r="20" spans="1:22">
      <c r="A20" s="17"/>
      <c r="B20" s="18"/>
      <c r="C20" s="18"/>
      <c r="D20" s="18"/>
      <c r="E20" s="18"/>
      <c r="F20" s="18"/>
      <c r="G20" s="18"/>
      <c r="H20" s="18"/>
      <c r="I20" s="18"/>
      <c r="J20" s="18"/>
      <c r="K20" s="18"/>
      <c r="L20" s="18"/>
      <c r="M20" s="18"/>
      <c r="N20" s="18"/>
      <c r="O20" s="18"/>
      <c r="P20" s="18"/>
      <c r="Q20" s="18"/>
      <c r="R20" s="18"/>
      <c r="S20" s="18"/>
      <c r="T20" s="18"/>
      <c r="U20" s="18"/>
      <c r="V20" s="17"/>
    </row>
    <row r="21" spans="1:22" ht="9" customHeight="1">
      <c r="A21" s="17"/>
      <c r="B21" s="17"/>
      <c r="C21" s="17"/>
      <c r="D21" s="17"/>
      <c r="E21" s="17"/>
      <c r="F21" s="17"/>
      <c r="G21" s="17"/>
      <c r="H21" s="17"/>
      <c r="I21" s="17"/>
      <c r="J21" s="17"/>
      <c r="K21" s="17"/>
      <c r="L21" s="17"/>
      <c r="M21" s="17"/>
      <c r="N21" s="17"/>
      <c r="O21" s="17"/>
      <c r="P21" s="17"/>
      <c r="Q21" s="17"/>
      <c r="R21" s="17"/>
      <c r="S21" s="17"/>
      <c r="T21" s="17"/>
      <c r="U21" s="17"/>
      <c r="V21" s="17"/>
    </row>
  </sheetData>
  <mergeCells count="1">
    <mergeCell ref="B2:U2"/>
  </mergeCell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887C6-E64C-4126-8F9C-CFF6789D090D}">
  <dimension ref="A1:V25"/>
  <sheetViews>
    <sheetView workbookViewId="0">
      <selection activeCell="H21" sqref="H21"/>
    </sheetView>
  </sheetViews>
  <sheetFormatPr defaultRowHeight="14.4"/>
  <cols>
    <col min="1" max="1" width="1.77734375" customWidth="1"/>
    <col min="2" max="2" width="19.5546875" bestFit="1" customWidth="1"/>
    <col min="3" max="3" width="20.5546875" bestFit="1" customWidth="1"/>
    <col min="12" max="12" width="11.88671875" customWidth="1"/>
    <col min="22" max="22" width="1.77734375" customWidth="1"/>
  </cols>
  <sheetData>
    <row r="1" spans="1:22" ht="9" customHeight="1">
      <c r="A1" s="17"/>
      <c r="B1" s="17"/>
      <c r="C1" s="17"/>
      <c r="D1" s="17"/>
      <c r="E1" s="17"/>
      <c r="F1" s="17"/>
      <c r="G1" s="17"/>
      <c r="H1" s="17"/>
      <c r="I1" s="17"/>
      <c r="J1" s="17"/>
      <c r="K1" s="17"/>
      <c r="L1" s="17"/>
      <c r="M1" s="17"/>
      <c r="N1" s="17"/>
      <c r="O1" s="17"/>
      <c r="P1" s="17"/>
      <c r="Q1" s="17"/>
      <c r="R1" s="17"/>
      <c r="S1" s="17"/>
      <c r="T1" s="17"/>
      <c r="U1" s="17"/>
      <c r="V1" s="21"/>
    </row>
    <row r="2" spans="1:22" ht="54" customHeight="1" thickBot="1">
      <c r="A2" s="17"/>
      <c r="B2" s="115" t="s">
        <v>72</v>
      </c>
      <c r="C2" s="115"/>
      <c r="D2" s="115"/>
      <c r="E2" s="115"/>
      <c r="F2" s="115"/>
      <c r="G2" s="115"/>
      <c r="H2" s="115"/>
      <c r="I2" s="115"/>
      <c r="J2" s="115"/>
      <c r="K2" s="115"/>
      <c r="L2" s="115"/>
      <c r="M2" s="115"/>
      <c r="N2" s="115"/>
      <c r="O2" s="115"/>
      <c r="P2" s="115"/>
      <c r="Q2" s="115"/>
      <c r="R2" s="115"/>
      <c r="S2" s="115"/>
      <c r="T2" s="115"/>
      <c r="U2" s="115"/>
      <c r="V2" s="22"/>
    </row>
    <row r="3" spans="1:22" ht="17.399999999999999" thickTop="1" thickBot="1">
      <c r="A3" s="17"/>
      <c r="B3" s="43" t="s">
        <v>52</v>
      </c>
      <c r="C3" s="43" t="s">
        <v>57</v>
      </c>
      <c r="D3" s="23"/>
      <c r="E3" s="23"/>
      <c r="F3" s="23"/>
      <c r="G3" s="23"/>
      <c r="H3" s="23"/>
      <c r="I3" s="23"/>
      <c r="J3" s="23"/>
      <c r="K3" s="23"/>
      <c r="L3" s="23"/>
      <c r="M3" s="23"/>
      <c r="N3" s="23"/>
      <c r="O3" s="23"/>
      <c r="P3" s="23"/>
      <c r="Q3" s="23"/>
      <c r="R3" s="23"/>
      <c r="S3" s="23"/>
      <c r="T3" s="23"/>
      <c r="U3" s="23"/>
      <c r="V3" s="21"/>
    </row>
    <row r="4" spans="1:22" ht="15.6" thickTop="1" thickBot="1">
      <c r="A4" s="17"/>
      <c r="B4" s="66" t="s">
        <v>8</v>
      </c>
      <c r="C4" s="67">
        <v>243681</v>
      </c>
      <c r="D4" s="23"/>
      <c r="E4" s="23"/>
      <c r="F4" s="23"/>
      <c r="G4" s="23"/>
      <c r="H4" s="23"/>
      <c r="I4" s="23"/>
      <c r="J4" s="23"/>
      <c r="K4" s="23"/>
      <c r="L4" s="23"/>
      <c r="M4" s="23"/>
      <c r="N4" s="23"/>
      <c r="O4" s="23"/>
      <c r="P4" s="23"/>
      <c r="Q4" s="23"/>
      <c r="R4" s="23"/>
      <c r="S4" s="23"/>
      <c r="T4" s="23"/>
      <c r="U4" s="23"/>
      <c r="V4" s="21"/>
    </row>
    <row r="5" spans="1:22" ht="15.6" thickTop="1" thickBot="1">
      <c r="A5" s="17"/>
      <c r="B5" s="66" t="s">
        <v>14</v>
      </c>
      <c r="C5" s="67">
        <v>276378</v>
      </c>
      <c r="D5" s="23"/>
      <c r="E5" s="23"/>
      <c r="F5" s="23"/>
      <c r="G5" s="23"/>
      <c r="H5" s="23"/>
      <c r="I5" s="23"/>
      <c r="J5" s="23"/>
      <c r="K5" s="23"/>
      <c r="L5" s="23"/>
      <c r="M5" s="23"/>
      <c r="N5" s="23"/>
      <c r="O5" s="23"/>
      <c r="P5" s="23"/>
      <c r="Q5" s="23"/>
      <c r="R5" s="23"/>
      <c r="S5" s="23"/>
      <c r="T5" s="23"/>
      <c r="U5" s="23"/>
      <c r="V5" s="21"/>
    </row>
    <row r="6" spans="1:22" ht="15.6" thickTop="1" thickBot="1">
      <c r="A6" s="17"/>
      <c r="B6" s="66" t="s">
        <v>24</v>
      </c>
      <c r="C6" s="67">
        <v>241194</v>
      </c>
      <c r="D6" s="23"/>
      <c r="E6" s="23"/>
      <c r="F6" s="23"/>
      <c r="G6" s="23"/>
      <c r="H6" s="23"/>
      <c r="I6" s="23"/>
      <c r="J6" s="23"/>
      <c r="K6" s="23"/>
      <c r="L6" s="23"/>
      <c r="M6" s="23"/>
      <c r="N6" s="23"/>
      <c r="O6" s="23"/>
      <c r="P6" s="23"/>
      <c r="Q6" s="23"/>
      <c r="R6" s="23"/>
      <c r="S6" s="23"/>
      <c r="T6" s="23"/>
      <c r="U6" s="23"/>
      <c r="V6" s="21"/>
    </row>
    <row r="7" spans="1:22" ht="15.6" thickTop="1" thickBot="1">
      <c r="A7" s="17"/>
      <c r="B7" s="66" t="s">
        <v>21</v>
      </c>
      <c r="C7" s="67">
        <v>255757</v>
      </c>
      <c r="D7" s="23"/>
      <c r="E7" s="23"/>
      <c r="F7" s="23"/>
      <c r="G7" s="23"/>
      <c r="H7" s="23"/>
      <c r="I7" s="23"/>
      <c r="J7" s="23"/>
      <c r="K7" s="23"/>
      <c r="L7" s="23"/>
      <c r="M7" s="23"/>
      <c r="N7" s="23"/>
      <c r="O7" s="23"/>
      <c r="P7" s="23"/>
      <c r="Q7" s="23"/>
      <c r="R7" s="23"/>
      <c r="S7" s="23"/>
      <c r="T7" s="23"/>
      <c r="U7" s="23"/>
      <c r="V7" s="21"/>
    </row>
    <row r="8" spans="1:22" ht="15.6" thickTop="1" thickBot="1">
      <c r="A8" s="17"/>
      <c r="B8" s="66" t="s">
        <v>27</v>
      </c>
      <c r="C8" s="67">
        <v>231788</v>
      </c>
      <c r="D8" s="23"/>
      <c r="E8" s="23"/>
      <c r="F8" s="23"/>
      <c r="G8" s="23"/>
      <c r="H8" s="23"/>
      <c r="I8" s="23"/>
      <c r="J8" s="23"/>
      <c r="K8" s="23"/>
      <c r="L8" s="23"/>
      <c r="M8" s="23"/>
      <c r="N8" s="23"/>
      <c r="O8" s="23"/>
      <c r="P8" s="23"/>
      <c r="Q8" s="23"/>
      <c r="R8" s="23"/>
      <c r="S8" s="23"/>
      <c r="T8" s="23"/>
      <c r="U8" s="23"/>
      <c r="V8" s="21"/>
    </row>
    <row r="9" spans="1:22" ht="15.6" thickTop="1" thickBot="1">
      <c r="A9" s="17"/>
      <c r="B9" s="66" t="s">
        <v>11</v>
      </c>
      <c r="C9" s="67">
        <v>276331</v>
      </c>
      <c r="D9" s="23"/>
      <c r="E9" s="23"/>
      <c r="F9" s="23"/>
      <c r="G9" s="23"/>
      <c r="H9" s="23"/>
      <c r="I9" s="23"/>
      <c r="J9" s="23"/>
      <c r="K9" s="23"/>
      <c r="L9" s="23"/>
      <c r="M9" s="23"/>
      <c r="N9" s="23"/>
      <c r="O9" s="23"/>
      <c r="P9" s="23"/>
      <c r="Q9" s="23"/>
      <c r="R9" s="23"/>
      <c r="S9" s="23"/>
      <c r="T9" s="23"/>
      <c r="U9" s="23"/>
      <c r="V9" s="21"/>
    </row>
    <row r="10" spans="1:22" ht="15.6" thickTop="1" thickBot="1">
      <c r="A10" s="17"/>
      <c r="B10" s="66" t="s">
        <v>18</v>
      </c>
      <c r="C10" s="67">
        <v>251790</v>
      </c>
      <c r="D10" s="23"/>
      <c r="E10" s="23"/>
      <c r="F10" s="23"/>
      <c r="G10" s="23"/>
      <c r="H10" s="23"/>
      <c r="I10" s="23"/>
      <c r="J10" s="23"/>
      <c r="K10" s="23"/>
      <c r="L10" s="23"/>
      <c r="M10" s="23"/>
      <c r="N10" s="23"/>
      <c r="O10" s="23"/>
      <c r="P10" s="23"/>
      <c r="Q10" s="23"/>
      <c r="R10" s="23"/>
      <c r="S10" s="23"/>
      <c r="T10" s="23"/>
      <c r="U10" s="23"/>
      <c r="V10" s="21"/>
    </row>
    <row r="11" spans="1:22" ht="15.6" thickTop="1" thickBot="1">
      <c r="A11" s="17"/>
      <c r="B11" s="66" t="s">
        <v>25</v>
      </c>
      <c r="C11" s="67">
        <v>251672</v>
      </c>
      <c r="D11" s="23"/>
      <c r="E11" s="23"/>
      <c r="F11" s="23"/>
      <c r="G11" s="23"/>
      <c r="H11" s="23"/>
      <c r="I11" s="23"/>
      <c r="J11" s="23"/>
      <c r="K11" s="23"/>
      <c r="L11" s="23"/>
      <c r="M11" s="23"/>
      <c r="N11" s="23"/>
      <c r="O11" s="23"/>
      <c r="P11" s="23"/>
      <c r="Q11" s="23"/>
      <c r="R11" s="23"/>
      <c r="S11" s="23"/>
      <c r="T11" s="23"/>
      <c r="U11" s="23"/>
      <c r="V11" s="21"/>
    </row>
    <row r="12" spans="1:22" ht="21" thickTop="1" thickBot="1">
      <c r="A12" s="17"/>
      <c r="B12" s="19" t="s">
        <v>53</v>
      </c>
      <c r="C12" s="44">
        <v>2028591</v>
      </c>
      <c r="D12" s="23"/>
      <c r="E12" s="23"/>
      <c r="F12" s="23"/>
      <c r="G12" s="23"/>
      <c r="H12" s="23"/>
      <c r="I12" s="23"/>
      <c r="J12" s="23"/>
      <c r="K12" s="23"/>
      <c r="L12" s="23"/>
      <c r="M12" s="23"/>
      <c r="N12" s="23"/>
      <c r="O12" s="23"/>
      <c r="P12" s="23"/>
      <c r="Q12" s="23"/>
      <c r="R12" s="23"/>
      <c r="S12" s="23"/>
      <c r="T12" s="23"/>
      <c r="U12" s="23"/>
      <c r="V12" s="21"/>
    </row>
    <row r="13" spans="1:22" ht="15" thickTop="1">
      <c r="A13" s="17"/>
      <c r="B13" s="23"/>
      <c r="C13" s="23"/>
      <c r="D13" s="23"/>
      <c r="E13" s="23"/>
      <c r="F13" s="23"/>
      <c r="G13" s="23"/>
      <c r="H13" s="23"/>
      <c r="I13" s="23"/>
      <c r="J13" s="23"/>
      <c r="K13" s="23"/>
      <c r="L13" s="23"/>
      <c r="M13" s="23"/>
      <c r="N13" s="23"/>
      <c r="O13" s="23"/>
      <c r="P13" s="23"/>
      <c r="Q13" s="23"/>
      <c r="R13" s="23"/>
      <c r="S13" s="23"/>
      <c r="T13" s="23"/>
      <c r="U13" s="23"/>
      <c r="V13" s="21"/>
    </row>
    <row r="14" spans="1:22">
      <c r="A14" s="17"/>
      <c r="B14" s="23"/>
      <c r="C14" s="23"/>
      <c r="D14" s="23"/>
      <c r="E14" s="23"/>
      <c r="F14" s="23"/>
      <c r="G14" s="23"/>
      <c r="H14" s="23"/>
      <c r="I14" s="23"/>
      <c r="J14" s="23"/>
      <c r="K14" s="23"/>
      <c r="L14" s="23"/>
      <c r="M14" s="23"/>
      <c r="N14" s="23"/>
      <c r="O14" s="23"/>
      <c r="P14" s="23"/>
      <c r="Q14" s="23"/>
      <c r="R14" s="23"/>
      <c r="S14" s="23"/>
      <c r="T14" s="23"/>
      <c r="U14" s="23"/>
      <c r="V14" s="21"/>
    </row>
    <row r="15" spans="1:22">
      <c r="A15" s="17"/>
      <c r="B15" s="23"/>
      <c r="C15" s="23"/>
      <c r="D15" s="23"/>
      <c r="E15" s="23"/>
      <c r="F15" s="23"/>
      <c r="G15" s="23"/>
      <c r="H15" s="23"/>
      <c r="I15" s="23"/>
      <c r="J15" s="23"/>
      <c r="K15" s="23"/>
      <c r="L15" s="23"/>
      <c r="M15" s="23"/>
      <c r="N15" s="23"/>
      <c r="O15" s="23"/>
      <c r="P15" s="23"/>
      <c r="Q15" s="23"/>
      <c r="R15" s="23"/>
      <c r="S15" s="23"/>
      <c r="T15" s="23"/>
      <c r="U15" s="23"/>
      <c r="V15" s="21"/>
    </row>
    <row r="16" spans="1:22">
      <c r="A16" s="17"/>
      <c r="B16" s="23"/>
      <c r="C16" s="23"/>
      <c r="D16" s="23"/>
      <c r="E16" s="23"/>
      <c r="F16" s="23"/>
      <c r="G16" s="23"/>
      <c r="H16" s="23"/>
      <c r="I16" s="23"/>
      <c r="J16" s="23"/>
      <c r="K16" s="23"/>
      <c r="L16" s="23"/>
      <c r="M16" s="23"/>
      <c r="N16" s="23"/>
      <c r="O16" s="23"/>
      <c r="P16" s="23"/>
      <c r="Q16" s="23"/>
      <c r="R16" s="23"/>
      <c r="S16" s="23"/>
      <c r="T16" s="23"/>
      <c r="U16" s="23"/>
      <c r="V16" s="21"/>
    </row>
    <row r="17" spans="1:22">
      <c r="A17" s="17"/>
      <c r="B17" s="23"/>
      <c r="C17" s="23"/>
      <c r="D17" s="23"/>
      <c r="E17" s="23"/>
      <c r="F17" s="23"/>
      <c r="G17" s="23"/>
      <c r="H17" s="23"/>
      <c r="I17" s="23"/>
      <c r="J17" s="23"/>
      <c r="K17" s="23"/>
      <c r="L17" s="23"/>
      <c r="M17" s="23"/>
      <c r="N17" s="23"/>
      <c r="O17" s="23"/>
      <c r="P17" s="23"/>
      <c r="Q17" s="23"/>
      <c r="R17" s="23"/>
      <c r="S17" s="23"/>
      <c r="T17" s="23"/>
      <c r="U17" s="23"/>
      <c r="V17" s="21"/>
    </row>
    <row r="18" spans="1:22">
      <c r="A18" s="17"/>
      <c r="B18" s="23"/>
      <c r="C18" s="23"/>
      <c r="D18" s="23"/>
      <c r="E18" s="23"/>
      <c r="F18" s="23"/>
      <c r="G18" s="23"/>
      <c r="H18" s="23"/>
      <c r="I18" s="23"/>
      <c r="J18" s="23"/>
      <c r="K18" s="23"/>
      <c r="L18" s="23"/>
      <c r="M18" s="23"/>
      <c r="N18" s="23"/>
      <c r="O18" s="23"/>
      <c r="P18" s="23"/>
      <c r="Q18" s="23"/>
      <c r="R18" s="23"/>
      <c r="S18" s="23"/>
      <c r="T18" s="23"/>
      <c r="U18" s="23"/>
      <c r="V18" s="21"/>
    </row>
    <row r="19" spans="1:22">
      <c r="A19" s="17"/>
      <c r="B19" s="23"/>
      <c r="C19" s="23"/>
      <c r="D19" s="23"/>
      <c r="E19" s="23"/>
      <c r="F19" s="23"/>
      <c r="G19" s="23"/>
      <c r="H19" s="23"/>
      <c r="I19" s="23"/>
      <c r="J19" s="23"/>
      <c r="K19" s="23"/>
      <c r="L19" s="23"/>
      <c r="M19" s="23"/>
      <c r="N19" s="23"/>
      <c r="O19" s="23"/>
      <c r="P19" s="23"/>
      <c r="Q19" s="23"/>
      <c r="R19" s="23"/>
      <c r="S19" s="23"/>
      <c r="T19" s="23"/>
      <c r="U19" s="23"/>
      <c r="V19" s="21"/>
    </row>
    <row r="20" spans="1:22">
      <c r="A20" s="17"/>
      <c r="B20" s="23"/>
      <c r="C20" s="23"/>
      <c r="D20" s="23"/>
      <c r="E20" s="23"/>
      <c r="F20" s="23"/>
      <c r="G20" s="23"/>
      <c r="H20" s="23"/>
      <c r="I20" s="23"/>
      <c r="J20" s="23"/>
      <c r="K20" s="23"/>
      <c r="L20" s="23"/>
      <c r="M20" s="23"/>
      <c r="N20" s="23"/>
      <c r="O20" s="23"/>
      <c r="P20" s="23"/>
      <c r="Q20" s="23"/>
      <c r="R20" s="23"/>
      <c r="S20" s="23"/>
      <c r="T20" s="23"/>
      <c r="U20" s="23"/>
      <c r="V20" s="21"/>
    </row>
    <row r="21" spans="1:22">
      <c r="A21" s="17"/>
      <c r="B21" s="23"/>
      <c r="C21" s="23"/>
      <c r="D21" s="23"/>
      <c r="E21" s="23"/>
      <c r="F21" s="23"/>
      <c r="G21" s="23"/>
      <c r="H21" s="23"/>
      <c r="I21" s="23"/>
      <c r="J21" s="23"/>
      <c r="K21" s="23"/>
      <c r="L21" s="23"/>
      <c r="M21" s="23"/>
      <c r="N21" s="23"/>
      <c r="O21" s="23"/>
      <c r="P21" s="23"/>
      <c r="Q21" s="23"/>
      <c r="R21" s="23"/>
      <c r="S21" s="23"/>
      <c r="T21" s="23"/>
      <c r="U21" s="23"/>
      <c r="V21" s="21"/>
    </row>
    <row r="22" spans="1:22">
      <c r="A22" s="17"/>
      <c r="B22" s="23"/>
      <c r="C22" s="23"/>
      <c r="D22" s="23"/>
      <c r="E22" s="23"/>
      <c r="F22" s="23"/>
      <c r="G22" s="23"/>
      <c r="H22" s="23"/>
      <c r="I22" s="23"/>
      <c r="J22" s="23"/>
      <c r="K22" s="23"/>
      <c r="L22" s="23"/>
      <c r="M22" s="23"/>
      <c r="N22" s="23"/>
      <c r="O22" s="23"/>
      <c r="P22" s="23"/>
      <c r="Q22" s="23"/>
      <c r="R22" s="23"/>
      <c r="S22" s="23"/>
      <c r="T22" s="23"/>
      <c r="U22" s="23"/>
      <c r="V22" s="21"/>
    </row>
    <row r="23" spans="1:22">
      <c r="A23" s="17"/>
      <c r="B23" s="23"/>
      <c r="C23" s="23"/>
      <c r="D23" s="23"/>
      <c r="E23" s="23"/>
      <c r="F23" s="23"/>
      <c r="G23" s="23"/>
      <c r="H23" s="23"/>
      <c r="I23" s="23"/>
      <c r="J23" s="23"/>
      <c r="K23" s="23"/>
      <c r="L23" s="23"/>
      <c r="M23" s="23"/>
      <c r="N23" s="23"/>
      <c r="O23" s="23"/>
      <c r="P23" s="23"/>
      <c r="Q23" s="23"/>
      <c r="R23" s="23"/>
      <c r="S23" s="23"/>
      <c r="T23" s="23"/>
      <c r="U23" s="23"/>
      <c r="V23" s="21"/>
    </row>
    <row r="24" spans="1:22">
      <c r="A24" s="17"/>
      <c r="B24" s="23"/>
      <c r="C24" s="23"/>
      <c r="D24" s="23"/>
      <c r="E24" s="23"/>
      <c r="F24" s="23"/>
      <c r="G24" s="23"/>
      <c r="H24" s="23"/>
      <c r="I24" s="23"/>
      <c r="J24" s="23"/>
      <c r="K24" s="23"/>
      <c r="L24" s="23"/>
      <c r="M24" s="23"/>
      <c r="N24" s="23"/>
      <c r="O24" s="23"/>
      <c r="P24" s="23"/>
      <c r="Q24" s="23"/>
      <c r="R24" s="23"/>
      <c r="S24" s="23"/>
      <c r="T24" s="23"/>
      <c r="U24" s="23"/>
      <c r="V24" s="21"/>
    </row>
    <row r="25" spans="1:22" s="20" customFormat="1" ht="9.6" customHeight="1">
      <c r="A25" s="17"/>
      <c r="B25" s="17"/>
      <c r="C25" s="17"/>
      <c r="D25" s="17"/>
      <c r="E25" s="17"/>
      <c r="F25" s="17"/>
      <c r="G25" s="17"/>
      <c r="H25" s="17"/>
      <c r="I25" s="17"/>
      <c r="J25" s="17"/>
      <c r="K25" s="17"/>
      <c r="L25" s="17"/>
      <c r="M25" s="17"/>
      <c r="N25" s="17"/>
      <c r="O25" s="17"/>
      <c r="P25" s="17"/>
      <c r="Q25" s="17"/>
      <c r="R25" s="17"/>
      <c r="S25" s="17"/>
      <c r="T25" s="17"/>
      <c r="U25" s="17"/>
      <c r="V25" s="21"/>
    </row>
  </sheetData>
  <mergeCells count="1">
    <mergeCell ref="B2:U2"/>
  </mergeCell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15B6-FBD8-4DA7-A785-2D2FB4E9642F}">
  <dimension ref="A1:R22"/>
  <sheetViews>
    <sheetView showGridLines="0" zoomScale="110" workbookViewId="0">
      <selection activeCell="I15" sqref="I15"/>
    </sheetView>
  </sheetViews>
  <sheetFormatPr defaultRowHeight="14.4"/>
  <cols>
    <col min="1" max="1" width="1.77734375" customWidth="1"/>
    <col min="2" max="2" width="20.33203125" bestFit="1" customWidth="1"/>
    <col min="3" max="3" width="23.88671875" bestFit="1" customWidth="1"/>
    <col min="18" max="18" width="1.77734375" customWidth="1"/>
  </cols>
  <sheetData>
    <row r="1" spans="1:18" ht="9" customHeight="1">
      <c r="A1" s="24"/>
      <c r="B1" s="24"/>
      <c r="C1" s="24"/>
      <c r="D1" s="24"/>
      <c r="E1" s="24"/>
      <c r="F1" s="24"/>
      <c r="G1" s="24"/>
      <c r="H1" s="24"/>
      <c r="I1" s="24"/>
      <c r="J1" s="24"/>
      <c r="K1" s="24"/>
      <c r="L1" s="24"/>
      <c r="M1" s="24"/>
      <c r="N1" s="24"/>
      <c r="O1" s="24"/>
      <c r="P1" s="24"/>
      <c r="Q1" s="24"/>
      <c r="R1" s="24"/>
    </row>
    <row r="2" spans="1:18" ht="55.8" customHeight="1" thickBot="1">
      <c r="A2" s="24"/>
      <c r="B2" s="116" t="s">
        <v>74</v>
      </c>
      <c r="C2" s="117"/>
      <c r="D2" s="117"/>
      <c r="E2" s="117"/>
      <c r="F2" s="117"/>
      <c r="G2" s="117"/>
      <c r="H2" s="117"/>
      <c r="I2" s="117"/>
      <c r="J2" s="117"/>
      <c r="K2" s="117"/>
      <c r="L2" s="117"/>
      <c r="M2" s="117"/>
      <c r="N2" s="117"/>
      <c r="O2" s="117"/>
      <c r="P2" s="117"/>
      <c r="Q2" s="117"/>
      <c r="R2" s="24"/>
    </row>
    <row r="3" spans="1:18" s="26" customFormat="1" ht="21" thickTop="1" thickBot="1">
      <c r="A3" s="25"/>
      <c r="B3" s="41" t="s">
        <v>52</v>
      </c>
      <c r="C3" s="41" t="s">
        <v>57</v>
      </c>
      <c r="D3" s="28"/>
      <c r="E3" s="28"/>
      <c r="F3" s="28"/>
      <c r="G3" s="28"/>
      <c r="H3" s="28"/>
      <c r="I3" s="28"/>
      <c r="J3" s="28"/>
      <c r="K3" s="28"/>
      <c r="L3" s="28"/>
      <c r="M3" s="28"/>
      <c r="N3" s="28"/>
      <c r="O3" s="28"/>
      <c r="P3" s="28"/>
      <c r="Q3" s="28"/>
      <c r="R3" s="25"/>
    </row>
    <row r="4" spans="1:18" ht="15.6" thickTop="1" thickBot="1">
      <c r="A4" s="24"/>
      <c r="B4" s="30" t="s">
        <v>39</v>
      </c>
      <c r="C4" s="51">
        <v>736953</v>
      </c>
      <c r="D4" s="29"/>
      <c r="E4" s="29"/>
      <c r="F4" s="29"/>
      <c r="G4" s="29"/>
      <c r="H4" s="29"/>
      <c r="I4" s="29"/>
      <c r="J4" s="29"/>
      <c r="K4" s="29"/>
      <c r="L4" s="29"/>
      <c r="M4" s="29"/>
      <c r="N4" s="29"/>
      <c r="O4" s="29"/>
      <c r="P4" s="29"/>
      <c r="Q4" s="29"/>
      <c r="R4" s="24"/>
    </row>
    <row r="5" spans="1:18" ht="15.6" thickTop="1" thickBot="1">
      <c r="A5" s="24"/>
      <c r="B5" s="33" t="s">
        <v>41</v>
      </c>
      <c r="C5" s="52">
        <v>365762</v>
      </c>
      <c r="D5" s="29"/>
      <c r="E5" s="29"/>
      <c r="F5" s="29"/>
      <c r="G5" s="29"/>
      <c r="H5" s="29"/>
      <c r="I5" s="29"/>
      <c r="J5" s="29"/>
      <c r="K5" s="29"/>
      <c r="L5" s="29"/>
      <c r="M5" s="29"/>
      <c r="N5" s="29"/>
      <c r="O5" s="29"/>
      <c r="P5" s="29"/>
      <c r="Q5" s="29"/>
      <c r="R5" s="24"/>
    </row>
    <row r="6" spans="1:18" ht="15.6" thickTop="1" thickBot="1">
      <c r="A6" s="24"/>
      <c r="B6" s="32" t="s">
        <v>43</v>
      </c>
      <c r="C6" s="53">
        <v>124890</v>
      </c>
      <c r="D6" s="29"/>
      <c r="E6" s="29"/>
      <c r="F6" s="29"/>
      <c r="G6" s="29"/>
      <c r="H6" s="29"/>
      <c r="I6" s="29"/>
      <c r="J6" s="29"/>
      <c r="K6" s="29"/>
      <c r="L6" s="29"/>
      <c r="M6" s="29"/>
      <c r="N6" s="29"/>
      <c r="O6" s="29"/>
      <c r="P6" s="29"/>
      <c r="Q6" s="29"/>
      <c r="R6" s="24"/>
    </row>
    <row r="7" spans="1:18" ht="15.6" thickTop="1" thickBot="1">
      <c r="A7" s="24"/>
      <c r="B7" s="34" t="s">
        <v>42</v>
      </c>
      <c r="C7" s="54">
        <v>301305</v>
      </c>
      <c r="D7" s="29"/>
      <c r="E7" s="29"/>
      <c r="F7" s="29"/>
      <c r="G7" s="29"/>
      <c r="H7" s="29"/>
      <c r="I7" s="29"/>
      <c r="J7" s="29"/>
      <c r="K7" s="29"/>
      <c r="L7" s="29"/>
      <c r="M7" s="29"/>
      <c r="N7" s="29"/>
      <c r="O7" s="29"/>
      <c r="P7" s="29"/>
      <c r="Q7" s="29"/>
      <c r="R7" s="24"/>
    </row>
    <row r="8" spans="1:18" ht="15.6" thickTop="1" thickBot="1">
      <c r="A8" s="24"/>
      <c r="B8" s="31" t="s">
        <v>40</v>
      </c>
      <c r="C8" s="55">
        <v>499681</v>
      </c>
      <c r="D8" s="29"/>
      <c r="E8" s="29"/>
      <c r="F8" s="29"/>
      <c r="G8" s="29"/>
      <c r="H8" s="29"/>
      <c r="I8" s="29"/>
      <c r="J8" s="29"/>
      <c r="K8" s="29"/>
      <c r="L8" s="29"/>
      <c r="M8" s="29"/>
      <c r="N8" s="29"/>
      <c r="O8" s="29"/>
      <c r="P8" s="29"/>
      <c r="Q8" s="29"/>
      <c r="R8" s="24"/>
    </row>
    <row r="9" spans="1:18" ht="22.2" thickTop="1" thickBot="1">
      <c r="A9" s="24"/>
      <c r="B9" s="27" t="s">
        <v>53</v>
      </c>
      <c r="C9" s="56">
        <v>2028591</v>
      </c>
      <c r="D9" s="29"/>
      <c r="E9" s="29"/>
      <c r="F9" s="29"/>
      <c r="G9" s="29"/>
      <c r="H9" s="29"/>
      <c r="I9" s="29"/>
      <c r="J9" s="29"/>
      <c r="K9" s="29"/>
      <c r="L9" s="29"/>
      <c r="M9" s="29"/>
      <c r="N9" s="29"/>
      <c r="O9" s="29"/>
      <c r="P9" s="29"/>
      <c r="Q9" s="29"/>
      <c r="R9" s="24"/>
    </row>
    <row r="10" spans="1:18" ht="15" thickTop="1">
      <c r="A10" s="24"/>
      <c r="B10" s="29"/>
      <c r="C10" s="29"/>
      <c r="D10" s="42"/>
      <c r="E10" s="29"/>
      <c r="F10" s="29"/>
      <c r="G10" s="29"/>
      <c r="H10" s="29"/>
      <c r="I10" s="29"/>
      <c r="J10" s="29"/>
      <c r="K10" s="29"/>
      <c r="L10" s="29"/>
      <c r="M10" s="29"/>
      <c r="N10" s="29"/>
      <c r="O10" s="29"/>
      <c r="P10" s="29"/>
      <c r="Q10" s="29"/>
      <c r="R10" s="24"/>
    </row>
    <row r="11" spans="1:18">
      <c r="A11" s="24"/>
      <c r="B11" s="29"/>
      <c r="C11" s="29"/>
      <c r="D11" s="29"/>
      <c r="E11" s="29"/>
      <c r="F11" s="29"/>
      <c r="G11" s="29"/>
      <c r="H11" s="29"/>
      <c r="I11" s="29"/>
      <c r="J11" s="29"/>
      <c r="K11" s="29"/>
      <c r="L11" s="29"/>
      <c r="M11" s="29"/>
      <c r="N11" s="29"/>
      <c r="O11" s="29"/>
      <c r="P11" s="29"/>
      <c r="Q11" s="29"/>
      <c r="R11" s="24"/>
    </row>
    <row r="12" spans="1:18">
      <c r="A12" s="24"/>
      <c r="B12" s="29"/>
      <c r="C12" s="29"/>
      <c r="D12" s="29"/>
      <c r="E12" s="29"/>
      <c r="F12" s="29"/>
      <c r="G12" s="29"/>
      <c r="H12" s="29"/>
      <c r="I12" s="29"/>
      <c r="J12" s="29"/>
      <c r="K12" s="29"/>
      <c r="L12" s="29"/>
      <c r="M12" s="29"/>
      <c r="N12" s="29"/>
      <c r="O12" s="29"/>
      <c r="P12" s="29"/>
      <c r="Q12" s="29"/>
      <c r="R12" s="24"/>
    </row>
    <row r="13" spans="1:18">
      <c r="A13" s="24"/>
      <c r="B13" s="29"/>
      <c r="C13" s="29"/>
      <c r="D13" s="29"/>
      <c r="E13" s="29"/>
      <c r="F13" s="29"/>
      <c r="G13" s="29"/>
      <c r="H13" s="29"/>
      <c r="I13" s="29"/>
      <c r="J13" s="29"/>
      <c r="K13" s="29"/>
      <c r="L13" s="29"/>
      <c r="M13" s="29"/>
      <c r="N13" s="29"/>
      <c r="O13" s="29"/>
      <c r="P13" s="29"/>
      <c r="Q13" s="29"/>
      <c r="R13" s="24"/>
    </row>
    <row r="14" spans="1:18">
      <c r="A14" s="24"/>
      <c r="B14" s="29"/>
      <c r="C14" s="29"/>
      <c r="D14" s="29"/>
      <c r="E14" s="29"/>
      <c r="F14" s="29"/>
      <c r="G14" s="29"/>
      <c r="H14" s="29"/>
      <c r="I14" s="29"/>
      <c r="J14" s="29"/>
      <c r="K14" s="29"/>
      <c r="L14" s="29"/>
      <c r="M14" s="29"/>
      <c r="N14" s="29"/>
      <c r="O14" s="29"/>
      <c r="P14" s="29"/>
      <c r="Q14" s="29"/>
      <c r="R14" s="24"/>
    </row>
    <row r="15" spans="1:18">
      <c r="A15" s="24"/>
      <c r="B15" s="29"/>
      <c r="C15" s="29"/>
      <c r="D15" s="29"/>
      <c r="E15" s="29"/>
      <c r="F15" s="29"/>
      <c r="G15" s="29"/>
      <c r="H15" s="29"/>
      <c r="I15" s="29"/>
      <c r="J15" s="29"/>
      <c r="K15" s="29"/>
      <c r="L15" s="29"/>
      <c r="M15" s="29"/>
      <c r="N15" s="29"/>
      <c r="O15" s="29"/>
      <c r="P15" s="29"/>
      <c r="Q15" s="29"/>
      <c r="R15" s="24"/>
    </row>
    <row r="16" spans="1:18">
      <c r="A16" s="24"/>
      <c r="B16" s="29"/>
      <c r="C16" s="29"/>
      <c r="D16" s="29"/>
      <c r="E16" s="29"/>
      <c r="F16" s="29"/>
      <c r="G16" s="29"/>
      <c r="H16" s="29"/>
      <c r="I16" s="29"/>
      <c r="J16" s="29"/>
      <c r="K16" s="29"/>
      <c r="L16" s="29"/>
      <c r="M16" s="29"/>
      <c r="N16" s="29"/>
      <c r="O16" s="29"/>
      <c r="P16" s="29"/>
      <c r="Q16" s="29"/>
      <c r="R16" s="24"/>
    </row>
    <row r="17" spans="1:18">
      <c r="A17" s="24"/>
      <c r="B17" s="29"/>
      <c r="C17" s="29"/>
      <c r="D17" s="29"/>
      <c r="E17" s="29"/>
      <c r="F17" s="29"/>
      <c r="G17" s="29"/>
      <c r="H17" s="29"/>
      <c r="I17" s="29"/>
      <c r="J17" s="29"/>
      <c r="K17" s="29"/>
      <c r="L17" s="29"/>
      <c r="M17" s="29"/>
      <c r="N17" s="29"/>
      <c r="O17" s="29"/>
      <c r="P17" s="29"/>
      <c r="Q17" s="29"/>
      <c r="R17" s="24"/>
    </row>
    <row r="18" spans="1:18">
      <c r="A18" s="24"/>
      <c r="B18" s="29"/>
      <c r="C18" s="29"/>
      <c r="D18" s="29"/>
      <c r="E18" s="29"/>
      <c r="F18" s="29"/>
      <c r="G18" s="29"/>
      <c r="H18" s="29"/>
      <c r="I18" s="29"/>
      <c r="J18" s="29"/>
      <c r="K18" s="29"/>
      <c r="L18" s="29"/>
      <c r="M18" s="29"/>
      <c r="N18" s="29"/>
      <c r="O18" s="29"/>
      <c r="P18" s="29"/>
      <c r="Q18" s="29"/>
      <c r="R18" s="24"/>
    </row>
    <row r="19" spans="1:18">
      <c r="A19" s="24"/>
      <c r="B19" s="29"/>
      <c r="C19" s="29"/>
      <c r="D19" s="29"/>
      <c r="E19" s="29"/>
      <c r="F19" s="29"/>
      <c r="G19" s="29"/>
      <c r="H19" s="29"/>
      <c r="I19" s="29"/>
      <c r="J19" s="29"/>
      <c r="K19" s="29"/>
      <c r="L19" s="29"/>
      <c r="M19" s="29"/>
      <c r="N19" s="29"/>
      <c r="O19" s="29"/>
      <c r="P19" s="29"/>
      <c r="Q19" s="29"/>
      <c r="R19" s="24"/>
    </row>
    <row r="20" spans="1:18">
      <c r="A20" s="24"/>
      <c r="B20" s="29"/>
      <c r="C20" s="29"/>
      <c r="D20" s="29"/>
      <c r="E20" s="29"/>
      <c r="F20" s="29"/>
      <c r="G20" s="29"/>
      <c r="H20" s="29"/>
      <c r="I20" s="29"/>
      <c r="J20" s="29"/>
      <c r="K20" s="29"/>
      <c r="L20" s="29"/>
      <c r="M20" s="29"/>
      <c r="N20" s="29"/>
      <c r="O20" s="29"/>
      <c r="P20" s="29"/>
      <c r="Q20" s="29"/>
      <c r="R20" s="24"/>
    </row>
    <row r="21" spans="1:18">
      <c r="A21" s="24"/>
      <c r="B21" s="29"/>
      <c r="C21" s="29"/>
      <c r="D21" s="29"/>
      <c r="E21" s="29"/>
      <c r="F21" s="29"/>
      <c r="G21" s="29"/>
      <c r="H21" s="29"/>
      <c r="I21" s="29"/>
      <c r="J21" s="29"/>
      <c r="K21" s="29"/>
      <c r="L21" s="29"/>
      <c r="M21" s="29"/>
      <c r="N21" s="29"/>
      <c r="O21" s="29"/>
      <c r="P21" s="29"/>
      <c r="Q21" s="29"/>
      <c r="R21" s="24"/>
    </row>
    <row r="22" spans="1:18" ht="9" customHeight="1">
      <c r="A22" s="24"/>
      <c r="B22" s="24"/>
      <c r="C22" s="24"/>
      <c r="D22" s="24"/>
      <c r="E22" s="24"/>
      <c r="F22" s="24"/>
      <c r="G22" s="24"/>
      <c r="H22" s="24"/>
      <c r="I22" s="24"/>
      <c r="J22" s="24"/>
      <c r="K22" s="24"/>
      <c r="L22" s="24"/>
      <c r="M22" s="24"/>
      <c r="N22" s="24"/>
      <c r="O22" s="24"/>
      <c r="P22" s="24"/>
      <c r="Q22" s="24"/>
      <c r="R22" s="24"/>
    </row>
  </sheetData>
  <mergeCells count="1">
    <mergeCell ref="B2:Q2"/>
  </mergeCells>
  <pageMargins left="0.7" right="0.7" top="0.75" bottom="0.75" header="0.3" footer="0.3"/>
  <pageSetup orientation="portrait"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243BE-3B6F-4256-BE2C-E8322E5AF385}">
  <dimension ref="A1:R57"/>
  <sheetViews>
    <sheetView zoomScale="123" workbookViewId="0">
      <selection activeCell="I13" sqref="I13"/>
    </sheetView>
  </sheetViews>
  <sheetFormatPr defaultRowHeight="14.4"/>
  <cols>
    <col min="1" max="1" width="1.77734375" customWidth="1"/>
    <col min="2" max="2" width="18.88671875" bestFit="1" customWidth="1"/>
    <col min="3" max="3" width="15.5546875" bestFit="1" customWidth="1"/>
    <col min="4" max="7" width="9.109375" bestFit="1" customWidth="1"/>
    <col min="8" max="8" width="10.88671875" bestFit="1" customWidth="1"/>
    <col min="18" max="18" width="1.88671875" customWidth="1"/>
  </cols>
  <sheetData>
    <row r="1" spans="1:18" ht="9" customHeight="1">
      <c r="A1" s="17"/>
      <c r="B1" s="17"/>
      <c r="C1" s="17"/>
      <c r="D1" s="17"/>
      <c r="E1" s="17"/>
      <c r="F1" s="17"/>
      <c r="G1" s="17"/>
      <c r="H1" s="17"/>
      <c r="I1" s="17"/>
      <c r="J1" s="17"/>
      <c r="K1" s="17"/>
      <c r="L1" s="17"/>
      <c r="M1" s="17"/>
      <c r="N1" s="17"/>
      <c r="O1" s="17"/>
      <c r="P1" s="17"/>
      <c r="Q1" s="17"/>
      <c r="R1" s="17"/>
    </row>
    <row r="2" spans="1:18" ht="54.6" customHeight="1" thickBot="1">
      <c r="A2" s="17"/>
      <c r="B2" s="118" t="s">
        <v>75</v>
      </c>
      <c r="C2" s="118"/>
      <c r="D2" s="118"/>
      <c r="E2" s="118"/>
      <c r="F2" s="118"/>
      <c r="G2" s="118"/>
      <c r="H2" s="118"/>
      <c r="I2" s="118"/>
      <c r="J2" s="118"/>
      <c r="K2" s="118"/>
      <c r="L2" s="118"/>
      <c r="M2" s="118"/>
      <c r="N2" s="118"/>
      <c r="O2" s="118"/>
      <c r="P2" s="118"/>
      <c r="Q2" s="118"/>
      <c r="R2" s="17"/>
    </row>
    <row r="3" spans="1:18" ht="15.6" thickTop="1" thickBot="1">
      <c r="A3" s="17"/>
      <c r="B3" s="39" t="s">
        <v>57</v>
      </c>
      <c r="C3" s="39" t="s">
        <v>56</v>
      </c>
      <c r="D3" s="38"/>
      <c r="E3" s="38"/>
      <c r="F3" s="38"/>
      <c r="G3" s="38"/>
      <c r="H3" s="38"/>
      <c r="I3" s="23"/>
      <c r="J3" s="23"/>
      <c r="K3" s="23"/>
      <c r="L3" s="23"/>
      <c r="M3" s="23"/>
      <c r="N3" s="23"/>
      <c r="O3" s="23"/>
      <c r="P3" s="23"/>
      <c r="Q3" s="23"/>
      <c r="R3" s="17"/>
    </row>
    <row r="4" spans="1:18" ht="16.2" thickTop="1" thickBot="1">
      <c r="A4" s="17"/>
      <c r="B4" s="35" t="s">
        <v>52</v>
      </c>
      <c r="C4" s="65" t="s">
        <v>39</v>
      </c>
      <c r="D4" s="57" t="s">
        <v>41</v>
      </c>
      <c r="E4" s="58" t="s">
        <v>43</v>
      </c>
      <c r="F4" s="59" t="s">
        <v>42</v>
      </c>
      <c r="G4" s="60" t="s">
        <v>40</v>
      </c>
      <c r="H4" s="38" t="s">
        <v>53</v>
      </c>
      <c r="I4" s="23"/>
      <c r="J4" s="23"/>
      <c r="K4" s="23"/>
      <c r="L4" s="23"/>
      <c r="M4" s="23"/>
      <c r="N4" s="23"/>
      <c r="O4" s="23"/>
      <c r="P4" s="23"/>
      <c r="Q4" s="23"/>
      <c r="R4" s="17"/>
    </row>
    <row r="5" spans="1:18" ht="18.600000000000001" thickTop="1" thickBot="1">
      <c r="A5" s="17"/>
      <c r="B5" s="61" t="s">
        <v>45</v>
      </c>
      <c r="C5" s="62">
        <v>278901</v>
      </c>
      <c r="D5" s="62">
        <v>129549</v>
      </c>
      <c r="E5" s="62">
        <v>50646</v>
      </c>
      <c r="F5" s="62">
        <v>121317</v>
      </c>
      <c r="G5" s="62">
        <v>191318</v>
      </c>
      <c r="H5" s="62">
        <v>771731</v>
      </c>
      <c r="I5" s="23"/>
      <c r="J5" s="23"/>
      <c r="K5" s="23"/>
      <c r="L5" s="23"/>
      <c r="M5" s="23"/>
      <c r="N5" s="23"/>
      <c r="O5" s="23"/>
      <c r="P5" s="23"/>
      <c r="Q5" s="23"/>
      <c r="R5" s="17"/>
    </row>
    <row r="6" spans="1:18" ht="15.6" thickTop="1" thickBot="1">
      <c r="A6" s="17"/>
      <c r="B6" s="63" t="s">
        <v>8</v>
      </c>
      <c r="C6" s="64">
        <v>83790</v>
      </c>
      <c r="D6" s="64">
        <v>40198</v>
      </c>
      <c r="E6" s="64">
        <v>16491</v>
      </c>
      <c r="F6" s="64">
        <v>46269</v>
      </c>
      <c r="G6" s="64">
        <v>56933</v>
      </c>
      <c r="H6" s="64">
        <v>243681</v>
      </c>
      <c r="I6" s="23"/>
      <c r="J6" s="23"/>
      <c r="K6" s="23"/>
      <c r="L6" s="23"/>
      <c r="M6" s="23"/>
      <c r="N6" s="23"/>
      <c r="O6" s="23"/>
      <c r="P6" s="23"/>
      <c r="Q6" s="23"/>
      <c r="R6" s="17"/>
    </row>
    <row r="7" spans="1:18" ht="15.6" thickTop="1" thickBot="1">
      <c r="A7" s="17"/>
      <c r="B7" s="63" t="s">
        <v>14</v>
      </c>
      <c r="C7" s="64">
        <v>98154</v>
      </c>
      <c r="D7" s="64">
        <v>47561</v>
      </c>
      <c r="E7" s="64">
        <v>15801</v>
      </c>
      <c r="F7" s="64">
        <v>42612</v>
      </c>
      <c r="G7" s="64">
        <v>72250</v>
      </c>
      <c r="H7" s="64">
        <v>276378</v>
      </c>
      <c r="I7" s="23"/>
      <c r="J7" s="23"/>
      <c r="K7" s="23"/>
      <c r="L7" s="23"/>
      <c r="M7" s="23"/>
      <c r="N7" s="23"/>
      <c r="O7" s="23"/>
      <c r="P7" s="23"/>
      <c r="Q7" s="23"/>
      <c r="R7" s="17"/>
    </row>
    <row r="8" spans="1:18" ht="15.6" thickTop="1" thickBot="1">
      <c r="A8" s="17"/>
      <c r="B8" s="63" t="s">
        <v>25</v>
      </c>
      <c r="C8" s="64">
        <v>96957</v>
      </c>
      <c r="D8" s="64">
        <v>41790</v>
      </c>
      <c r="E8" s="64">
        <v>18354</v>
      </c>
      <c r="F8" s="64">
        <v>32436</v>
      </c>
      <c r="G8" s="64">
        <v>62135</v>
      </c>
      <c r="H8" s="64">
        <v>251672</v>
      </c>
      <c r="I8" s="23"/>
      <c r="J8" s="23"/>
      <c r="K8" s="23"/>
      <c r="L8" s="23"/>
      <c r="M8" s="23"/>
      <c r="N8" s="23"/>
      <c r="O8" s="23"/>
      <c r="P8" s="23"/>
      <c r="Q8" s="23"/>
      <c r="R8" s="17"/>
    </row>
    <row r="9" spans="1:18" ht="18.600000000000001" thickTop="1" thickBot="1">
      <c r="A9" s="17"/>
      <c r="B9" s="61" t="s">
        <v>48</v>
      </c>
      <c r="C9" s="62">
        <v>93366</v>
      </c>
      <c r="D9" s="62">
        <v>39402</v>
      </c>
      <c r="E9" s="62">
        <v>13248</v>
      </c>
      <c r="F9" s="62">
        <v>35775</v>
      </c>
      <c r="G9" s="62">
        <v>49997</v>
      </c>
      <c r="H9" s="62">
        <v>231788</v>
      </c>
      <c r="I9" s="23"/>
      <c r="J9" s="23"/>
      <c r="K9" s="23"/>
      <c r="L9" s="23"/>
      <c r="M9" s="23"/>
      <c r="N9" s="23"/>
      <c r="O9" s="23"/>
      <c r="P9" s="23"/>
      <c r="Q9" s="23"/>
      <c r="R9" s="17"/>
    </row>
    <row r="10" spans="1:18" ht="15.6" thickTop="1" thickBot="1">
      <c r="A10" s="17"/>
      <c r="B10" s="63" t="s">
        <v>27</v>
      </c>
      <c r="C10" s="64">
        <v>93366</v>
      </c>
      <c r="D10" s="64">
        <v>39402</v>
      </c>
      <c r="E10" s="64">
        <v>13248</v>
      </c>
      <c r="F10" s="64">
        <v>35775</v>
      </c>
      <c r="G10" s="64">
        <v>49997</v>
      </c>
      <c r="H10" s="64">
        <v>231788</v>
      </c>
      <c r="I10" s="23"/>
      <c r="J10" s="23"/>
      <c r="K10" s="23"/>
      <c r="L10" s="23"/>
      <c r="M10" s="23"/>
      <c r="N10" s="23"/>
      <c r="O10" s="23"/>
      <c r="P10" s="23"/>
      <c r="Q10" s="23"/>
      <c r="R10" s="17"/>
    </row>
    <row r="11" spans="1:18" ht="18.600000000000001" thickTop="1" thickBot="1">
      <c r="A11" s="17"/>
      <c r="B11" s="61" t="s">
        <v>47</v>
      </c>
      <c r="C11" s="62">
        <v>178752</v>
      </c>
      <c r="D11" s="62">
        <v>101291</v>
      </c>
      <c r="E11" s="62">
        <v>31326</v>
      </c>
      <c r="F11" s="62">
        <v>61215</v>
      </c>
      <c r="G11" s="62">
        <v>134963</v>
      </c>
      <c r="H11" s="62">
        <v>507547</v>
      </c>
      <c r="I11" s="23"/>
      <c r="J11" s="23"/>
      <c r="K11" s="23"/>
      <c r="L11" s="23"/>
      <c r="M11" s="23"/>
      <c r="N11" s="23"/>
      <c r="O11" s="23"/>
      <c r="P11" s="23"/>
      <c r="Q11" s="23"/>
      <c r="R11" s="17"/>
    </row>
    <row r="12" spans="1:18" ht="15.6" thickTop="1" thickBot="1">
      <c r="A12" s="17"/>
      <c r="B12" s="63" t="s">
        <v>21</v>
      </c>
      <c r="C12" s="64">
        <v>82593</v>
      </c>
      <c r="D12" s="64">
        <v>56914</v>
      </c>
      <c r="E12" s="64">
        <v>17664</v>
      </c>
      <c r="F12" s="64">
        <v>25758</v>
      </c>
      <c r="G12" s="64">
        <v>72828</v>
      </c>
      <c r="H12" s="64">
        <v>255757</v>
      </c>
      <c r="I12" s="23"/>
      <c r="J12" s="23"/>
      <c r="K12" s="23"/>
      <c r="L12" s="23"/>
      <c r="M12" s="23"/>
      <c r="N12" s="23"/>
      <c r="O12" s="23"/>
      <c r="P12" s="23"/>
      <c r="Q12" s="23"/>
      <c r="R12" s="17"/>
    </row>
    <row r="13" spans="1:18" ht="15.6" thickTop="1" thickBot="1">
      <c r="A13" s="17"/>
      <c r="B13" s="63" t="s">
        <v>18</v>
      </c>
      <c r="C13" s="64">
        <v>96159</v>
      </c>
      <c r="D13" s="64">
        <v>44377</v>
      </c>
      <c r="E13" s="64">
        <v>13662</v>
      </c>
      <c r="F13" s="64">
        <v>35457</v>
      </c>
      <c r="G13" s="64">
        <v>62135</v>
      </c>
      <c r="H13" s="64">
        <v>251790</v>
      </c>
      <c r="I13" s="23"/>
      <c r="J13" s="23"/>
      <c r="K13" s="23"/>
      <c r="L13" s="23"/>
      <c r="M13" s="23"/>
      <c r="N13" s="23"/>
      <c r="O13" s="23"/>
      <c r="P13" s="23"/>
      <c r="Q13" s="23"/>
      <c r="R13" s="17"/>
    </row>
    <row r="14" spans="1:18" ht="18.600000000000001" thickTop="1" thickBot="1">
      <c r="A14" s="17"/>
      <c r="B14" s="61" t="s">
        <v>46</v>
      </c>
      <c r="C14" s="62">
        <v>185934</v>
      </c>
      <c r="D14" s="62">
        <v>95520</v>
      </c>
      <c r="E14" s="62">
        <v>29670</v>
      </c>
      <c r="F14" s="62">
        <v>82998</v>
      </c>
      <c r="G14" s="62">
        <v>123403</v>
      </c>
      <c r="H14" s="62">
        <v>517525</v>
      </c>
      <c r="I14" s="23"/>
      <c r="J14" s="23"/>
      <c r="K14" s="23"/>
      <c r="L14" s="23"/>
      <c r="M14" s="23"/>
      <c r="N14" s="23"/>
      <c r="O14" s="23"/>
      <c r="P14" s="23"/>
      <c r="Q14" s="23"/>
      <c r="R14" s="17"/>
    </row>
    <row r="15" spans="1:18" ht="15.6" thickTop="1" thickBot="1">
      <c r="A15" s="17"/>
      <c r="B15" s="63" t="s">
        <v>24</v>
      </c>
      <c r="C15" s="64">
        <v>84987</v>
      </c>
      <c r="D15" s="64">
        <v>40994</v>
      </c>
      <c r="E15" s="64">
        <v>15249</v>
      </c>
      <c r="F15" s="64">
        <v>42453</v>
      </c>
      <c r="G15" s="64">
        <v>57511</v>
      </c>
      <c r="H15" s="64">
        <v>241194</v>
      </c>
      <c r="I15" s="23"/>
      <c r="J15" s="23"/>
      <c r="K15" s="23"/>
      <c r="L15" s="23"/>
      <c r="M15" s="23"/>
      <c r="N15" s="23"/>
      <c r="O15" s="23"/>
      <c r="P15" s="23"/>
      <c r="Q15" s="23"/>
      <c r="R15" s="17"/>
    </row>
    <row r="16" spans="1:18" ht="15.6" thickTop="1" thickBot="1">
      <c r="A16" s="17"/>
      <c r="B16" s="63" t="s">
        <v>11</v>
      </c>
      <c r="C16" s="64">
        <v>100947</v>
      </c>
      <c r="D16" s="64">
        <v>54526</v>
      </c>
      <c r="E16" s="64">
        <v>14421</v>
      </c>
      <c r="F16" s="64">
        <v>40545</v>
      </c>
      <c r="G16" s="64">
        <v>65892</v>
      </c>
      <c r="H16" s="64">
        <v>276331</v>
      </c>
      <c r="I16" s="23"/>
      <c r="J16" s="23"/>
      <c r="K16" s="23"/>
      <c r="L16" s="23"/>
      <c r="M16" s="23"/>
      <c r="N16" s="23"/>
      <c r="O16" s="23"/>
      <c r="P16" s="23"/>
      <c r="Q16" s="23"/>
      <c r="R16" s="17"/>
    </row>
    <row r="17" spans="1:18" ht="18.600000000000001" thickTop="1" thickBot="1">
      <c r="A17" s="17"/>
      <c r="B17" s="36" t="s">
        <v>53</v>
      </c>
      <c r="C17" s="37">
        <v>736953</v>
      </c>
      <c r="D17" s="37">
        <v>365762</v>
      </c>
      <c r="E17" s="37">
        <v>124890</v>
      </c>
      <c r="F17" s="37">
        <v>301305</v>
      </c>
      <c r="G17" s="37">
        <v>499681</v>
      </c>
      <c r="H17" s="37">
        <v>2028591</v>
      </c>
      <c r="I17" s="23"/>
      <c r="J17" s="23"/>
      <c r="K17" s="23"/>
      <c r="L17" s="23"/>
      <c r="M17" s="23"/>
      <c r="N17" s="23"/>
      <c r="O17" s="23"/>
      <c r="P17" s="23"/>
      <c r="Q17" s="23"/>
      <c r="R17" s="17"/>
    </row>
    <row r="18" spans="1:18" ht="9" customHeight="1" thickTop="1">
      <c r="A18" s="17"/>
      <c r="B18" s="17"/>
      <c r="C18" s="17"/>
      <c r="D18" s="17"/>
      <c r="E18" s="17"/>
      <c r="F18" s="17"/>
      <c r="G18" s="17"/>
      <c r="H18" s="17"/>
      <c r="I18" s="17"/>
      <c r="J18" s="17"/>
      <c r="K18" s="17"/>
      <c r="L18" s="17"/>
      <c r="M18" s="17"/>
      <c r="N18" s="17"/>
      <c r="O18" s="17"/>
      <c r="P18" s="17"/>
      <c r="Q18" s="17"/>
      <c r="R18" s="17"/>
    </row>
    <row r="19" spans="1:18" ht="15.6" thickTop="1" thickBot="1"/>
    <row r="20" spans="1:18" ht="15.6" thickTop="1" thickBot="1"/>
    <row r="21" spans="1:18" ht="15.6" thickTop="1" thickBot="1"/>
    <row r="22" spans="1:18" ht="15.6" thickTop="1" thickBot="1"/>
    <row r="23" spans="1:18" ht="15.6" thickTop="1" thickBot="1"/>
    <row r="24" spans="1:18" ht="15.6" thickTop="1" thickBot="1"/>
    <row r="25" spans="1:18" ht="15.6" thickTop="1" thickBot="1"/>
    <row r="26" spans="1:18" ht="15.6" thickTop="1" thickBot="1"/>
    <row r="27" spans="1:18" ht="15.6" thickTop="1" thickBot="1"/>
    <row r="28" spans="1:18" ht="15.6" thickTop="1" thickBot="1"/>
    <row r="29" spans="1:18" ht="15.6" thickTop="1" thickBot="1"/>
    <row r="30" spans="1:18" ht="15.6" thickTop="1" thickBot="1"/>
    <row r="31" spans="1:18" ht="15.6" thickTop="1" thickBot="1"/>
    <row r="32" spans="1:18" ht="15.6" thickTop="1" thickBot="1"/>
    <row r="33" ht="15.6" thickTop="1" thickBot="1"/>
    <row r="34" ht="15.6" thickTop="1" thickBot="1"/>
    <row r="35" ht="15.6" thickTop="1" thickBot="1"/>
    <row r="36" ht="15.6" thickTop="1" thickBot="1"/>
    <row r="37" ht="15.6" thickTop="1" thickBot="1"/>
    <row r="38" ht="15.6" thickTop="1" thickBot="1"/>
    <row r="39" ht="15.6" thickTop="1" thickBot="1"/>
    <row r="40" ht="15.6" thickTop="1" thickBot="1"/>
    <row r="41" ht="15.6" thickTop="1" thickBot="1"/>
    <row r="42" ht="15.6" thickTop="1" thickBot="1"/>
    <row r="43" ht="15.6" thickTop="1" thickBot="1"/>
    <row r="44" ht="15.6" thickTop="1" thickBot="1"/>
    <row r="45" ht="15.6" thickTop="1" thickBot="1"/>
    <row r="46" ht="15.6" thickTop="1" thickBot="1"/>
    <row r="47" ht="15.6" thickTop="1" thickBot="1"/>
    <row r="48" ht="15.6" thickTop="1" thickBot="1"/>
    <row r="49" ht="15.6" thickTop="1" thickBot="1"/>
    <row r="50" ht="15.6" thickTop="1" thickBot="1"/>
    <row r="51" ht="15.6" thickTop="1" thickBot="1"/>
    <row r="52" ht="15.6" thickTop="1" thickBot="1"/>
    <row r="53" ht="15.6" thickTop="1" thickBot="1"/>
    <row r="54" ht="15.6" thickTop="1" thickBot="1"/>
    <row r="55" ht="15.6" thickTop="1" thickBot="1"/>
    <row r="56" ht="15.6" thickTop="1" thickBot="1"/>
    <row r="57" ht="15" thickTop="1"/>
  </sheetData>
  <mergeCells count="1">
    <mergeCell ref="B2:Q2"/>
  </mergeCells>
  <conditionalFormatting pivot="1" sqref="C6:G6">
    <cfRule type="colorScale" priority="8">
      <colorScale>
        <cfvo type="min"/>
        <cfvo type="percentile" val="50"/>
        <cfvo type="max"/>
        <color rgb="FFF8696B"/>
        <color rgb="FFFFEB84"/>
        <color rgb="FF63BE7B"/>
      </colorScale>
    </cfRule>
  </conditionalFormatting>
  <conditionalFormatting pivot="1" sqref="C7:G7">
    <cfRule type="colorScale" priority="7">
      <colorScale>
        <cfvo type="min"/>
        <cfvo type="percentile" val="50"/>
        <cfvo type="max"/>
        <color rgb="FFF8696B"/>
        <color rgb="FFFFEB84"/>
        <color rgb="FF63BE7B"/>
      </colorScale>
    </cfRule>
  </conditionalFormatting>
  <conditionalFormatting pivot="1" sqref="C8:G8">
    <cfRule type="colorScale" priority="6">
      <colorScale>
        <cfvo type="min"/>
        <cfvo type="percentile" val="50"/>
        <cfvo type="max"/>
        <color rgb="FFF8696B"/>
        <color rgb="FFFFEB84"/>
        <color rgb="FF63BE7B"/>
      </colorScale>
    </cfRule>
  </conditionalFormatting>
  <conditionalFormatting pivot="1" sqref="C10:G10">
    <cfRule type="colorScale" priority="5">
      <colorScale>
        <cfvo type="min"/>
        <cfvo type="percentile" val="50"/>
        <cfvo type="max"/>
        <color rgb="FFF8696B"/>
        <color rgb="FFFFEB84"/>
        <color rgb="FF63BE7B"/>
      </colorScale>
    </cfRule>
  </conditionalFormatting>
  <conditionalFormatting pivot="1" sqref="C12:G12">
    <cfRule type="colorScale" priority="4">
      <colorScale>
        <cfvo type="min"/>
        <cfvo type="percentile" val="50"/>
        <cfvo type="max"/>
        <color rgb="FFF8696B"/>
        <color rgb="FFFFEB84"/>
        <color rgb="FF63BE7B"/>
      </colorScale>
    </cfRule>
  </conditionalFormatting>
  <conditionalFormatting pivot="1" sqref="C13:G13">
    <cfRule type="colorScale" priority="3">
      <colorScale>
        <cfvo type="min"/>
        <cfvo type="percentile" val="50"/>
        <cfvo type="max"/>
        <color rgb="FFF8696B"/>
        <color rgb="FFFFEB84"/>
        <color rgb="FF63BE7B"/>
      </colorScale>
    </cfRule>
  </conditionalFormatting>
  <conditionalFormatting pivot="1" sqref="C15:G15">
    <cfRule type="colorScale" priority="2">
      <colorScale>
        <cfvo type="min"/>
        <cfvo type="percentile" val="50"/>
        <cfvo type="max"/>
        <color rgb="FFF8696B"/>
        <color rgb="FFFFEB84"/>
        <color rgb="FF63BE7B"/>
      </colorScale>
    </cfRule>
  </conditionalFormatting>
  <conditionalFormatting pivot="1" sqref="C16:G1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72EFB-5553-460A-9900-E13684B7A1D8}">
  <dimension ref="A1:L2001"/>
  <sheetViews>
    <sheetView zoomScale="135" zoomScaleNormal="130" workbookViewId="0">
      <selection activeCell="G8" sqref="G8"/>
    </sheetView>
  </sheetViews>
  <sheetFormatPr defaultRowHeight="14.4"/>
  <cols>
    <col min="1" max="1" width="10.44140625" style="89" bestFit="1" customWidth="1"/>
    <col min="2" max="2" width="14.21875" style="102" bestFit="1" customWidth="1"/>
    <col min="3" max="3" width="14.6640625" style="2" bestFit="1" customWidth="1"/>
    <col min="4" max="4" width="18.77734375" style="40" bestFit="1" customWidth="1"/>
    <col min="5" max="5" width="16.44140625" bestFit="1" customWidth="1"/>
    <col min="6" max="6" width="11.6640625" bestFit="1" customWidth="1"/>
    <col min="7" max="7" width="11.33203125" bestFit="1" customWidth="1"/>
    <col min="8" max="8" width="10.44140625" bestFit="1" customWidth="1"/>
    <col min="9" max="9" width="7.109375" bestFit="1" customWidth="1"/>
    <col min="10" max="10" width="11.5546875" bestFit="1" customWidth="1"/>
    <col min="11" max="11" width="10.5546875" bestFit="1" customWidth="1"/>
    <col min="12" max="12" width="11.77734375" bestFit="1" customWidth="1"/>
  </cols>
  <sheetData>
    <row r="1" spans="1:12" s="93" customFormat="1" ht="16.2">
      <c r="A1" s="98" t="s">
        <v>0</v>
      </c>
      <c r="B1" s="100" t="s">
        <v>50</v>
      </c>
      <c r="C1" s="94" t="s">
        <v>1</v>
      </c>
      <c r="D1" s="103" t="s">
        <v>2</v>
      </c>
      <c r="E1" s="95" t="s">
        <v>3</v>
      </c>
      <c r="F1" s="95" t="s">
        <v>44</v>
      </c>
      <c r="G1" s="95" t="s">
        <v>4</v>
      </c>
      <c r="H1" s="95" t="s">
        <v>78</v>
      </c>
      <c r="I1" s="95" t="s">
        <v>5</v>
      </c>
      <c r="J1" s="95" t="s">
        <v>6</v>
      </c>
      <c r="K1" s="95" t="s">
        <v>51</v>
      </c>
      <c r="L1" s="95" t="s">
        <v>73</v>
      </c>
    </row>
    <row r="2" spans="1:12">
      <c r="A2" s="99">
        <v>9</v>
      </c>
      <c r="B2" s="101">
        <v>44201</v>
      </c>
      <c r="C2" s="96">
        <v>20</v>
      </c>
      <c r="D2" s="104" t="s">
        <v>7</v>
      </c>
      <c r="E2" s="97" t="s">
        <v>8</v>
      </c>
      <c r="F2" s="97" t="str">
        <f>VLOOKUP(E2,Emp_Data!$B$2:$C$9,2,)</f>
        <v>Jeff</v>
      </c>
      <c r="G2" s="97" t="s">
        <v>9</v>
      </c>
      <c r="H2" s="97" t="s">
        <v>39</v>
      </c>
      <c r="I2" s="97">
        <v>399</v>
      </c>
      <c r="J2" s="97">
        <v>5</v>
      </c>
      <c r="K2" s="97">
        <f>SUMPRODUCT(I2,J2)</f>
        <v>1995</v>
      </c>
      <c r="L2" s="97">
        <f>_xlfn.XLOOKUP(E2,Emp_Data!$B$2:$B$9,Emp_Data!$A$2:$A$9)</f>
        <v>3</v>
      </c>
    </row>
    <row r="3" spans="1:12">
      <c r="A3" s="99">
        <v>12</v>
      </c>
      <c r="B3" s="101">
        <v>44201</v>
      </c>
      <c r="C3" s="96">
        <v>6</v>
      </c>
      <c r="D3" s="104" t="s">
        <v>10</v>
      </c>
      <c r="E3" s="97" t="s">
        <v>11</v>
      </c>
      <c r="F3" s="97" t="str">
        <f>VLOOKUP(E3,Emp_Data!$B$2:$C$9,2,)</f>
        <v>Steve</v>
      </c>
      <c r="G3" s="97" t="s">
        <v>12</v>
      </c>
      <c r="H3" s="97" t="s">
        <v>39</v>
      </c>
      <c r="I3" s="97">
        <v>399</v>
      </c>
      <c r="J3" s="97">
        <v>6</v>
      </c>
      <c r="K3" s="97">
        <f t="shared" ref="K3:K66" si="0">SUMPRODUCT(I3,J3)</f>
        <v>2394</v>
      </c>
      <c r="L3" s="97">
        <f>_xlfn.XLOOKUP(E3,Emp_Data!$B$2:$B$9,Emp_Data!$A$2:$A$9)</f>
        <v>4</v>
      </c>
    </row>
    <row r="4" spans="1:12">
      <c r="A4" s="99">
        <v>14</v>
      </c>
      <c r="B4" s="101">
        <v>44201</v>
      </c>
      <c r="C4" s="96">
        <v>4</v>
      </c>
      <c r="D4" s="104" t="s">
        <v>13</v>
      </c>
      <c r="E4" s="97" t="s">
        <v>14</v>
      </c>
      <c r="F4" s="97" t="str">
        <f>VLOOKUP(E4,Emp_Data!$B$2:$C$9,2,)</f>
        <v>Jeff</v>
      </c>
      <c r="G4" s="97" t="s">
        <v>15</v>
      </c>
      <c r="H4" s="97" t="s">
        <v>39</v>
      </c>
      <c r="I4" s="97">
        <v>399</v>
      </c>
      <c r="J4" s="97">
        <v>4</v>
      </c>
      <c r="K4" s="97">
        <f t="shared" si="0"/>
        <v>1596</v>
      </c>
      <c r="L4" s="97">
        <f>_xlfn.XLOOKUP(E4,Emp_Data!$B$2:$B$9,Emp_Data!$A$2:$A$9)</f>
        <v>2</v>
      </c>
    </row>
    <row r="5" spans="1:12">
      <c r="A5" s="99">
        <v>20</v>
      </c>
      <c r="B5" s="101">
        <v>44203</v>
      </c>
      <c r="C5" s="96">
        <v>5</v>
      </c>
      <c r="D5" s="104" t="s">
        <v>16</v>
      </c>
      <c r="E5" s="97" t="s">
        <v>14</v>
      </c>
      <c r="F5" s="97" t="str">
        <f>VLOOKUP(E5,Emp_Data!$B$2:$C$9,2,)</f>
        <v>Jeff</v>
      </c>
      <c r="G5" s="97" t="s">
        <v>15</v>
      </c>
      <c r="H5" s="97" t="s">
        <v>39</v>
      </c>
      <c r="I5" s="97">
        <v>399</v>
      </c>
      <c r="J5" s="97">
        <v>3</v>
      </c>
      <c r="K5" s="97">
        <f t="shared" si="0"/>
        <v>1197</v>
      </c>
      <c r="L5" s="97">
        <f>_xlfn.XLOOKUP(E5,Emp_Data!$B$2:$B$9,Emp_Data!$A$2:$A$9)</f>
        <v>2</v>
      </c>
    </row>
    <row r="6" spans="1:12">
      <c r="A6" s="99">
        <v>24</v>
      </c>
      <c r="B6" s="101">
        <v>44203</v>
      </c>
      <c r="C6" s="96">
        <v>12</v>
      </c>
      <c r="D6" s="104" t="s">
        <v>17</v>
      </c>
      <c r="E6" s="97" t="s">
        <v>18</v>
      </c>
      <c r="F6" s="97" t="str">
        <f>VLOOKUP(E6,Emp_Data!$B$2:$C$9,2,)</f>
        <v>Sara</v>
      </c>
      <c r="G6" s="97" t="s">
        <v>19</v>
      </c>
      <c r="H6" s="97" t="s">
        <v>39</v>
      </c>
      <c r="I6" s="97">
        <v>399</v>
      </c>
      <c r="J6" s="97">
        <v>2</v>
      </c>
      <c r="K6" s="97">
        <f t="shared" si="0"/>
        <v>798</v>
      </c>
      <c r="L6" s="97">
        <f>_xlfn.XLOOKUP(E6,Emp_Data!$B$2:$B$9,Emp_Data!$A$2:$A$9)</f>
        <v>5</v>
      </c>
    </row>
    <row r="7" spans="1:12">
      <c r="A7" s="99">
        <v>25</v>
      </c>
      <c r="B7" s="101">
        <v>44204</v>
      </c>
      <c r="C7" s="96">
        <v>3</v>
      </c>
      <c r="D7" s="104" t="s">
        <v>20</v>
      </c>
      <c r="E7" s="97" t="s">
        <v>21</v>
      </c>
      <c r="F7" s="97" t="str">
        <f>VLOOKUP(E7,Emp_Data!$B$2:$C$9,2,)</f>
        <v>Sara</v>
      </c>
      <c r="G7" s="97" t="s">
        <v>15</v>
      </c>
      <c r="H7" s="97" t="s">
        <v>39</v>
      </c>
      <c r="I7" s="97">
        <v>399</v>
      </c>
      <c r="J7" s="97">
        <v>0</v>
      </c>
      <c r="K7" s="97">
        <f t="shared" si="0"/>
        <v>0</v>
      </c>
      <c r="L7" s="97">
        <f>_xlfn.XLOOKUP(E7,Emp_Data!$B$2:$B$9,Emp_Data!$A$2:$A$9)</f>
        <v>2</v>
      </c>
    </row>
    <row r="8" spans="1:12">
      <c r="A8" s="99">
        <v>28</v>
      </c>
      <c r="B8" s="101">
        <v>44204</v>
      </c>
      <c r="C8" s="96">
        <v>19</v>
      </c>
      <c r="D8" s="104" t="s">
        <v>22</v>
      </c>
      <c r="E8" s="97" t="s">
        <v>8</v>
      </c>
      <c r="F8" s="97" t="str">
        <f>VLOOKUP(E8,Emp_Data!$B$2:$C$9,2,)</f>
        <v>Jeff</v>
      </c>
      <c r="G8" s="97" t="s">
        <v>9</v>
      </c>
      <c r="H8" s="97" t="s">
        <v>39</v>
      </c>
      <c r="I8" s="97">
        <v>399</v>
      </c>
      <c r="J8" s="97">
        <v>7</v>
      </c>
      <c r="K8" s="97">
        <f t="shared" si="0"/>
        <v>2793</v>
      </c>
      <c r="L8" s="97">
        <f>_xlfn.XLOOKUP(E8,Emp_Data!$B$2:$B$9,Emp_Data!$A$2:$A$9)</f>
        <v>3</v>
      </c>
    </row>
    <row r="9" spans="1:12">
      <c r="A9" s="99">
        <v>32</v>
      </c>
      <c r="B9" s="101">
        <v>44205</v>
      </c>
      <c r="C9" s="96">
        <v>6</v>
      </c>
      <c r="D9" s="104" t="s">
        <v>10</v>
      </c>
      <c r="E9" s="97" t="s">
        <v>11</v>
      </c>
      <c r="F9" s="97" t="str">
        <f>VLOOKUP(E9,Emp_Data!$B$2:$C$9,2,)</f>
        <v>Steve</v>
      </c>
      <c r="G9" s="97" t="s">
        <v>12</v>
      </c>
      <c r="H9" s="97" t="s">
        <v>39</v>
      </c>
      <c r="I9" s="97">
        <v>399</v>
      </c>
      <c r="J9" s="97">
        <v>3</v>
      </c>
      <c r="K9" s="97">
        <f t="shared" si="0"/>
        <v>1197</v>
      </c>
      <c r="L9" s="97">
        <f>_xlfn.XLOOKUP(E9,Emp_Data!$B$2:$B$9,Emp_Data!$A$2:$A$9)</f>
        <v>4</v>
      </c>
    </row>
    <row r="10" spans="1:12">
      <c r="A10" s="99">
        <v>37</v>
      </c>
      <c r="B10" s="101">
        <v>44207</v>
      </c>
      <c r="C10" s="96">
        <v>13</v>
      </c>
      <c r="D10" s="104" t="s">
        <v>23</v>
      </c>
      <c r="E10" s="97" t="s">
        <v>24</v>
      </c>
      <c r="F10" s="97" t="str">
        <f>VLOOKUP(E10,Emp_Data!$B$2:$C$9,2,)</f>
        <v>Steve</v>
      </c>
      <c r="G10" s="97" t="s">
        <v>19</v>
      </c>
      <c r="H10" s="97" t="s">
        <v>39</v>
      </c>
      <c r="I10" s="97">
        <v>399</v>
      </c>
      <c r="J10" s="97">
        <v>4</v>
      </c>
      <c r="K10" s="97">
        <f t="shared" si="0"/>
        <v>1596</v>
      </c>
      <c r="L10" s="97">
        <f>_xlfn.XLOOKUP(E10,Emp_Data!$B$2:$B$9,Emp_Data!$A$2:$A$9)</f>
        <v>6</v>
      </c>
    </row>
    <row r="11" spans="1:12">
      <c r="A11" s="99">
        <v>38</v>
      </c>
      <c r="B11" s="101">
        <v>44208</v>
      </c>
      <c r="C11" s="96">
        <v>20</v>
      </c>
      <c r="D11" s="104" t="s">
        <v>7</v>
      </c>
      <c r="E11" s="97" t="s">
        <v>25</v>
      </c>
      <c r="F11" s="97" t="str">
        <f>VLOOKUP(E11,Emp_Data!$B$2:$C$9,2,)</f>
        <v>Jeff</v>
      </c>
      <c r="G11" s="97" t="s">
        <v>9</v>
      </c>
      <c r="H11" s="97" t="s">
        <v>39</v>
      </c>
      <c r="I11" s="97">
        <v>399</v>
      </c>
      <c r="J11" s="97">
        <v>3</v>
      </c>
      <c r="K11" s="97">
        <f t="shared" si="0"/>
        <v>1197</v>
      </c>
      <c r="L11" s="97">
        <f>_xlfn.XLOOKUP(E11,Emp_Data!$B$2:$B$9,Emp_Data!$A$2:$A$9)</f>
        <v>5</v>
      </c>
    </row>
    <row r="12" spans="1:12">
      <c r="A12" s="99">
        <v>41</v>
      </c>
      <c r="B12" s="101">
        <v>44209</v>
      </c>
      <c r="C12" s="96">
        <v>9</v>
      </c>
      <c r="D12" s="104" t="s">
        <v>26</v>
      </c>
      <c r="E12" s="97" t="s">
        <v>27</v>
      </c>
      <c r="F12" s="97" t="str">
        <f>VLOOKUP(E12,Emp_Data!$B$2:$C$9,2,)</f>
        <v>Philip</v>
      </c>
      <c r="G12" s="97" t="s">
        <v>12</v>
      </c>
      <c r="H12" s="97" t="s">
        <v>39</v>
      </c>
      <c r="I12" s="97">
        <v>399</v>
      </c>
      <c r="J12" s="97">
        <v>4</v>
      </c>
      <c r="K12" s="97">
        <f t="shared" si="0"/>
        <v>1596</v>
      </c>
      <c r="L12" s="97">
        <f>_xlfn.XLOOKUP(E12,Emp_Data!$B$2:$B$9,Emp_Data!$A$2:$A$9)</f>
        <v>8</v>
      </c>
    </row>
    <row r="13" spans="1:12">
      <c r="A13" s="99">
        <v>44</v>
      </c>
      <c r="B13" s="101">
        <v>44209</v>
      </c>
      <c r="C13" s="96">
        <v>7</v>
      </c>
      <c r="D13" s="104" t="s">
        <v>28</v>
      </c>
      <c r="E13" s="97" t="s">
        <v>11</v>
      </c>
      <c r="F13" s="97" t="str">
        <f>VLOOKUP(E13,Emp_Data!$B$2:$C$9,2,)</f>
        <v>Steve</v>
      </c>
      <c r="G13" s="97" t="s">
        <v>12</v>
      </c>
      <c r="H13" s="97" t="s">
        <v>39</v>
      </c>
      <c r="I13" s="97">
        <v>399</v>
      </c>
      <c r="J13" s="97">
        <v>5</v>
      </c>
      <c r="K13" s="97">
        <f t="shared" si="0"/>
        <v>1995</v>
      </c>
      <c r="L13" s="97">
        <f>_xlfn.XLOOKUP(E13,Emp_Data!$B$2:$B$9,Emp_Data!$A$2:$A$9)</f>
        <v>4</v>
      </c>
    </row>
    <row r="14" spans="1:12">
      <c r="A14" s="99">
        <v>51</v>
      </c>
      <c r="B14" s="101">
        <v>44209</v>
      </c>
      <c r="C14" s="96">
        <v>19</v>
      </c>
      <c r="D14" s="104" t="s">
        <v>22</v>
      </c>
      <c r="E14" s="97" t="s">
        <v>8</v>
      </c>
      <c r="F14" s="97" t="str">
        <f>VLOOKUP(E14,Emp_Data!$B$2:$C$9,2,)</f>
        <v>Jeff</v>
      </c>
      <c r="G14" s="97" t="s">
        <v>9</v>
      </c>
      <c r="H14" s="97" t="s">
        <v>39</v>
      </c>
      <c r="I14" s="97">
        <v>399</v>
      </c>
      <c r="J14" s="97">
        <v>6</v>
      </c>
      <c r="K14" s="97">
        <f t="shared" si="0"/>
        <v>2394</v>
      </c>
      <c r="L14" s="97">
        <f>_xlfn.XLOOKUP(E14,Emp_Data!$B$2:$B$9,Emp_Data!$A$2:$A$9)</f>
        <v>3</v>
      </c>
    </row>
    <row r="15" spans="1:12">
      <c r="A15" s="99">
        <v>55</v>
      </c>
      <c r="B15" s="101">
        <v>44211</v>
      </c>
      <c r="C15" s="96">
        <v>7</v>
      </c>
      <c r="D15" s="104" t="s">
        <v>28</v>
      </c>
      <c r="E15" s="97" t="s">
        <v>11</v>
      </c>
      <c r="F15" s="97" t="str">
        <f>VLOOKUP(E15,Emp_Data!$B$2:$C$9,2,)</f>
        <v>Steve</v>
      </c>
      <c r="G15" s="97" t="s">
        <v>12</v>
      </c>
      <c r="H15" s="97" t="s">
        <v>39</v>
      </c>
      <c r="I15" s="97">
        <v>399</v>
      </c>
      <c r="J15" s="97">
        <v>0</v>
      </c>
      <c r="K15" s="97">
        <f t="shared" si="0"/>
        <v>0</v>
      </c>
      <c r="L15" s="97">
        <f>_xlfn.XLOOKUP(E15,Emp_Data!$B$2:$B$9,Emp_Data!$A$2:$A$9)</f>
        <v>4</v>
      </c>
    </row>
    <row r="16" spans="1:12">
      <c r="A16" s="99">
        <v>59</v>
      </c>
      <c r="B16" s="101">
        <v>44211</v>
      </c>
      <c r="C16" s="96">
        <v>9</v>
      </c>
      <c r="D16" s="104" t="s">
        <v>26</v>
      </c>
      <c r="E16" s="97" t="s">
        <v>27</v>
      </c>
      <c r="F16" s="97" t="str">
        <f>VLOOKUP(E16,Emp_Data!$B$2:$C$9,2,)</f>
        <v>Philip</v>
      </c>
      <c r="G16" s="97" t="s">
        <v>12</v>
      </c>
      <c r="H16" s="97" t="s">
        <v>39</v>
      </c>
      <c r="I16" s="97">
        <v>399</v>
      </c>
      <c r="J16" s="97">
        <v>7</v>
      </c>
      <c r="K16" s="97">
        <f t="shared" si="0"/>
        <v>2793</v>
      </c>
      <c r="L16" s="97">
        <f>_xlfn.XLOOKUP(E16,Emp_Data!$B$2:$B$9,Emp_Data!$A$2:$A$9)</f>
        <v>8</v>
      </c>
    </row>
    <row r="17" spans="1:12">
      <c r="A17" s="99">
        <v>64</v>
      </c>
      <c r="B17" s="101">
        <v>44214</v>
      </c>
      <c r="C17" s="96">
        <v>9</v>
      </c>
      <c r="D17" s="104" t="s">
        <v>26</v>
      </c>
      <c r="E17" s="97" t="s">
        <v>11</v>
      </c>
      <c r="F17" s="97" t="str">
        <f>VLOOKUP(E17,Emp_Data!$B$2:$C$9,2,)</f>
        <v>Steve</v>
      </c>
      <c r="G17" s="97" t="s">
        <v>12</v>
      </c>
      <c r="H17" s="97" t="s">
        <v>39</v>
      </c>
      <c r="I17" s="97">
        <v>399</v>
      </c>
      <c r="J17" s="97">
        <v>1</v>
      </c>
      <c r="K17" s="97">
        <f t="shared" si="0"/>
        <v>399</v>
      </c>
      <c r="L17" s="97">
        <f>_xlfn.XLOOKUP(E17,Emp_Data!$B$2:$B$9,Emp_Data!$A$2:$A$9)</f>
        <v>4</v>
      </c>
    </row>
    <row r="18" spans="1:12">
      <c r="A18" s="99">
        <v>72</v>
      </c>
      <c r="B18" s="101">
        <v>44218</v>
      </c>
      <c r="C18" s="96">
        <v>15</v>
      </c>
      <c r="D18" s="104" t="s">
        <v>29</v>
      </c>
      <c r="E18" s="97" t="s">
        <v>24</v>
      </c>
      <c r="F18" s="97" t="str">
        <f>VLOOKUP(E18,Emp_Data!$B$2:$C$9,2,)</f>
        <v>Steve</v>
      </c>
      <c r="G18" s="97" t="s">
        <v>19</v>
      </c>
      <c r="H18" s="97" t="s">
        <v>39</v>
      </c>
      <c r="I18" s="97">
        <v>399</v>
      </c>
      <c r="J18" s="97">
        <v>4</v>
      </c>
      <c r="K18" s="97">
        <f t="shared" si="0"/>
        <v>1596</v>
      </c>
      <c r="L18" s="97">
        <f>_xlfn.XLOOKUP(E18,Emp_Data!$B$2:$B$9,Emp_Data!$A$2:$A$9)</f>
        <v>6</v>
      </c>
    </row>
    <row r="19" spans="1:12">
      <c r="A19" s="99">
        <v>81</v>
      </c>
      <c r="B19" s="101">
        <v>44220</v>
      </c>
      <c r="C19" s="96">
        <v>7</v>
      </c>
      <c r="D19" s="104" t="s">
        <v>28</v>
      </c>
      <c r="E19" s="97" t="s">
        <v>11</v>
      </c>
      <c r="F19" s="97" t="str">
        <f>VLOOKUP(E19,Emp_Data!$B$2:$C$9,2,)</f>
        <v>Steve</v>
      </c>
      <c r="G19" s="97" t="s">
        <v>12</v>
      </c>
      <c r="H19" s="97" t="s">
        <v>39</v>
      </c>
      <c r="I19" s="97">
        <v>399</v>
      </c>
      <c r="J19" s="97">
        <v>6</v>
      </c>
      <c r="K19" s="97">
        <f t="shared" si="0"/>
        <v>2394</v>
      </c>
      <c r="L19" s="97">
        <f>_xlfn.XLOOKUP(E19,Emp_Data!$B$2:$B$9,Emp_Data!$A$2:$A$9)</f>
        <v>4</v>
      </c>
    </row>
    <row r="20" spans="1:12">
      <c r="A20" s="99">
        <v>84</v>
      </c>
      <c r="B20" s="101">
        <v>44221</v>
      </c>
      <c r="C20" s="96">
        <v>18</v>
      </c>
      <c r="D20" s="104" t="s">
        <v>30</v>
      </c>
      <c r="E20" s="97" t="s">
        <v>8</v>
      </c>
      <c r="F20" s="97" t="str">
        <f>VLOOKUP(E20,Emp_Data!$B$2:$C$9,2,)</f>
        <v>Jeff</v>
      </c>
      <c r="G20" s="97" t="s">
        <v>9</v>
      </c>
      <c r="H20" s="97" t="s">
        <v>39</v>
      </c>
      <c r="I20" s="97">
        <v>399</v>
      </c>
      <c r="J20" s="97">
        <v>1</v>
      </c>
      <c r="K20" s="97">
        <f t="shared" si="0"/>
        <v>399</v>
      </c>
      <c r="L20" s="97">
        <f>_xlfn.XLOOKUP(E20,Emp_Data!$B$2:$B$9,Emp_Data!$A$2:$A$9)</f>
        <v>3</v>
      </c>
    </row>
    <row r="21" spans="1:12">
      <c r="A21" s="99">
        <v>85</v>
      </c>
      <c r="B21" s="101">
        <v>44222</v>
      </c>
      <c r="C21" s="96">
        <v>4</v>
      </c>
      <c r="D21" s="104" t="s">
        <v>13</v>
      </c>
      <c r="E21" s="97" t="s">
        <v>21</v>
      </c>
      <c r="F21" s="97" t="str">
        <f>VLOOKUP(E21,Emp_Data!$B$2:$C$9,2,)</f>
        <v>Sara</v>
      </c>
      <c r="G21" s="97" t="s">
        <v>15</v>
      </c>
      <c r="H21" s="97" t="s">
        <v>39</v>
      </c>
      <c r="I21" s="97">
        <v>399</v>
      </c>
      <c r="J21" s="97">
        <v>9</v>
      </c>
      <c r="K21" s="97">
        <f t="shared" si="0"/>
        <v>3591</v>
      </c>
      <c r="L21" s="97">
        <f>_xlfn.XLOOKUP(E21,Emp_Data!$B$2:$B$9,Emp_Data!$A$2:$A$9)</f>
        <v>2</v>
      </c>
    </row>
    <row r="22" spans="1:12">
      <c r="A22" s="99">
        <v>86</v>
      </c>
      <c r="B22" s="101">
        <v>44222</v>
      </c>
      <c r="C22" s="96">
        <v>12</v>
      </c>
      <c r="D22" s="104" t="s">
        <v>17</v>
      </c>
      <c r="E22" s="97" t="s">
        <v>18</v>
      </c>
      <c r="F22" s="97" t="str">
        <f>VLOOKUP(E22,Emp_Data!$B$2:$C$9,2,)</f>
        <v>Sara</v>
      </c>
      <c r="G22" s="97" t="s">
        <v>19</v>
      </c>
      <c r="H22" s="97" t="s">
        <v>39</v>
      </c>
      <c r="I22" s="97">
        <v>399</v>
      </c>
      <c r="J22" s="97">
        <v>2</v>
      </c>
      <c r="K22" s="97">
        <f t="shared" si="0"/>
        <v>798</v>
      </c>
      <c r="L22" s="97">
        <f>_xlfn.XLOOKUP(E22,Emp_Data!$B$2:$B$9,Emp_Data!$A$2:$A$9)</f>
        <v>5</v>
      </c>
    </row>
    <row r="23" spans="1:12">
      <c r="A23" s="99">
        <v>92</v>
      </c>
      <c r="B23" s="101">
        <v>44224</v>
      </c>
      <c r="C23" s="96">
        <v>20</v>
      </c>
      <c r="D23" s="104" t="s">
        <v>7</v>
      </c>
      <c r="E23" s="97" t="s">
        <v>25</v>
      </c>
      <c r="F23" s="97" t="str">
        <f>VLOOKUP(E23,Emp_Data!$B$2:$C$9,2,)</f>
        <v>Jeff</v>
      </c>
      <c r="G23" s="97" t="s">
        <v>9</v>
      </c>
      <c r="H23" s="97" t="s">
        <v>39</v>
      </c>
      <c r="I23" s="97">
        <v>399</v>
      </c>
      <c r="J23" s="97">
        <v>6</v>
      </c>
      <c r="K23" s="97">
        <f t="shared" si="0"/>
        <v>2394</v>
      </c>
      <c r="L23" s="97">
        <f>_xlfn.XLOOKUP(E23,Emp_Data!$B$2:$B$9,Emp_Data!$A$2:$A$9)</f>
        <v>5</v>
      </c>
    </row>
    <row r="24" spans="1:12">
      <c r="A24" s="99">
        <v>93</v>
      </c>
      <c r="B24" s="101">
        <v>44225</v>
      </c>
      <c r="C24" s="96">
        <v>7</v>
      </c>
      <c r="D24" s="104" t="s">
        <v>28</v>
      </c>
      <c r="E24" s="97" t="s">
        <v>27</v>
      </c>
      <c r="F24" s="97" t="str">
        <f>VLOOKUP(E24,Emp_Data!$B$2:$C$9,2,)</f>
        <v>Philip</v>
      </c>
      <c r="G24" s="97" t="s">
        <v>12</v>
      </c>
      <c r="H24" s="97" t="s">
        <v>39</v>
      </c>
      <c r="I24" s="97">
        <v>399</v>
      </c>
      <c r="J24" s="97">
        <v>1</v>
      </c>
      <c r="K24" s="97">
        <f t="shared" si="0"/>
        <v>399</v>
      </c>
      <c r="L24" s="97">
        <f>_xlfn.XLOOKUP(E24,Emp_Data!$B$2:$B$9,Emp_Data!$A$2:$A$9)</f>
        <v>8</v>
      </c>
    </row>
    <row r="25" spans="1:12">
      <c r="A25" s="99">
        <v>104</v>
      </c>
      <c r="B25" s="101">
        <v>44229</v>
      </c>
      <c r="C25" s="96">
        <v>4</v>
      </c>
      <c r="D25" s="104" t="s">
        <v>13</v>
      </c>
      <c r="E25" s="97" t="s">
        <v>21</v>
      </c>
      <c r="F25" s="97" t="str">
        <f>VLOOKUP(E25,Emp_Data!$B$2:$C$9,2,)</f>
        <v>Sara</v>
      </c>
      <c r="G25" s="97" t="s">
        <v>15</v>
      </c>
      <c r="H25" s="97" t="s">
        <v>39</v>
      </c>
      <c r="I25" s="97">
        <v>399</v>
      </c>
      <c r="J25" s="97">
        <v>1</v>
      </c>
      <c r="K25" s="97">
        <f t="shared" si="0"/>
        <v>399</v>
      </c>
      <c r="L25" s="97">
        <f>_xlfn.XLOOKUP(E25,Emp_Data!$B$2:$B$9,Emp_Data!$A$2:$A$9)</f>
        <v>2</v>
      </c>
    </row>
    <row r="26" spans="1:12">
      <c r="A26" s="99">
        <v>108</v>
      </c>
      <c r="B26" s="101">
        <v>44229</v>
      </c>
      <c r="C26" s="96">
        <v>15</v>
      </c>
      <c r="D26" s="104" t="s">
        <v>29</v>
      </c>
      <c r="E26" s="97" t="s">
        <v>24</v>
      </c>
      <c r="F26" s="97" t="str">
        <f>VLOOKUP(E26,Emp_Data!$B$2:$C$9,2,)</f>
        <v>Steve</v>
      </c>
      <c r="G26" s="97" t="s">
        <v>19</v>
      </c>
      <c r="H26" s="97" t="s">
        <v>39</v>
      </c>
      <c r="I26" s="97">
        <v>399</v>
      </c>
      <c r="J26" s="97">
        <v>2</v>
      </c>
      <c r="K26" s="97">
        <f t="shared" si="0"/>
        <v>798</v>
      </c>
      <c r="L26" s="97">
        <f>_xlfn.XLOOKUP(E26,Emp_Data!$B$2:$B$9,Emp_Data!$A$2:$A$9)</f>
        <v>6</v>
      </c>
    </row>
    <row r="27" spans="1:12">
      <c r="A27" s="99">
        <v>111</v>
      </c>
      <c r="B27" s="101">
        <v>44230</v>
      </c>
      <c r="C27" s="96">
        <v>19</v>
      </c>
      <c r="D27" s="104" t="s">
        <v>22</v>
      </c>
      <c r="E27" s="97" t="s">
        <v>8</v>
      </c>
      <c r="F27" s="97" t="str">
        <f>VLOOKUP(E27,Emp_Data!$B$2:$C$9,2,)</f>
        <v>Jeff</v>
      </c>
      <c r="G27" s="97" t="s">
        <v>9</v>
      </c>
      <c r="H27" s="97" t="s">
        <v>39</v>
      </c>
      <c r="I27" s="97">
        <v>399</v>
      </c>
      <c r="J27" s="97">
        <v>6</v>
      </c>
      <c r="K27" s="97">
        <f t="shared" si="0"/>
        <v>2394</v>
      </c>
      <c r="L27" s="97">
        <f>_xlfn.XLOOKUP(E27,Emp_Data!$B$2:$B$9,Emp_Data!$A$2:$A$9)</f>
        <v>3</v>
      </c>
    </row>
    <row r="28" spans="1:12">
      <c r="A28" s="99">
        <v>112</v>
      </c>
      <c r="B28" s="101">
        <v>44231</v>
      </c>
      <c r="C28" s="96">
        <v>1</v>
      </c>
      <c r="D28" s="104" t="s">
        <v>31</v>
      </c>
      <c r="E28" s="97" t="s">
        <v>14</v>
      </c>
      <c r="F28" s="97" t="str">
        <f>VLOOKUP(E28,Emp_Data!$B$2:$C$9,2,)</f>
        <v>Jeff</v>
      </c>
      <c r="G28" s="97" t="s">
        <v>15</v>
      </c>
      <c r="H28" s="97" t="s">
        <v>39</v>
      </c>
      <c r="I28" s="97">
        <v>399</v>
      </c>
      <c r="J28" s="97">
        <v>2</v>
      </c>
      <c r="K28" s="97">
        <f t="shared" si="0"/>
        <v>798</v>
      </c>
      <c r="L28" s="97">
        <f>_xlfn.XLOOKUP(E28,Emp_Data!$B$2:$B$9,Emp_Data!$A$2:$A$9)</f>
        <v>2</v>
      </c>
    </row>
    <row r="29" spans="1:12">
      <c r="A29" s="99">
        <v>113</v>
      </c>
      <c r="B29" s="101">
        <v>44232</v>
      </c>
      <c r="C29" s="96">
        <v>17</v>
      </c>
      <c r="D29" s="104" t="s">
        <v>32</v>
      </c>
      <c r="E29" s="97" t="s">
        <v>25</v>
      </c>
      <c r="F29" s="97" t="str">
        <f>VLOOKUP(E29,Emp_Data!$B$2:$C$9,2,)</f>
        <v>Jeff</v>
      </c>
      <c r="G29" s="97" t="s">
        <v>9</v>
      </c>
      <c r="H29" s="97" t="s">
        <v>39</v>
      </c>
      <c r="I29" s="97">
        <v>399</v>
      </c>
      <c r="J29" s="97">
        <v>5</v>
      </c>
      <c r="K29" s="97">
        <f t="shared" si="0"/>
        <v>1995</v>
      </c>
      <c r="L29" s="97">
        <f>_xlfn.XLOOKUP(E29,Emp_Data!$B$2:$B$9,Emp_Data!$A$2:$A$9)</f>
        <v>5</v>
      </c>
    </row>
    <row r="30" spans="1:12">
      <c r="A30" s="99">
        <v>117</v>
      </c>
      <c r="B30" s="101">
        <v>44232</v>
      </c>
      <c r="C30" s="96">
        <v>14</v>
      </c>
      <c r="D30" s="104" t="s">
        <v>33</v>
      </c>
      <c r="E30" s="97" t="s">
        <v>18</v>
      </c>
      <c r="F30" s="97" t="str">
        <f>VLOOKUP(E30,Emp_Data!$B$2:$C$9,2,)</f>
        <v>Sara</v>
      </c>
      <c r="G30" s="97" t="s">
        <v>19</v>
      </c>
      <c r="H30" s="97" t="s">
        <v>39</v>
      </c>
      <c r="I30" s="97">
        <v>399</v>
      </c>
      <c r="J30" s="97">
        <v>7</v>
      </c>
      <c r="K30" s="97">
        <f t="shared" si="0"/>
        <v>2793</v>
      </c>
      <c r="L30" s="97">
        <f>_xlfn.XLOOKUP(E30,Emp_Data!$B$2:$B$9,Emp_Data!$A$2:$A$9)</f>
        <v>5</v>
      </c>
    </row>
    <row r="31" spans="1:12">
      <c r="A31" s="99">
        <v>126</v>
      </c>
      <c r="B31" s="101">
        <v>44235</v>
      </c>
      <c r="C31" s="96">
        <v>18</v>
      </c>
      <c r="D31" s="104" t="s">
        <v>30</v>
      </c>
      <c r="E31" s="97" t="s">
        <v>25</v>
      </c>
      <c r="F31" s="97" t="str">
        <f>VLOOKUP(E31,Emp_Data!$B$2:$C$9,2,)</f>
        <v>Jeff</v>
      </c>
      <c r="G31" s="97" t="s">
        <v>9</v>
      </c>
      <c r="H31" s="97" t="s">
        <v>39</v>
      </c>
      <c r="I31" s="97">
        <v>399</v>
      </c>
      <c r="J31" s="97">
        <v>4</v>
      </c>
      <c r="K31" s="97">
        <f t="shared" si="0"/>
        <v>1596</v>
      </c>
      <c r="L31" s="97">
        <f>_xlfn.XLOOKUP(E31,Emp_Data!$B$2:$B$9,Emp_Data!$A$2:$A$9)</f>
        <v>5</v>
      </c>
    </row>
    <row r="32" spans="1:12">
      <c r="A32" s="99">
        <v>131</v>
      </c>
      <c r="B32" s="101">
        <v>44238</v>
      </c>
      <c r="C32" s="96">
        <v>10</v>
      </c>
      <c r="D32" s="104" t="s">
        <v>34</v>
      </c>
      <c r="E32" s="97" t="s">
        <v>27</v>
      </c>
      <c r="F32" s="97" t="str">
        <f>VLOOKUP(E32,Emp_Data!$B$2:$C$9,2,)</f>
        <v>Philip</v>
      </c>
      <c r="G32" s="97" t="s">
        <v>12</v>
      </c>
      <c r="H32" s="97" t="s">
        <v>39</v>
      </c>
      <c r="I32" s="97">
        <v>399</v>
      </c>
      <c r="J32" s="97">
        <v>3</v>
      </c>
      <c r="K32" s="97">
        <f t="shared" si="0"/>
        <v>1197</v>
      </c>
      <c r="L32" s="97">
        <f>_xlfn.XLOOKUP(E32,Emp_Data!$B$2:$B$9,Emp_Data!$A$2:$A$9)</f>
        <v>8</v>
      </c>
    </row>
    <row r="33" spans="1:12">
      <c r="A33" s="99">
        <v>133</v>
      </c>
      <c r="B33" s="101">
        <v>44238</v>
      </c>
      <c r="C33" s="96">
        <v>12</v>
      </c>
      <c r="D33" s="104" t="s">
        <v>17</v>
      </c>
      <c r="E33" s="97" t="s">
        <v>18</v>
      </c>
      <c r="F33" s="97" t="str">
        <f>VLOOKUP(E33,Emp_Data!$B$2:$C$9,2,)</f>
        <v>Sara</v>
      </c>
      <c r="G33" s="97" t="s">
        <v>19</v>
      </c>
      <c r="H33" s="97" t="s">
        <v>39</v>
      </c>
      <c r="I33" s="97">
        <v>399</v>
      </c>
      <c r="J33" s="97">
        <v>9</v>
      </c>
      <c r="K33" s="97">
        <f t="shared" si="0"/>
        <v>3591</v>
      </c>
      <c r="L33" s="97">
        <f>_xlfn.XLOOKUP(E33,Emp_Data!$B$2:$B$9,Emp_Data!$A$2:$A$9)</f>
        <v>5</v>
      </c>
    </row>
    <row r="34" spans="1:12">
      <c r="A34" s="99">
        <v>137</v>
      </c>
      <c r="B34" s="101">
        <v>44240</v>
      </c>
      <c r="C34" s="96">
        <v>12</v>
      </c>
      <c r="D34" s="104" t="s">
        <v>17</v>
      </c>
      <c r="E34" s="97" t="s">
        <v>24</v>
      </c>
      <c r="F34" s="97" t="str">
        <f>VLOOKUP(E34,Emp_Data!$B$2:$C$9,2,)</f>
        <v>Steve</v>
      </c>
      <c r="G34" s="97" t="s">
        <v>19</v>
      </c>
      <c r="H34" s="97" t="s">
        <v>39</v>
      </c>
      <c r="I34" s="97">
        <v>399</v>
      </c>
      <c r="J34" s="97">
        <v>3</v>
      </c>
      <c r="K34" s="97">
        <f t="shared" si="0"/>
        <v>1197</v>
      </c>
      <c r="L34" s="97">
        <f>_xlfn.XLOOKUP(E34,Emp_Data!$B$2:$B$9,Emp_Data!$A$2:$A$9)</f>
        <v>6</v>
      </c>
    </row>
    <row r="35" spans="1:12">
      <c r="A35" s="99">
        <v>138</v>
      </c>
      <c r="B35" s="101">
        <v>44240</v>
      </c>
      <c r="C35" s="96">
        <v>14</v>
      </c>
      <c r="D35" s="104" t="s">
        <v>33</v>
      </c>
      <c r="E35" s="97" t="s">
        <v>24</v>
      </c>
      <c r="F35" s="97" t="str">
        <f>VLOOKUP(E35,Emp_Data!$B$2:$C$9,2,)</f>
        <v>Steve</v>
      </c>
      <c r="G35" s="97" t="s">
        <v>19</v>
      </c>
      <c r="H35" s="97" t="s">
        <v>39</v>
      </c>
      <c r="I35" s="97">
        <v>399</v>
      </c>
      <c r="J35" s="97">
        <v>3</v>
      </c>
      <c r="K35" s="97">
        <f t="shared" si="0"/>
        <v>1197</v>
      </c>
      <c r="L35" s="97">
        <f>_xlfn.XLOOKUP(E35,Emp_Data!$B$2:$B$9,Emp_Data!$A$2:$A$9)</f>
        <v>6</v>
      </c>
    </row>
    <row r="36" spans="1:12">
      <c r="A36" s="99">
        <v>140</v>
      </c>
      <c r="B36" s="101">
        <v>44240</v>
      </c>
      <c r="C36" s="96">
        <v>15</v>
      </c>
      <c r="D36" s="104" t="s">
        <v>29</v>
      </c>
      <c r="E36" s="97" t="s">
        <v>24</v>
      </c>
      <c r="F36" s="97" t="str">
        <f>VLOOKUP(E36,Emp_Data!$B$2:$C$9,2,)</f>
        <v>Steve</v>
      </c>
      <c r="G36" s="97" t="s">
        <v>19</v>
      </c>
      <c r="H36" s="97" t="s">
        <v>39</v>
      </c>
      <c r="I36" s="97">
        <v>399</v>
      </c>
      <c r="J36" s="97">
        <v>8</v>
      </c>
      <c r="K36" s="97">
        <f t="shared" si="0"/>
        <v>3192</v>
      </c>
      <c r="L36" s="97">
        <f>_xlfn.XLOOKUP(E36,Emp_Data!$B$2:$B$9,Emp_Data!$A$2:$A$9)</f>
        <v>6</v>
      </c>
    </row>
    <row r="37" spans="1:12">
      <c r="A37" s="99">
        <v>148</v>
      </c>
      <c r="B37" s="101">
        <v>44240</v>
      </c>
      <c r="C37" s="96">
        <v>2</v>
      </c>
      <c r="D37" s="104" t="s">
        <v>35</v>
      </c>
      <c r="E37" s="97" t="s">
        <v>21</v>
      </c>
      <c r="F37" s="97" t="str">
        <f>VLOOKUP(E37,Emp_Data!$B$2:$C$9,2,)</f>
        <v>Sara</v>
      </c>
      <c r="G37" s="97" t="s">
        <v>15</v>
      </c>
      <c r="H37" s="97" t="s">
        <v>39</v>
      </c>
      <c r="I37" s="97">
        <v>399</v>
      </c>
      <c r="J37" s="97">
        <v>2</v>
      </c>
      <c r="K37" s="97">
        <f t="shared" si="0"/>
        <v>798</v>
      </c>
      <c r="L37" s="97">
        <f>_xlfn.XLOOKUP(E37,Emp_Data!$B$2:$B$9,Emp_Data!$A$2:$A$9)</f>
        <v>2</v>
      </c>
    </row>
    <row r="38" spans="1:12">
      <c r="A38" s="99">
        <v>171</v>
      </c>
      <c r="B38" s="101">
        <v>44246</v>
      </c>
      <c r="C38" s="96">
        <v>8</v>
      </c>
      <c r="D38" s="104" t="s">
        <v>36</v>
      </c>
      <c r="E38" s="97" t="s">
        <v>11</v>
      </c>
      <c r="F38" s="97" t="str">
        <f>VLOOKUP(E38,Emp_Data!$B$2:$C$9,2,)</f>
        <v>Steve</v>
      </c>
      <c r="G38" s="97" t="s">
        <v>12</v>
      </c>
      <c r="H38" s="97" t="s">
        <v>39</v>
      </c>
      <c r="I38" s="97">
        <v>399</v>
      </c>
      <c r="J38" s="97">
        <v>6</v>
      </c>
      <c r="K38" s="97">
        <f t="shared" si="0"/>
        <v>2394</v>
      </c>
      <c r="L38" s="97">
        <f>_xlfn.XLOOKUP(E38,Emp_Data!$B$2:$B$9,Emp_Data!$A$2:$A$9)</f>
        <v>4</v>
      </c>
    </row>
    <row r="39" spans="1:12">
      <c r="A39" s="99">
        <v>173</v>
      </c>
      <c r="B39" s="101">
        <v>44246</v>
      </c>
      <c r="C39" s="96">
        <v>2</v>
      </c>
      <c r="D39" s="104" t="s">
        <v>35</v>
      </c>
      <c r="E39" s="97" t="s">
        <v>21</v>
      </c>
      <c r="F39" s="97" t="str">
        <f>VLOOKUP(E39,Emp_Data!$B$2:$C$9,2,)</f>
        <v>Sara</v>
      </c>
      <c r="G39" s="97" t="s">
        <v>15</v>
      </c>
      <c r="H39" s="97" t="s">
        <v>39</v>
      </c>
      <c r="I39" s="97">
        <v>399</v>
      </c>
      <c r="J39" s="97">
        <v>1</v>
      </c>
      <c r="K39" s="97">
        <f t="shared" si="0"/>
        <v>399</v>
      </c>
      <c r="L39" s="97">
        <f>_xlfn.XLOOKUP(E39,Emp_Data!$B$2:$B$9,Emp_Data!$A$2:$A$9)</f>
        <v>2</v>
      </c>
    </row>
    <row r="40" spans="1:12">
      <c r="A40" s="99">
        <v>174</v>
      </c>
      <c r="B40" s="101">
        <v>44246</v>
      </c>
      <c r="C40" s="96">
        <v>6</v>
      </c>
      <c r="D40" s="104" t="s">
        <v>10</v>
      </c>
      <c r="E40" s="97" t="s">
        <v>11</v>
      </c>
      <c r="F40" s="97" t="str">
        <f>VLOOKUP(E40,Emp_Data!$B$2:$C$9,2,)</f>
        <v>Steve</v>
      </c>
      <c r="G40" s="97" t="s">
        <v>12</v>
      </c>
      <c r="H40" s="97" t="s">
        <v>39</v>
      </c>
      <c r="I40" s="97">
        <v>399</v>
      </c>
      <c r="J40" s="97">
        <v>6</v>
      </c>
      <c r="K40" s="97">
        <f t="shared" si="0"/>
        <v>2394</v>
      </c>
      <c r="L40" s="97">
        <f>_xlfn.XLOOKUP(E40,Emp_Data!$B$2:$B$9,Emp_Data!$A$2:$A$9)</f>
        <v>4</v>
      </c>
    </row>
    <row r="41" spans="1:12">
      <c r="A41" s="99">
        <v>185</v>
      </c>
      <c r="B41" s="101">
        <v>44250</v>
      </c>
      <c r="C41" s="96">
        <v>4</v>
      </c>
      <c r="D41" s="104" t="s">
        <v>13</v>
      </c>
      <c r="E41" s="97" t="s">
        <v>21</v>
      </c>
      <c r="F41" s="97" t="str">
        <f>VLOOKUP(E41,Emp_Data!$B$2:$C$9,2,)</f>
        <v>Sara</v>
      </c>
      <c r="G41" s="97" t="s">
        <v>15</v>
      </c>
      <c r="H41" s="97" t="s">
        <v>39</v>
      </c>
      <c r="I41" s="97">
        <v>399</v>
      </c>
      <c r="J41" s="97">
        <v>5</v>
      </c>
      <c r="K41" s="97">
        <f t="shared" si="0"/>
        <v>1995</v>
      </c>
      <c r="L41" s="97">
        <f>_xlfn.XLOOKUP(E41,Emp_Data!$B$2:$B$9,Emp_Data!$A$2:$A$9)</f>
        <v>2</v>
      </c>
    </row>
    <row r="42" spans="1:12">
      <c r="A42" s="99">
        <v>187</v>
      </c>
      <c r="B42" s="101">
        <v>44251</v>
      </c>
      <c r="C42" s="96">
        <v>17</v>
      </c>
      <c r="D42" s="104" t="s">
        <v>32</v>
      </c>
      <c r="E42" s="97" t="s">
        <v>25</v>
      </c>
      <c r="F42" s="97" t="str">
        <f>VLOOKUP(E42,Emp_Data!$B$2:$C$9,2,)</f>
        <v>Jeff</v>
      </c>
      <c r="G42" s="97" t="s">
        <v>9</v>
      </c>
      <c r="H42" s="97" t="s">
        <v>39</v>
      </c>
      <c r="I42" s="97">
        <v>399</v>
      </c>
      <c r="J42" s="97">
        <v>9</v>
      </c>
      <c r="K42" s="97">
        <f t="shared" si="0"/>
        <v>3591</v>
      </c>
      <c r="L42" s="97">
        <f>_xlfn.XLOOKUP(E42,Emp_Data!$B$2:$B$9,Emp_Data!$A$2:$A$9)</f>
        <v>5</v>
      </c>
    </row>
    <row r="43" spans="1:12">
      <c r="A43" s="99">
        <v>189</v>
      </c>
      <c r="B43" s="101">
        <v>44252</v>
      </c>
      <c r="C43" s="96">
        <v>20</v>
      </c>
      <c r="D43" s="104" t="s">
        <v>7</v>
      </c>
      <c r="E43" s="97" t="s">
        <v>25</v>
      </c>
      <c r="F43" s="97" t="str">
        <f>VLOOKUP(E43,Emp_Data!$B$2:$C$9,2,)</f>
        <v>Jeff</v>
      </c>
      <c r="G43" s="97" t="s">
        <v>9</v>
      </c>
      <c r="H43" s="97" t="s">
        <v>39</v>
      </c>
      <c r="I43" s="97">
        <v>399</v>
      </c>
      <c r="J43" s="97">
        <v>8</v>
      </c>
      <c r="K43" s="97">
        <f t="shared" si="0"/>
        <v>3192</v>
      </c>
      <c r="L43" s="97">
        <f>_xlfn.XLOOKUP(E43,Emp_Data!$B$2:$B$9,Emp_Data!$A$2:$A$9)</f>
        <v>5</v>
      </c>
    </row>
    <row r="44" spans="1:12">
      <c r="A44" s="99">
        <v>192</v>
      </c>
      <c r="B44" s="101">
        <v>44253</v>
      </c>
      <c r="C44" s="96">
        <v>12</v>
      </c>
      <c r="D44" s="104" t="s">
        <v>17</v>
      </c>
      <c r="E44" s="97" t="s">
        <v>24</v>
      </c>
      <c r="F44" s="97" t="str">
        <f>VLOOKUP(E44,Emp_Data!$B$2:$C$9,2,)</f>
        <v>Steve</v>
      </c>
      <c r="G44" s="97" t="s">
        <v>19</v>
      </c>
      <c r="H44" s="97" t="s">
        <v>39</v>
      </c>
      <c r="I44" s="97">
        <v>399</v>
      </c>
      <c r="J44" s="97">
        <v>0</v>
      </c>
      <c r="K44" s="97">
        <f t="shared" si="0"/>
        <v>0</v>
      </c>
      <c r="L44" s="97">
        <f>_xlfn.XLOOKUP(E44,Emp_Data!$B$2:$B$9,Emp_Data!$A$2:$A$9)</f>
        <v>6</v>
      </c>
    </row>
    <row r="45" spans="1:12">
      <c r="A45" s="99">
        <v>206</v>
      </c>
      <c r="B45" s="101">
        <v>44263</v>
      </c>
      <c r="C45" s="96">
        <v>5</v>
      </c>
      <c r="D45" s="104" t="s">
        <v>16</v>
      </c>
      <c r="E45" s="97" t="s">
        <v>21</v>
      </c>
      <c r="F45" s="97" t="str">
        <f>VLOOKUP(E45,Emp_Data!$B$2:$C$9,2,)</f>
        <v>Sara</v>
      </c>
      <c r="G45" s="97" t="s">
        <v>15</v>
      </c>
      <c r="H45" s="97" t="s">
        <v>39</v>
      </c>
      <c r="I45" s="97">
        <v>399</v>
      </c>
      <c r="J45" s="97">
        <v>6</v>
      </c>
      <c r="K45" s="97">
        <f t="shared" si="0"/>
        <v>2394</v>
      </c>
      <c r="L45" s="97">
        <f>_xlfn.XLOOKUP(E45,Emp_Data!$B$2:$B$9,Emp_Data!$A$2:$A$9)</f>
        <v>2</v>
      </c>
    </row>
    <row r="46" spans="1:12">
      <c r="A46" s="99">
        <v>210</v>
      </c>
      <c r="B46" s="101">
        <v>44263</v>
      </c>
      <c r="C46" s="96">
        <v>14</v>
      </c>
      <c r="D46" s="104" t="s">
        <v>33</v>
      </c>
      <c r="E46" s="97" t="s">
        <v>18</v>
      </c>
      <c r="F46" s="97" t="str">
        <f>VLOOKUP(E46,Emp_Data!$B$2:$C$9,2,)</f>
        <v>Sara</v>
      </c>
      <c r="G46" s="97" t="s">
        <v>19</v>
      </c>
      <c r="H46" s="97" t="s">
        <v>39</v>
      </c>
      <c r="I46" s="97">
        <v>399</v>
      </c>
      <c r="J46" s="97">
        <v>8</v>
      </c>
      <c r="K46" s="97">
        <f t="shared" si="0"/>
        <v>3192</v>
      </c>
      <c r="L46" s="97">
        <f>_xlfn.XLOOKUP(E46,Emp_Data!$B$2:$B$9,Emp_Data!$A$2:$A$9)</f>
        <v>5</v>
      </c>
    </row>
    <row r="47" spans="1:12">
      <c r="A47" s="99">
        <v>224</v>
      </c>
      <c r="B47" s="101">
        <v>44266</v>
      </c>
      <c r="C47" s="96">
        <v>9</v>
      </c>
      <c r="D47" s="104" t="s">
        <v>26</v>
      </c>
      <c r="E47" s="97" t="s">
        <v>27</v>
      </c>
      <c r="F47" s="97" t="str">
        <f>VLOOKUP(E47,Emp_Data!$B$2:$C$9,2,)</f>
        <v>Philip</v>
      </c>
      <c r="G47" s="97" t="s">
        <v>12</v>
      </c>
      <c r="H47" s="97" t="s">
        <v>39</v>
      </c>
      <c r="I47" s="97">
        <v>399</v>
      </c>
      <c r="J47" s="97">
        <v>6</v>
      </c>
      <c r="K47" s="97">
        <f t="shared" si="0"/>
        <v>2394</v>
      </c>
      <c r="L47" s="97">
        <f>_xlfn.XLOOKUP(E47,Emp_Data!$B$2:$B$9,Emp_Data!$A$2:$A$9)</f>
        <v>8</v>
      </c>
    </row>
    <row r="48" spans="1:12">
      <c r="A48" s="99">
        <v>225</v>
      </c>
      <c r="B48" s="101">
        <v>44266</v>
      </c>
      <c r="C48" s="96">
        <v>2</v>
      </c>
      <c r="D48" s="104" t="s">
        <v>35</v>
      </c>
      <c r="E48" s="97" t="s">
        <v>14</v>
      </c>
      <c r="F48" s="97" t="str">
        <f>VLOOKUP(E48,Emp_Data!$B$2:$C$9,2,)</f>
        <v>Jeff</v>
      </c>
      <c r="G48" s="97" t="s">
        <v>15</v>
      </c>
      <c r="H48" s="97" t="s">
        <v>39</v>
      </c>
      <c r="I48" s="97">
        <v>399</v>
      </c>
      <c r="J48" s="97">
        <v>9</v>
      </c>
      <c r="K48" s="97">
        <f t="shared" si="0"/>
        <v>3591</v>
      </c>
      <c r="L48" s="97">
        <f>_xlfn.XLOOKUP(E48,Emp_Data!$B$2:$B$9,Emp_Data!$A$2:$A$9)</f>
        <v>2</v>
      </c>
    </row>
    <row r="49" spans="1:12">
      <c r="A49" s="99">
        <v>226</v>
      </c>
      <c r="B49" s="101">
        <v>44267</v>
      </c>
      <c r="C49" s="96">
        <v>14</v>
      </c>
      <c r="D49" s="104" t="s">
        <v>33</v>
      </c>
      <c r="E49" s="97" t="s">
        <v>18</v>
      </c>
      <c r="F49" s="97" t="str">
        <f>VLOOKUP(E49,Emp_Data!$B$2:$C$9,2,)</f>
        <v>Sara</v>
      </c>
      <c r="G49" s="97" t="s">
        <v>19</v>
      </c>
      <c r="H49" s="97" t="s">
        <v>39</v>
      </c>
      <c r="I49" s="97">
        <v>399</v>
      </c>
      <c r="J49" s="97">
        <v>1</v>
      </c>
      <c r="K49" s="97">
        <f t="shared" si="0"/>
        <v>399</v>
      </c>
      <c r="L49" s="97">
        <f>_xlfn.XLOOKUP(E49,Emp_Data!$B$2:$B$9,Emp_Data!$A$2:$A$9)</f>
        <v>5</v>
      </c>
    </row>
    <row r="50" spans="1:12">
      <c r="A50" s="99">
        <v>227</v>
      </c>
      <c r="B50" s="101">
        <v>44268</v>
      </c>
      <c r="C50" s="96">
        <v>14</v>
      </c>
      <c r="D50" s="104" t="s">
        <v>33</v>
      </c>
      <c r="E50" s="97" t="s">
        <v>18</v>
      </c>
      <c r="F50" s="97" t="str">
        <f>VLOOKUP(E50,Emp_Data!$B$2:$C$9,2,)</f>
        <v>Sara</v>
      </c>
      <c r="G50" s="97" t="s">
        <v>19</v>
      </c>
      <c r="H50" s="97" t="s">
        <v>39</v>
      </c>
      <c r="I50" s="97">
        <v>399</v>
      </c>
      <c r="J50" s="97">
        <v>1</v>
      </c>
      <c r="K50" s="97">
        <f t="shared" si="0"/>
        <v>399</v>
      </c>
      <c r="L50" s="97">
        <f>_xlfn.XLOOKUP(E50,Emp_Data!$B$2:$B$9,Emp_Data!$A$2:$A$9)</f>
        <v>5</v>
      </c>
    </row>
    <row r="51" spans="1:12">
      <c r="A51" s="99">
        <v>230</v>
      </c>
      <c r="B51" s="101">
        <v>44270</v>
      </c>
      <c r="C51" s="96">
        <v>3</v>
      </c>
      <c r="D51" s="104" t="s">
        <v>20</v>
      </c>
      <c r="E51" s="97" t="s">
        <v>14</v>
      </c>
      <c r="F51" s="97" t="str">
        <f>VLOOKUP(E51,Emp_Data!$B$2:$C$9,2,)</f>
        <v>Jeff</v>
      </c>
      <c r="G51" s="97" t="s">
        <v>15</v>
      </c>
      <c r="H51" s="97" t="s">
        <v>39</v>
      </c>
      <c r="I51" s="97">
        <v>399</v>
      </c>
      <c r="J51" s="97">
        <v>6</v>
      </c>
      <c r="K51" s="97">
        <f t="shared" si="0"/>
        <v>2394</v>
      </c>
      <c r="L51" s="97">
        <f>_xlfn.XLOOKUP(E51,Emp_Data!$B$2:$B$9,Emp_Data!$A$2:$A$9)</f>
        <v>2</v>
      </c>
    </row>
    <row r="52" spans="1:12">
      <c r="A52" s="99">
        <v>232</v>
      </c>
      <c r="B52" s="101">
        <v>44270</v>
      </c>
      <c r="C52" s="96">
        <v>7</v>
      </c>
      <c r="D52" s="104" t="s">
        <v>28</v>
      </c>
      <c r="E52" s="97" t="s">
        <v>11</v>
      </c>
      <c r="F52" s="97" t="str">
        <f>VLOOKUP(E52,Emp_Data!$B$2:$C$9,2,)</f>
        <v>Steve</v>
      </c>
      <c r="G52" s="97" t="s">
        <v>12</v>
      </c>
      <c r="H52" s="97" t="s">
        <v>39</v>
      </c>
      <c r="I52" s="97">
        <v>399</v>
      </c>
      <c r="J52" s="97">
        <v>9</v>
      </c>
      <c r="K52" s="97">
        <f t="shared" si="0"/>
        <v>3591</v>
      </c>
      <c r="L52" s="97">
        <f>_xlfn.XLOOKUP(E52,Emp_Data!$B$2:$B$9,Emp_Data!$A$2:$A$9)</f>
        <v>4</v>
      </c>
    </row>
    <row r="53" spans="1:12">
      <c r="A53" s="99">
        <v>239</v>
      </c>
      <c r="B53" s="101">
        <v>44271</v>
      </c>
      <c r="C53" s="96">
        <v>16</v>
      </c>
      <c r="D53" s="104" t="s">
        <v>37</v>
      </c>
      <c r="E53" s="97" t="s">
        <v>8</v>
      </c>
      <c r="F53" s="97" t="str">
        <f>VLOOKUP(E53,Emp_Data!$B$2:$C$9,2,)</f>
        <v>Jeff</v>
      </c>
      <c r="G53" s="97" t="s">
        <v>9</v>
      </c>
      <c r="H53" s="97" t="s">
        <v>39</v>
      </c>
      <c r="I53" s="97">
        <v>399</v>
      </c>
      <c r="J53" s="97">
        <v>9</v>
      </c>
      <c r="K53" s="97">
        <f t="shared" si="0"/>
        <v>3591</v>
      </c>
      <c r="L53" s="97">
        <f>_xlfn.XLOOKUP(E53,Emp_Data!$B$2:$B$9,Emp_Data!$A$2:$A$9)</f>
        <v>3</v>
      </c>
    </row>
    <row r="54" spans="1:12">
      <c r="A54" s="99">
        <v>249</v>
      </c>
      <c r="B54" s="101">
        <v>44273</v>
      </c>
      <c r="C54" s="96">
        <v>19</v>
      </c>
      <c r="D54" s="104" t="s">
        <v>22</v>
      </c>
      <c r="E54" s="97" t="s">
        <v>25</v>
      </c>
      <c r="F54" s="97" t="str">
        <f>VLOOKUP(E54,Emp_Data!$B$2:$C$9,2,)</f>
        <v>Jeff</v>
      </c>
      <c r="G54" s="97" t="s">
        <v>9</v>
      </c>
      <c r="H54" s="97" t="s">
        <v>39</v>
      </c>
      <c r="I54" s="97">
        <v>399</v>
      </c>
      <c r="J54" s="97">
        <v>3</v>
      </c>
      <c r="K54" s="97">
        <f t="shared" si="0"/>
        <v>1197</v>
      </c>
      <c r="L54" s="97">
        <f>_xlfn.XLOOKUP(E54,Emp_Data!$B$2:$B$9,Emp_Data!$A$2:$A$9)</f>
        <v>5</v>
      </c>
    </row>
    <row r="55" spans="1:12">
      <c r="A55" s="99">
        <v>251</v>
      </c>
      <c r="B55" s="101">
        <v>44273</v>
      </c>
      <c r="C55" s="96">
        <v>2</v>
      </c>
      <c r="D55" s="104" t="s">
        <v>35</v>
      </c>
      <c r="E55" s="97" t="s">
        <v>21</v>
      </c>
      <c r="F55" s="97" t="str">
        <f>VLOOKUP(E55,Emp_Data!$B$2:$C$9,2,)</f>
        <v>Sara</v>
      </c>
      <c r="G55" s="97" t="s">
        <v>15</v>
      </c>
      <c r="H55" s="97" t="s">
        <v>39</v>
      </c>
      <c r="I55" s="97">
        <v>399</v>
      </c>
      <c r="J55" s="97">
        <v>9</v>
      </c>
      <c r="K55" s="97">
        <f t="shared" si="0"/>
        <v>3591</v>
      </c>
      <c r="L55" s="97">
        <f>_xlfn.XLOOKUP(E55,Emp_Data!$B$2:$B$9,Emp_Data!$A$2:$A$9)</f>
        <v>2</v>
      </c>
    </row>
    <row r="56" spans="1:12">
      <c r="A56" s="99">
        <v>253</v>
      </c>
      <c r="B56" s="101">
        <v>44273</v>
      </c>
      <c r="C56" s="96">
        <v>16</v>
      </c>
      <c r="D56" s="104" t="s">
        <v>37</v>
      </c>
      <c r="E56" s="97" t="s">
        <v>25</v>
      </c>
      <c r="F56" s="97" t="str">
        <f>VLOOKUP(E56,Emp_Data!$B$2:$C$9,2,)</f>
        <v>Jeff</v>
      </c>
      <c r="G56" s="97" t="s">
        <v>9</v>
      </c>
      <c r="H56" s="97" t="s">
        <v>39</v>
      </c>
      <c r="I56" s="97">
        <v>399</v>
      </c>
      <c r="J56" s="97">
        <v>5</v>
      </c>
      <c r="K56" s="97">
        <f t="shared" si="0"/>
        <v>1995</v>
      </c>
      <c r="L56" s="97">
        <f>_xlfn.XLOOKUP(E56,Emp_Data!$B$2:$B$9,Emp_Data!$A$2:$A$9)</f>
        <v>5</v>
      </c>
    </row>
    <row r="57" spans="1:12">
      <c r="A57" s="99">
        <v>258</v>
      </c>
      <c r="B57" s="101">
        <v>44275</v>
      </c>
      <c r="C57" s="96">
        <v>17</v>
      </c>
      <c r="D57" s="104" t="s">
        <v>32</v>
      </c>
      <c r="E57" s="97" t="s">
        <v>8</v>
      </c>
      <c r="F57" s="97" t="str">
        <f>VLOOKUP(E57,Emp_Data!$B$2:$C$9,2,)</f>
        <v>Jeff</v>
      </c>
      <c r="G57" s="97" t="s">
        <v>9</v>
      </c>
      <c r="H57" s="97" t="s">
        <v>39</v>
      </c>
      <c r="I57" s="97">
        <v>399</v>
      </c>
      <c r="J57" s="97">
        <v>5</v>
      </c>
      <c r="K57" s="97">
        <f t="shared" si="0"/>
        <v>1995</v>
      </c>
      <c r="L57" s="97">
        <f>_xlfn.XLOOKUP(E57,Emp_Data!$B$2:$B$9,Emp_Data!$A$2:$A$9)</f>
        <v>3</v>
      </c>
    </row>
    <row r="58" spans="1:12">
      <c r="A58" s="99">
        <v>270</v>
      </c>
      <c r="B58" s="101">
        <v>44280</v>
      </c>
      <c r="C58" s="96">
        <v>14</v>
      </c>
      <c r="D58" s="104" t="s">
        <v>33</v>
      </c>
      <c r="E58" s="97" t="s">
        <v>24</v>
      </c>
      <c r="F58" s="97" t="str">
        <f>VLOOKUP(E58,Emp_Data!$B$2:$C$9,2,)</f>
        <v>Steve</v>
      </c>
      <c r="G58" s="97" t="s">
        <v>19</v>
      </c>
      <c r="H58" s="97" t="s">
        <v>39</v>
      </c>
      <c r="I58" s="97">
        <v>399</v>
      </c>
      <c r="J58" s="97">
        <v>9</v>
      </c>
      <c r="K58" s="97">
        <f t="shared" si="0"/>
        <v>3591</v>
      </c>
      <c r="L58" s="97">
        <f>_xlfn.XLOOKUP(E58,Emp_Data!$B$2:$B$9,Emp_Data!$A$2:$A$9)</f>
        <v>6</v>
      </c>
    </row>
    <row r="59" spans="1:12">
      <c r="A59" s="99">
        <v>278</v>
      </c>
      <c r="B59" s="101">
        <v>44281</v>
      </c>
      <c r="C59" s="96">
        <v>6</v>
      </c>
      <c r="D59" s="104" t="s">
        <v>10</v>
      </c>
      <c r="E59" s="97" t="s">
        <v>27</v>
      </c>
      <c r="F59" s="97" t="str">
        <f>VLOOKUP(E59,Emp_Data!$B$2:$C$9,2,)</f>
        <v>Philip</v>
      </c>
      <c r="G59" s="97" t="s">
        <v>12</v>
      </c>
      <c r="H59" s="97" t="s">
        <v>39</v>
      </c>
      <c r="I59" s="97">
        <v>399</v>
      </c>
      <c r="J59" s="97">
        <v>8</v>
      </c>
      <c r="K59" s="97">
        <f t="shared" si="0"/>
        <v>3192</v>
      </c>
      <c r="L59" s="97">
        <f>_xlfn.XLOOKUP(E59,Emp_Data!$B$2:$B$9,Emp_Data!$A$2:$A$9)</f>
        <v>8</v>
      </c>
    </row>
    <row r="60" spans="1:12">
      <c r="A60" s="99">
        <v>297</v>
      </c>
      <c r="B60" s="101">
        <v>44286</v>
      </c>
      <c r="C60" s="96">
        <v>14</v>
      </c>
      <c r="D60" s="104" t="s">
        <v>33</v>
      </c>
      <c r="E60" s="97" t="s">
        <v>18</v>
      </c>
      <c r="F60" s="97" t="str">
        <f>VLOOKUP(E60,Emp_Data!$B$2:$C$9,2,)</f>
        <v>Sara</v>
      </c>
      <c r="G60" s="97" t="s">
        <v>19</v>
      </c>
      <c r="H60" s="97" t="s">
        <v>39</v>
      </c>
      <c r="I60" s="97">
        <v>399</v>
      </c>
      <c r="J60" s="97">
        <v>5</v>
      </c>
      <c r="K60" s="97">
        <f t="shared" si="0"/>
        <v>1995</v>
      </c>
      <c r="L60" s="97">
        <f>_xlfn.XLOOKUP(E60,Emp_Data!$B$2:$B$9,Emp_Data!$A$2:$A$9)</f>
        <v>5</v>
      </c>
    </row>
    <row r="61" spans="1:12">
      <c r="A61" s="99">
        <v>301</v>
      </c>
      <c r="B61" s="101">
        <v>44288</v>
      </c>
      <c r="C61" s="96">
        <v>10</v>
      </c>
      <c r="D61" s="104" t="s">
        <v>34</v>
      </c>
      <c r="E61" s="97" t="s">
        <v>27</v>
      </c>
      <c r="F61" s="97" t="str">
        <f>VLOOKUP(E61,Emp_Data!$B$2:$C$9,2,)</f>
        <v>Philip</v>
      </c>
      <c r="G61" s="97" t="s">
        <v>12</v>
      </c>
      <c r="H61" s="97" t="s">
        <v>39</v>
      </c>
      <c r="I61" s="97">
        <v>399</v>
      </c>
      <c r="J61" s="97">
        <v>9</v>
      </c>
      <c r="K61" s="97">
        <f t="shared" si="0"/>
        <v>3591</v>
      </c>
      <c r="L61" s="97">
        <f>_xlfn.XLOOKUP(E61,Emp_Data!$B$2:$B$9,Emp_Data!$A$2:$A$9)</f>
        <v>8</v>
      </c>
    </row>
    <row r="62" spans="1:12">
      <c r="A62" s="99">
        <v>321</v>
      </c>
      <c r="B62" s="101">
        <v>44298</v>
      </c>
      <c r="C62" s="96">
        <v>9</v>
      </c>
      <c r="D62" s="104" t="s">
        <v>26</v>
      </c>
      <c r="E62" s="97" t="s">
        <v>27</v>
      </c>
      <c r="F62" s="97" t="str">
        <f>VLOOKUP(E62,Emp_Data!$B$2:$C$9,2,)</f>
        <v>Philip</v>
      </c>
      <c r="G62" s="97" t="s">
        <v>12</v>
      </c>
      <c r="H62" s="97" t="s">
        <v>39</v>
      </c>
      <c r="I62" s="97">
        <v>399</v>
      </c>
      <c r="J62" s="97">
        <v>1</v>
      </c>
      <c r="K62" s="97">
        <f t="shared" si="0"/>
        <v>399</v>
      </c>
      <c r="L62" s="97">
        <f>_xlfn.XLOOKUP(E62,Emp_Data!$B$2:$B$9,Emp_Data!$A$2:$A$9)</f>
        <v>8</v>
      </c>
    </row>
    <row r="63" spans="1:12">
      <c r="A63" s="99">
        <v>325</v>
      </c>
      <c r="B63" s="101">
        <v>44300</v>
      </c>
      <c r="C63" s="96">
        <v>14</v>
      </c>
      <c r="D63" s="104" t="s">
        <v>33</v>
      </c>
      <c r="E63" s="97" t="s">
        <v>24</v>
      </c>
      <c r="F63" s="97" t="str">
        <f>VLOOKUP(E63,Emp_Data!$B$2:$C$9,2,)</f>
        <v>Steve</v>
      </c>
      <c r="G63" s="97" t="s">
        <v>19</v>
      </c>
      <c r="H63" s="97" t="s">
        <v>39</v>
      </c>
      <c r="I63" s="97">
        <v>399</v>
      </c>
      <c r="J63" s="97">
        <v>3</v>
      </c>
      <c r="K63" s="97">
        <f t="shared" si="0"/>
        <v>1197</v>
      </c>
      <c r="L63" s="97">
        <f>_xlfn.XLOOKUP(E63,Emp_Data!$B$2:$B$9,Emp_Data!$A$2:$A$9)</f>
        <v>6</v>
      </c>
    </row>
    <row r="64" spans="1:12">
      <c r="A64" s="99">
        <v>330</v>
      </c>
      <c r="B64" s="101">
        <v>44300</v>
      </c>
      <c r="C64" s="96">
        <v>7</v>
      </c>
      <c r="D64" s="104" t="s">
        <v>28</v>
      </c>
      <c r="E64" s="97" t="s">
        <v>11</v>
      </c>
      <c r="F64" s="97" t="str">
        <f>VLOOKUP(E64,Emp_Data!$B$2:$C$9,2,)</f>
        <v>Steve</v>
      </c>
      <c r="G64" s="97" t="s">
        <v>12</v>
      </c>
      <c r="H64" s="97" t="s">
        <v>39</v>
      </c>
      <c r="I64" s="97">
        <v>399</v>
      </c>
      <c r="J64" s="97">
        <v>8</v>
      </c>
      <c r="K64" s="97">
        <f t="shared" si="0"/>
        <v>3192</v>
      </c>
      <c r="L64" s="97">
        <f>_xlfn.XLOOKUP(E64,Emp_Data!$B$2:$B$9,Emp_Data!$A$2:$A$9)</f>
        <v>4</v>
      </c>
    </row>
    <row r="65" spans="1:12">
      <c r="A65" s="99">
        <v>331</v>
      </c>
      <c r="B65" s="101">
        <v>44300</v>
      </c>
      <c r="C65" s="96">
        <v>10</v>
      </c>
      <c r="D65" s="104" t="s">
        <v>34</v>
      </c>
      <c r="E65" s="97" t="s">
        <v>11</v>
      </c>
      <c r="F65" s="97" t="str">
        <f>VLOOKUP(E65,Emp_Data!$B$2:$C$9,2,)</f>
        <v>Steve</v>
      </c>
      <c r="G65" s="97" t="s">
        <v>12</v>
      </c>
      <c r="H65" s="97" t="s">
        <v>39</v>
      </c>
      <c r="I65" s="97">
        <v>399</v>
      </c>
      <c r="J65" s="97">
        <v>9</v>
      </c>
      <c r="K65" s="97">
        <f t="shared" si="0"/>
        <v>3591</v>
      </c>
      <c r="L65" s="97">
        <f>_xlfn.XLOOKUP(E65,Emp_Data!$B$2:$B$9,Emp_Data!$A$2:$A$9)</f>
        <v>4</v>
      </c>
    </row>
    <row r="66" spans="1:12">
      <c r="A66" s="99">
        <v>333</v>
      </c>
      <c r="B66" s="101">
        <v>44300</v>
      </c>
      <c r="C66" s="96">
        <v>18</v>
      </c>
      <c r="D66" s="104" t="s">
        <v>30</v>
      </c>
      <c r="E66" s="97" t="s">
        <v>25</v>
      </c>
      <c r="F66" s="97" t="str">
        <f>VLOOKUP(E66,Emp_Data!$B$2:$C$9,2,)</f>
        <v>Jeff</v>
      </c>
      <c r="G66" s="97" t="s">
        <v>9</v>
      </c>
      <c r="H66" s="97" t="s">
        <v>39</v>
      </c>
      <c r="I66" s="97">
        <v>399</v>
      </c>
      <c r="J66" s="97">
        <v>4</v>
      </c>
      <c r="K66" s="97">
        <f t="shared" si="0"/>
        <v>1596</v>
      </c>
      <c r="L66" s="97">
        <f>_xlfn.XLOOKUP(E66,Emp_Data!$B$2:$B$9,Emp_Data!$A$2:$A$9)</f>
        <v>5</v>
      </c>
    </row>
    <row r="67" spans="1:12">
      <c r="A67" s="99">
        <v>338</v>
      </c>
      <c r="B67" s="101">
        <v>44303</v>
      </c>
      <c r="C67" s="96">
        <v>13</v>
      </c>
      <c r="D67" s="104" t="s">
        <v>23</v>
      </c>
      <c r="E67" s="97" t="s">
        <v>18</v>
      </c>
      <c r="F67" s="97" t="str">
        <f>VLOOKUP(E67,Emp_Data!$B$2:$C$9,2,)</f>
        <v>Sara</v>
      </c>
      <c r="G67" s="97" t="s">
        <v>19</v>
      </c>
      <c r="H67" s="97" t="s">
        <v>39</v>
      </c>
      <c r="I67" s="97">
        <v>399</v>
      </c>
      <c r="J67" s="97">
        <v>8</v>
      </c>
      <c r="K67" s="97">
        <f t="shared" ref="K67:K130" si="1">SUMPRODUCT(I67,J67)</f>
        <v>3192</v>
      </c>
      <c r="L67" s="97">
        <f>_xlfn.XLOOKUP(E67,Emp_Data!$B$2:$B$9,Emp_Data!$A$2:$A$9)</f>
        <v>5</v>
      </c>
    </row>
    <row r="68" spans="1:12">
      <c r="A68" s="99">
        <v>350</v>
      </c>
      <c r="B68" s="101">
        <v>44305</v>
      </c>
      <c r="C68" s="96">
        <v>3</v>
      </c>
      <c r="D68" s="104" t="s">
        <v>20</v>
      </c>
      <c r="E68" s="97" t="s">
        <v>14</v>
      </c>
      <c r="F68" s="97" t="str">
        <f>VLOOKUP(E68,Emp_Data!$B$2:$C$9,2,)</f>
        <v>Jeff</v>
      </c>
      <c r="G68" s="97" t="s">
        <v>15</v>
      </c>
      <c r="H68" s="97" t="s">
        <v>39</v>
      </c>
      <c r="I68" s="97">
        <v>399</v>
      </c>
      <c r="J68" s="97">
        <v>1</v>
      </c>
      <c r="K68" s="97">
        <f t="shared" si="1"/>
        <v>399</v>
      </c>
      <c r="L68" s="97">
        <f>_xlfn.XLOOKUP(E68,Emp_Data!$B$2:$B$9,Emp_Data!$A$2:$A$9)</f>
        <v>2</v>
      </c>
    </row>
    <row r="69" spans="1:12">
      <c r="A69" s="99">
        <v>353</v>
      </c>
      <c r="B69" s="101">
        <v>44306</v>
      </c>
      <c r="C69" s="96">
        <v>4</v>
      </c>
      <c r="D69" s="104" t="s">
        <v>13</v>
      </c>
      <c r="E69" s="97" t="s">
        <v>14</v>
      </c>
      <c r="F69" s="97" t="str">
        <f>VLOOKUP(E69,Emp_Data!$B$2:$C$9,2,)</f>
        <v>Jeff</v>
      </c>
      <c r="G69" s="97" t="s">
        <v>15</v>
      </c>
      <c r="H69" s="97" t="s">
        <v>39</v>
      </c>
      <c r="I69" s="97">
        <v>399</v>
      </c>
      <c r="J69" s="97">
        <v>1</v>
      </c>
      <c r="K69" s="97">
        <f t="shared" si="1"/>
        <v>399</v>
      </c>
      <c r="L69" s="97">
        <f>_xlfn.XLOOKUP(E69,Emp_Data!$B$2:$B$9,Emp_Data!$A$2:$A$9)</f>
        <v>2</v>
      </c>
    </row>
    <row r="70" spans="1:12">
      <c r="A70" s="99">
        <v>355</v>
      </c>
      <c r="B70" s="101">
        <v>44306</v>
      </c>
      <c r="C70" s="96">
        <v>17</v>
      </c>
      <c r="D70" s="104" t="s">
        <v>32</v>
      </c>
      <c r="E70" s="97" t="s">
        <v>25</v>
      </c>
      <c r="F70" s="97" t="str">
        <f>VLOOKUP(E70,Emp_Data!$B$2:$C$9,2,)</f>
        <v>Jeff</v>
      </c>
      <c r="G70" s="97" t="s">
        <v>9</v>
      </c>
      <c r="H70" s="97" t="s">
        <v>39</v>
      </c>
      <c r="I70" s="97">
        <v>399</v>
      </c>
      <c r="J70" s="97">
        <v>6</v>
      </c>
      <c r="K70" s="97">
        <f t="shared" si="1"/>
        <v>2394</v>
      </c>
      <c r="L70" s="97">
        <f>_xlfn.XLOOKUP(E70,Emp_Data!$B$2:$B$9,Emp_Data!$A$2:$A$9)</f>
        <v>5</v>
      </c>
    </row>
    <row r="71" spans="1:12">
      <c r="A71" s="99">
        <v>357</v>
      </c>
      <c r="B71" s="101">
        <v>44307</v>
      </c>
      <c r="C71" s="96">
        <v>3</v>
      </c>
      <c r="D71" s="104" t="s">
        <v>20</v>
      </c>
      <c r="E71" s="97" t="s">
        <v>21</v>
      </c>
      <c r="F71" s="97" t="str">
        <f>VLOOKUP(E71,Emp_Data!$B$2:$C$9,2,)</f>
        <v>Sara</v>
      </c>
      <c r="G71" s="97" t="s">
        <v>15</v>
      </c>
      <c r="H71" s="97" t="s">
        <v>39</v>
      </c>
      <c r="I71" s="97">
        <v>399</v>
      </c>
      <c r="J71" s="97">
        <v>2</v>
      </c>
      <c r="K71" s="97">
        <f t="shared" si="1"/>
        <v>798</v>
      </c>
      <c r="L71" s="97">
        <f>_xlfn.XLOOKUP(E71,Emp_Data!$B$2:$B$9,Emp_Data!$A$2:$A$9)</f>
        <v>2</v>
      </c>
    </row>
    <row r="72" spans="1:12">
      <c r="A72" s="99">
        <v>359</v>
      </c>
      <c r="B72" s="101">
        <v>44308</v>
      </c>
      <c r="C72" s="96">
        <v>1</v>
      </c>
      <c r="D72" s="104" t="s">
        <v>31</v>
      </c>
      <c r="E72" s="97" t="s">
        <v>21</v>
      </c>
      <c r="F72" s="97" t="str">
        <f>VLOOKUP(E72,Emp_Data!$B$2:$C$9,2,)</f>
        <v>Sara</v>
      </c>
      <c r="G72" s="97" t="s">
        <v>15</v>
      </c>
      <c r="H72" s="97" t="s">
        <v>39</v>
      </c>
      <c r="I72" s="97">
        <v>399</v>
      </c>
      <c r="J72" s="97">
        <v>5</v>
      </c>
      <c r="K72" s="97">
        <f t="shared" si="1"/>
        <v>1995</v>
      </c>
      <c r="L72" s="97">
        <f>_xlfn.XLOOKUP(E72,Emp_Data!$B$2:$B$9,Emp_Data!$A$2:$A$9)</f>
        <v>2</v>
      </c>
    </row>
    <row r="73" spans="1:12">
      <c r="A73" s="99">
        <v>362</v>
      </c>
      <c r="B73" s="101">
        <v>44308</v>
      </c>
      <c r="C73" s="96">
        <v>5</v>
      </c>
      <c r="D73" s="104" t="s">
        <v>16</v>
      </c>
      <c r="E73" s="97" t="s">
        <v>14</v>
      </c>
      <c r="F73" s="97" t="str">
        <f>VLOOKUP(E73,Emp_Data!$B$2:$C$9,2,)</f>
        <v>Jeff</v>
      </c>
      <c r="G73" s="97" t="s">
        <v>15</v>
      </c>
      <c r="H73" s="97" t="s">
        <v>39</v>
      </c>
      <c r="I73" s="97">
        <v>399</v>
      </c>
      <c r="J73" s="97">
        <v>2</v>
      </c>
      <c r="K73" s="97">
        <f t="shared" si="1"/>
        <v>798</v>
      </c>
      <c r="L73" s="97">
        <f>_xlfn.XLOOKUP(E73,Emp_Data!$B$2:$B$9,Emp_Data!$A$2:$A$9)</f>
        <v>2</v>
      </c>
    </row>
    <row r="74" spans="1:12">
      <c r="A74" s="99">
        <v>374</v>
      </c>
      <c r="B74" s="101">
        <v>44311</v>
      </c>
      <c r="C74" s="96">
        <v>5</v>
      </c>
      <c r="D74" s="104" t="s">
        <v>16</v>
      </c>
      <c r="E74" s="97" t="s">
        <v>14</v>
      </c>
      <c r="F74" s="97" t="str">
        <f>VLOOKUP(E74,Emp_Data!$B$2:$C$9,2,)</f>
        <v>Jeff</v>
      </c>
      <c r="G74" s="97" t="s">
        <v>15</v>
      </c>
      <c r="H74" s="97" t="s">
        <v>39</v>
      </c>
      <c r="I74" s="97">
        <v>399</v>
      </c>
      <c r="J74" s="97">
        <v>3</v>
      </c>
      <c r="K74" s="97">
        <f t="shared" si="1"/>
        <v>1197</v>
      </c>
      <c r="L74" s="97">
        <f>_xlfn.XLOOKUP(E74,Emp_Data!$B$2:$B$9,Emp_Data!$A$2:$A$9)</f>
        <v>2</v>
      </c>
    </row>
    <row r="75" spans="1:12">
      <c r="A75" s="99">
        <v>378</v>
      </c>
      <c r="B75" s="101">
        <v>44311</v>
      </c>
      <c r="C75" s="96">
        <v>11</v>
      </c>
      <c r="D75" s="104" t="s">
        <v>38</v>
      </c>
      <c r="E75" s="97" t="s">
        <v>18</v>
      </c>
      <c r="F75" s="97" t="str">
        <f>VLOOKUP(E75,Emp_Data!$B$2:$C$9,2,)</f>
        <v>Sara</v>
      </c>
      <c r="G75" s="97" t="s">
        <v>19</v>
      </c>
      <c r="H75" s="97" t="s">
        <v>39</v>
      </c>
      <c r="I75" s="97">
        <v>399</v>
      </c>
      <c r="J75" s="97">
        <v>3</v>
      </c>
      <c r="K75" s="97">
        <f t="shared" si="1"/>
        <v>1197</v>
      </c>
      <c r="L75" s="97">
        <f>_xlfn.XLOOKUP(E75,Emp_Data!$B$2:$B$9,Emp_Data!$A$2:$A$9)</f>
        <v>5</v>
      </c>
    </row>
    <row r="76" spans="1:12">
      <c r="A76" s="99">
        <v>386</v>
      </c>
      <c r="B76" s="101">
        <v>44314</v>
      </c>
      <c r="C76" s="96">
        <v>3</v>
      </c>
      <c r="D76" s="104" t="s">
        <v>20</v>
      </c>
      <c r="E76" s="97" t="s">
        <v>14</v>
      </c>
      <c r="F76" s="97" t="str">
        <f>VLOOKUP(E76,Emp_Data!$B$2:$C$9,2,)</f>
        <v>Jeff</v>
      </c>
      <c r="G76" s="97" t="s">
        <v>15</v>
      </c>
      <c r="H76" s="97" t="s">
        <v>39</v>
      </c>
      <c r="I76" s="97">
        <v>399</v>
      </c>
      <c r="J76" s="97">
        <v>2</v>
      </c>
      <c r="K76" s="97">
        <f t="shared" si="1"/>
        <v>798</v>
      </c>
      <c r="L76" s="97">
        <f>_xlfn.XLOOKUP(E76,Emp_Data!$B$2:$B$9,Emp_Data!$A$2:$A$9)</f>
        <v>2</v>
      </c>
    </row>
    <row r="77" spans="1:12">
      <c r="A77" s="99">
        <v>399</v>
      </c>
      <c r="B77" s="101">
        <v>44319</v>
      </c>
      <c r="C77" s="96">
        <v>5</v>
      </c>
      <c r="D77" s="104" t="s">
        <v>16</v>
      </c>
      <c r="E77" s="97" t="s">
        <v>21</v>
      </c>
      <c r="F77" s="97" t="str">
        <f>VLOOKUP(E77,Emp_Data!$B$2:$C$9,2,)</f>
        <v>Sara</v>
      </c>
      <c r="G77" s="97" t="s">
        <v>15</v>
      </c>
      <c r="H77" s="97" t="s">
        <v>39</v>
      </c>
      <c r="I77" s="97">
        <v>399</v>
      </c>
      <c r="J77" s="97">
        <v>7</v>
      </c>
      <c r="K77" s="97">
        <f t="shared" si="1"/>
        <v>2793</v>
      </c>
      <c r="L77" s="97">
        <f>_xlfn.XLOOKUP(E77,Emp_Data!$B$2:$B$9,Emp_Data!$A$2:$A$9)</f>
        <v>2</v>
      </c>
    </row>
    <row r="78" spans="1:12">
      <c r="A78" s="99">
        <v>403</v>
      </c>
      <c r="B78" s="101">
        <v>44321</v>
      </c>
      <c r="C78" s="96">
        <v>12</v>
      </c>
      <c r="D78" s="104" t="s">
        <v>17</v>
      </c>
      <c r="E78" s="97" t="s">
        <v>24</v>
      </c>
      <c r="F78" s="97" t="str">
        <f>VLOOKUP(E78,Emp_Data!$B$2:$C$9,2,)</f>
        <v>Steve</v>
      </c>
      <c r="G78" s="97" t="s">
        <v>19</v>
      </c>
      <c r="H78" s="97" t="s">
        <v>39</v>
      </c>
      <c r="I78" s="97">
        <v>399</v>
      </c>
      <c r="J78" s="97">
        <v>6</v>
      </c>
      <c r="K78" s="97">
        <f t="shared" si="1"/>
        <v>2394</v>
      </c>
      <c r="L78" s="97">
        <f>_xlfn.XLOOKUP(E78,Emp_Data!$B$2:$B$9,Emp_Data!$A$2:$A$9)</f>
        <v>6</v>
      </c>
    </row>
    <row r="79" spans="1:12">
      <c r="A79" s="99">
        <v>417</v>
      </c>
      <c r="B79" s="101">
        <v>44325</v>
      </c>
      <c r="C79" s="96">
        <v>2</v>
      </c>
      <c r="D79" s="104" t="s">
        <v>35</v>
      </c>
      <c r="E79" s="97" t="s">
        <v>14</v>
      </c>
      <c r="F79" s="97" t="str">
        <f>VLOOKUP(E79,Emp_Data!$B$2:$C$9,2,)</f>
        <v>Jeff</v>
      </c>
      <c r="G79" s="97" t="s">
        <v>15</v>
      </c>
      <c r="H79" s="97" t="s">
        <v>39</v>
      </c>
      <c r="I79" s="97">
        <v>399</v>
      </c>
      <c r="J79" s="97">
        <v>1</v>
      </c>
      <c r="K79" s="97">
        <f t="shared" si="1"/>
        <v>399</v>
      </c>
      <c r="L79" s="97">
        <f>_xlfn.XLOOKUP(E79,Emp_Data!$B$2:$B$9,Emp_Data!$A$2:$A$9)</f>
        <v>2</v>
      </c>
    </row>
    <row r="80" spans="1:12">
      <c r="A80" s="99">
        <v>432</v>
      </c>
      <c r="B80" s="101">
        <v>44331</v>
      </c>
      <c r="C80" s="96">
        <v>2</v>
      </c>
      <c r="D80" s="104" t="s">
        <v>35</v>
      </c>
      <c r="E80" s="97" t="s">
        <v>14</v>
      </c>
      <c r="F80" s="97" t="str">
        <f>VLOOKUP(E80,Emp_Data!$B$2:$C$9,2,)</f>
        <v>Jeff</v>
      </c>
      <c r="G80" s="97" t="s">
        <v>15</v>
      </c>
      <c r="H80" s="97" t="s">
        <v>39</v>
      </c>
      <c r="I80" s="97">
        <v>399</v>
      </c>
      <c r="J80" s="97">
        <v>3</v>
      </c>
      <c r="K80" s="97">
        <f t="shared" si="1"/>
        <v>1197</v>
      </c>
      <c r="L80" s="97">
        <f>_xlfn.XLOOKUP(E80,Emp_Data!$B$2:$B$9,Emp_Data!$A$2:$A$9)</f>
        <v>2</v>
      </c>
    </row>
    <row r="81" spans="1:12">
      <c r="A81" s="99">
        <v>442</v>
      </c>
      <c r="B81" s="101">
        <v>44331</v>
      </c>
      <c r="C81" s="96">
        <v>1</v>
      </c>
      <c r="D81" s="104" t="s">
        <v>31</v>
      </c>
      <c r="E81" s="97" t="s">
        <v>14</v>
      </c>
      <c r="F81" s="97" t="str">
        <f>VLOOKUP(E81,Emp_Data!$B$2:$C$9,2,)</f>
        <v>Jeff</v>
      </c>
      <c r="G81" s="97" t="s">
        <v>15</v>
      </c>
      <c r="H81" s="97" t="s">
        <v>39</v>
      </c>
      <c r="I81" s="97">
        <v>399</v>
      </c>
      <c r="J81" s="97">
        <v>1</v>
      </c>
      <c r="K81" s="97">
        <f t="shared" si="1"/>
        <v>399</v>
      </c>
      <c r="L81" s="97">
        <f>_xlfn.XLOOKUP(E81,Emp_Data!$B$2:$B$9,Emp_Data!$A$2:$A$9)</f>
        <v>2</v>
      </c>
    </row>
    <row r="82" spans="1:12">
      <c r="A82" s="99">
        <v>447</v>
      </c>
      <c r="B82" s="101">
        <v>44332</v>
      </c>
      <c r="C82" s="96">
        <v>16</v>
      </c>
      <c r="D82" s="104" t="s">
        <v>37</v>
      </c>
      <c r="E82" s="97" t="s">
        <v>8</v>
      </c>
      <c r="F82" s="97" t="str">
        <f>VLOOKUP(E82,Emp_Data!$B$2:$C$9,2,)</f>
        <v>Jeff</v>
      </c>
      <c r="G82" s="97" t="s">
        <v>9</v>
      </c>
      <c r="H82" s="97" t="s">
        <v>39</v>
      </c>
      <c r="I82" s="97">
        <v>399</v>
      </c>
      <c r="J82" s="97">
        <v>5</v>
      </c>
      <c r="K82" s="97">
        <f t="shared" si="1"/>
        <v>1995</v>
      </c>
      <c r="L82" s="97">
        <f>_xlfn.XLOOKUP(E82,Emp_Data!$B$2:$B$9,Emp_Data!$A$2:$A$9)</f>
        <v>3</v>
      </c>
    </row>
    <row r="83" spans="1:12">
      <c r="A83" s="99">
        <v>453</v>
      </c>
      <c r="B83" s="101">
        <v>44332</v>
      </c>
      <c r="C83" s="96">
        <v>6</v>
      </c>
      <c r="D83" s="104" t="s">
        <v>10</v>
      </c>
      <c r="E83" s="97" t="s">
        <v>11</v>
      </c>
      <c r="F83" s="97" t="str">
        <f>VLOOKUP(E83,Emp_Data!$B$2:$C$9,2,)</f>
        <v>Steve</v>
      </c>
      <c r="G83" s="97" t="s">
        <v>12</v>
      </c>
      <c r="H83" s="97" t="s">
        <v>39</v>
      </c>
      <c r="I83" s="97">
        <v>399</v>
      </c>
      <c r="J83" s="97">
        <v>3</v>
      </c>
      <c r="K83" s="97">
        <f t="shared" si="1"/>
        <v>1197</v>
      </c>
      <c r="L83" s="97">
        <f>_xlfn.XLOOKUP(E83,Emp_Data!$B$2:$B$9,Emp_Data!$A$2:$A$9)</f>
        <v>4</v>
      </c>
    </row>
    <row r="84" spans="1:12">
      <c r="A84" s="99">
        <v>456</v>
      </c>
      <c r="B84" s="101">
        <v>44333</v>
      </c>
      <c r="C84" s="96">
        <v>3</v>
      </c>
      <c r="D84" s="104" t="s">
        <v>20</v>
      </c>
      <c r="E84" s="97" t="s">
        <v>14</v>
      </c>
      <c r="F84" s="97" t="str">
        <f>VLOOKUP(E84,Emp_Data!$B$2:$C$9,2,)</f>
        <v>Jeff</v>
      </c>
      <c r="G84" s="97" t="s">
        <v>15</v>
      </c>
      <c r="H84" s="97" t="s">
        <v>39</v>
      </c>
      <c r="I84" s="97">
        <v>399</v>
      </c>
      <c r="J84" s="97">
        <v>7</v>
      </c>
      <c r="K84" s="97">
        <f t="shared" si="1"/>
        <v>2793</v>
      </c>
      <c r="L84" s="97">
        <f>_xlfn.XLOOKUP(E84,Emp_Data!$B$2:$B$9,Emp_Data!$A$2:$A$9)</f>
        <v>2</v>
      </c>
    </row>
    <row r="85" spans="1:12">
      <c r="A85" s="99">
        <v>461</v>
      </c>
      <c r="B85" s="101">
        <v>44334</v>
      </c>
      <c r="C85" s="96">
        <v>7</v>
      </c>
      <c r="D85" s="104" t="s">
        <v>28</v>
      </c>
      <c r="E85" s="97" t="s">
        <v>11</v>
      </c>
      <c r="F85" s="97" t="str">
        <f>VLOOKUP(E85,Emp_Data!$B$2:$C$9,2,)</f>
        <v>Steve</v>
      </c>
      <c r="G85" s="97" t="s">
        <v>12</v>
      </c>
      <c r="H85" s="97" t="s">
        <v>39</v>
      </c>
      <c r="I85" s="97">
        <v>399</v>
      </c>
      <c r="J85" s="97">
        <v>0</v>
      </c>
      <c r="K85" s="97">
        <f t="shared" si="1"/>
        <v>0</v>
      </c>
      <c r="L85" s="97">
        <f>_xlfn.XLOOKUP(E85,Emp_Data!$B$2:$B$9,Emp_Data!$A$2:$A$9)</f>
        <v>4</v>
      </c>
    </row>
    <row r="86" spans="1:12">
      <c r="A86" s="99">
        <v>462</v>
      </c>
      <c r="B86" s="101">
        <v>44334</v>
      </c>
      <c r="C86" s="96">
        <v>1</v>
      </c>
      <c r="D86" s="104" t="s">
        <v>31</v>
      </c>
      <c r="E86" s="97" t="s">
        <v>14</v>
      </c>
      <c r="F86" s="97" t="str">
        <f>VLOOKUP(E86,Emp_Data!$B$2:$C$9,2,)</f>
        <v>Jeff</v>
      </c>
      <c r="G86" s="97" t="s">
        <v>15</v>
      </c>
      <c r="H86" s="97" t="s">
        <v>39</v>
      </c>
      <c r="I86" s="97">
        <v>399</v>
      </c>
      <c r="J86" s="97">
        <v>3</v>
      </c>
      <c r="K86" s="97">
        <f t="shared" si="1"/>
        <v>1197</v>
      </c>
      <c r="L86" s="97">
        <f>_xlfn.XLOOKUP(E86,Emp_Data!$B$2:$B$9,Emp_Data!$A$2:$A$9)</f>
        <v>2</v>
      </c>
    </row>
    <row r="87" spans="1:12">
      <c r="A87" s="99">
        <v>463</v>
      </c>
      <c r="B87" s="101">
        <v>44335</v>
      </c>
      <c r="C87" s="96">
        <v>10</v>
      </c>
      <c r="D87" s="104" t="s">
        <v>34</v>
      </c>
      <c r="E87" s="97" t="s">
        <v>27</v>
      </c>
      <c r="F87" s="97" t="str">
        <f>VLOOKUP(E87,Emp_Data!$B$2:$C$9,2,)</f>
        <v>Philip</v>
      </c>
      <c r="G87" s="97" t="s">
        <v>12</v>
      </c>
      <c r="H87" s="97" t="s">
        <v>39</v>
      </c>
      <c r="I87" s="97">
        <v>399</v>
      </c>
      <c r="J87" s="97">
        <v>9</v>
      </c>
      <c r="K87" s="97">
        <f t="shared" si="1"/>
        <v>3591</v>
      </c>
      <c r="L87" s="97">
        <f>_xlfn.XLOOKUP(E87,Emp_Data!$B$2:$B$9,Emp_Data!$A$2:$A$9)</f>
        <v>8</v>
      </c>
    </row>
    <row r="88" spans="1:12">
      <c r="A88" s="99">
        <v>470</v>
      </c>
      <c r="B88" s="101">
        <v>44336</v>
      </c>
      <c r="C88" s="96">
        <v>14</v>
      </c>
      <c r="D88" s="104" t="s">
        <v>33</v>
      </c>
      <c r="E88" s="97" t="s">
        <v>18</v>
      </c>
      <c r="F88" s="97" t="str">
        <f>VLOOKUP(E88,Emp_Data!$B$2:$C$9,2,)</f>
        <v>Sara</v>
      </c>
      <c r="G88" s="97" t="s">
        <v>19</v>
      </c>
      <c r="H88" s="97" t="s">
        <v>39</v>
      </c>
      <c r="I88" s="97">
        <v>399</v>
      </c>
      <c r="J88" s="97">
        <v>9</v>
      </c>
      <c r="K88" s="97">
        <f t="shared" si="1"/>
        <v>3591</v>
      </c>
      <c r="L88" s="97">
        <f>_xlfn.XLOOKUP(E88,Emp_Data!$B$2:$B$9,Emp_Data!$A$2:$A$9)</f>
        <v>5</v>
      </c>
    </row>
    <row r="89" spans="1:12">
      <c r="A89" s="99">
        <v>472</v>
      </c>
      <c r="B89" s="101">
        <v>44338</v>
      </c>
      <c r="C89" s="96">
        <v>5</v>
      </c>
      <c r="D89" s="104" t="s">
        <v>16</v>
      </c>
      <c r="E89" s="97" t="s">
        <v>14</v>
      </c>
      <c r="F89" s="97" t="str">
        <f>VLOOKUP(E89,Emp_Data!$B$2:$C$9,2,)</f>
        <v>Jeff</v>
      </c>
      <c r="G89" s="97" t="s">
        <v>15</v>
      </c>
      <c r="H89" s="97" t="s">
        <v>39</v>
      </c>
      <c r="I89" s="97">
        <v>399</v>
      </c>
      <c r="J89" s="97">
        <v>3</v>
      </c>
      <c r="K89" s="97">
        <f t="shared" si="1"/>
        <v>1197</v>
      </c>
      <c r="L89" s="97">
        <f>_xlfn.XLOOKUP(E89,Emp_Data!$B$2:$B$9,Emp_Data!$A$2:$A$9)</f>
        <v>2</v>
      </c>
    </row>
    <row r="90" spans="1:12">
      <c r="A90" s="99">
        <v>474</v>
      </c>
      <c r="B90" s="101">
        <v>44339</v>
      </c>
      <c r="C90" s="96">
        <v>18</v>
      </c>
      <c r="D90" s="104" t="s">
        <v>30</v>
      </c>
      <c r="E90" s="97" t="s">
        <v>8</v>
      </c>
      <c r="F90" s="97" t="str">
        <f>VLOOKUP(E90,Emp_Data!$B$2:$C$9,2,)</f>
        <v>Jeff</v>
      </c>
      <c r="G90" s="97" t="s">
        <v>9</v>
      </c>
      <c r="H90" s="97" t="s">
        <v>39</v>
      </c>
      <c r="I90" s="97">
        <v>399</v>
      </c>
      <c r="J90" s="97">
        <v>3</v>
      </c>
      <c r="K90" s="97">
        <f t="shared" si="1"/>
        <v>1197</v>
      </c>
      <c r="L90" s="97">
        <f>_xlfn.XLOOKUP(E90,Emp_Data!$B$2:$B$9,Emp_Data!$A$2:$A$9)</f>
        <v>3</v>
      </c>
    </row>
    <row r="91" spans="1:12">
      <c r="A91" s="99">
        <v>493</v>
      </c>
      <c r="B91" s="101">
        <v>44342</v>
      </c>
      <c r="C91" s="96">
        <v>9</v>
      </c>
      <c r="D91" s="104" t="s">
        <v>26</v>
      </c>
      <c r="E91" s="97" t="s">
        <v>11</v>
      </c>
      <c r="F91" s="97" t="str">
        <f>VLOOKUP(E91,Emp_Data!$B$2:$C$9,2,)</f>
        <v>Steve</v>
      </c>
      <c r="G91" s="97" t="s">
        <v>12</v>
      </c>
      <c r="H91" s="97" t="s">
        <v>39</v>
      </c>
      <c r="I91" s="97">
        <v>399</v>
      </c>
      <c r="J91" s="97">
        <v>2</v>
      </c>
      <c r="K91" s="97">
        <f t="shared" si="1"/>
        <v>798</v>
      </c>
      <c r="L91" s="97">
        <f>_xlfn.XLOOKUP(E91,Emp_Data!$B$2:$B$9,Emp_Data!$A$2:$A$9)</f>
        <v>4</v>
      </c>
    </row>
    <row r="92" spans="1:12">
      <c r="A92" s="99">
        <v>507</v>
      </c>
      <c r="B92" s="101">
        <v>44345</v>
      </c>
      <c r="C92" s="96">
        <v>2</v>
      </c>
      <c r="D92" s="104" t="s">
        <v>35</v>
      </c>
      <c r="E92" s="97" t="s">
        <v>21</v>
      </c>
      <c r="F92" s="97" t="str">
        <f>VLOOKUP(E92,Emp_Data!$B$2:$C$9,2,)</f>
        <v>Sara</v>
      </c>
      <c r="G92" s="97" t="s">
        <v>15</v>
      </c>
      <c r="H92" s="97" t="s">
        <v>39</v>
      </c>
      <c r="I92" s="97">
        <v>399</v>
      </c>
      <c r="J92" s="97">
        <v>9</v>
      </c>
      <c r="K92" s="97">
        <f t="shared" si="1"/>
        <v>3591</v>
      </c>
      <c r="L92" s="97">
        <f>_xlfn.XLOOKUP(E92,Emp_Data!$B$2:$B$9,Emp_Data!$A$2:$A$9)</f>
        <v>2</v>
      </c>
    </row>
    <row r="93" spans="1:12">
      <c r="A93" s="99">
        <v>508</v>
      </c>
      <c r="B93" s="101">
        <v>44345</v>
      </c>
      <c r="C93" s="96">
        <v>19</v>
      </c>
      <c r="D93" s="104" t="s">
        <v>22</v>
      </c>
      <c r="E93" s="97" t="s">
        <v>8</v>
      </c>
      <c r="F93" s="97" t="str">
        <f>VLOOKUP(E93,Emp_Data!$B$2:$C$9,2,)</f>
        <v>Jeff</v>
      </c>
      <c r="G93" s="97" t="s">
        <v>9</v>
      </c>
      <c r="H93" s="97" t="s">
        <v>39</v>
      </c>
      <c r="I93" s="97">
        <v>399</v>
      </c>
      <c r="J93" s="97">
        <v>6</v>
      </c>
      <c r="K93" s="97">
        <f t="shared" si="1"/>
        <v>2394</v>
      </c>
      <c r="L93" s="97">
        <f>_xlfn.XLOOKUP(E93,Emp_Data!$B$2:$B$9,Emp_Data!$A$2:$A$9)</f>
        <v>3</v>
      </c>
    </row>
    <row r="94" spans="1:12">
      <c r="A94" s="99">
        <v>520</v>
      </c>
      <c r="B94" s="101">
        <v>44350</v>
      </c>
      <c r="C94" s="96">
        <v>18</v>
      </c>
      <c r="D94" s="104" t="s">
        <v>30</v>
      </c>
      <c r="E94" s="97" t="s">
        <v>25</v>
      </c>
      <c r="F94" s="97" t="str">
        <f>VLOOKUP(E94,Emp_Data!$B$2:$C$9,2,)</f>
        <v>Jeff</v>
      </c>
      <c r="G94" s="97" t="s">
        <v>9</v>
      </c>
      <c r="H94" s="97" t="s">
        <v>39</v>
      </c>
      <c r="I94" s="97">
        <v>399</v>
      </c>
      <c r="J94" s="97">
        <v>7</v>
      </c>
      <c r="K94" s="97">
        <f t="shared" si="1"/>
        <v>2793</v>
      </c>
      <c r="L94" s="97">
        <f>_xlfn.XLOOKUP(E94,Emp_Data!$B$2:$B$9,Emp_Data!$A$2:$A$9)</f>
        <v>5</v>
      </c>
    </row>
    <row r="95" spans="1:12">
      <c r="A95" s="99">
        <v>530</v>
      </c>
      <c r="B95" s="101">
        <v>44350</v>
      </c>
      <c r="C95" s="96">
        <v>16</v>
      </c>
      <c r="D95" s="104" t="s">
        <v>37</v>
      </c>
      <c r="E95" s="97" t="s">
        <v>8</v>
      </c>
      <c r="F95" s="97" t="str">
        <f>VLOOKUP(E95,Emp_Data!$B$2:$C$9,2,)</f>
        <v>Jeff</v>
      </c>
      <c r="G95" s="97" t="s">
        <v>9</v>
      </c>
      <c r="H95" s="97" t="s">
        <v>39</v>
      </c>
      <c r="I95" s="97">
        <v>399</v>
      </c>
      <c r="J95" s="97">
        <v>7</v>
      </c>
      <c r="K95" s="97">
        <f t="shared" si="1"/>
        <v>2793</v>
      </c>
      <c r="L95" s="97">
        <f>_xlfn.XLOOKUP(E95,Emp_Data!$B$2:$B$9,Emp_Data!$A$2:$A$9)</f>
        <v>3</v>
      </c>
    </row>
    <row r="96" spans="1:12">
      <c r="A96" s="99">
        <v>532</v>
      </c>
      <c r="B96" s="101">
        <v>44351</v>
      </c>
      <c r="C96" s="96">
        <v>11</v>
      </c>
      <c r="D96" s="104" t="s">
        <v>38</v>
      </c>
      <c r="E96" s="97" t="s">
        <v>24</v>
      </c>
      <c r="F96" s="97" t="str">
        <f>VLOOKUP(E96,Emp_Data!$B$2:$C$9,2,)</f>
        <v>Steve</v>
      </c>
      <c r="G96" s="97" t="s">
        <v>19</v>
      </c>
      <c r="H96" s="97" t="s">
        <v>39</v>
      </c>
      <c r="I96" s="97">
        <v>399</v>
      </c>
      <c r="J96" s="97">
        <v>8</v>
      </c>
      <c r="K96" s="97">
        <f t="shared" si="1"/>
        <v>3192</v>
      </c>
      <c r="L96" s="97">
        <f>_xlfn.XLOOKUP(E96,Emp_Data!$B$2:$B$9,Emp_Data!$A$2:$A$9)</f>
        <v>6</v>
      </c>
    </row>
    <row r="97" spans="1:12">
      <c r="A97" s="99">
        <v>542</v>
      </c>
      <c r="B97" s="101">
        <v>44355</v>
      </c>
      <c r="C97" s="96">
        <v>9</v>
      </c>
      <c r="D97" s="104" t="s">
        <v>26</v>
      </c>
      <c r="E97" s="97" t="s">
        <v>11</v>
      </c>
      <c r="F97" s="97" t="str">
        <f>VLOOKUP(E97,Emp_Data!$B$2:$C$9,2,)</f>
        <v>Steve</v>
      </c>
      <c r="G97" s="97" t="s">
        <v>12</v>
      </c>
      <c r="H97" s="97" t="s">
        <v>39</v>
      </c>
      <c r="I97" s="97">
        <v>399</v>
      </c>
      <c r="J97" s="97">
        <v>5</v>
      </c>
      <c r="K97" s="97">
        <f t="shared" si="1"/>
        <v>1995</v>
      </c>
      <c r="L97" s="97">
        <f>_xlfn.XLOOKUP(E97,Emp_Data!$B$2:$B$9,Emp_Data!$A$2:$A$9)</f>
        <v>4</v>
      </c>
    </row>
    <row r="98" spans="1:12">
      <c r="A98" s="99">
        <v>545</v>
      </c>
      <c r="B98" s="101">
        <v>44356</v>
      </c>
      <c r="C98" s="96">
        <v>14</v>
      </c>
      <c r="D98" s="104" t="s">
        <v>33</v>
      </c>
      <c r="E98" s="97" t="s">
        <v>24</v>
      </c>
      <c r="F98" s="97" t="str">
        <f>VLOOKUP(E98,Emp_Data!$B$2:$C$9,2,)</f>
        <v>Steve</v>
      </c>
      <c r="G98" s="97" t="s">
        <v>19</v>
      </c>
      <c r="H98" s="97" t="s">
        <v>39</v>
      </c>
      <c r="I98" s="97">
        <v>399</v>
      </c>
      <c r="J98" s="97">
        <v>0</v>
      </c>
      <c r="K98" s="97">
        <f t="shared" si="1"/>
        <v>0</v>
      </c>
      <c r="L98" s="97">
        <f>_xlfn.XLOOKUP(E98,Emp_Data!$B$2:$B$9,Emp_Data!$A$2:$A$9)</f>
        <v>6</v>
      </c>
    </row>
    <row r="99" spans="1:12">
      <c r="A99" s="99">
        <v>553</v>
      </c>
      <c r="B99" s="101">
        <v>44358</v>
      </c>
      <c r="C99" s="96">
        <v>11</v>
      </c>
      <c r="D99" s="104" t="s">
        <v>38</v>
      </c>
      <c r="E99" s="97" t="s">
        <v>18</v>
      </c>
      <c r="F99" s="97" t="str">
        <f>VLOOKUP(E99,Emp_Data!$B$2:$C$9,2,)</f>
        <v>Sara</v>
      </c>
      <c r="G99" s="97" t="s">
        <v>19</v>
      </c>
      <c r="H99" s="97" t="s">
        <v>39</v>
      </c>
      <c r="I99" s="97">
        <v>399</v>
      </c>
      <c r="J99" s="97">
        <v>0</v>
      </c>
      <c r="K99" s="97">
        <f t="shared" si="1"/>
        <v>0</v>
      </c>
      <c r="L99" s="97">
        <f>_xlfn.XLOOKUP(E99,Emp_Data!$B$2:$B$9,Emp_Data!$A$2:$A$9)</f>
        <v>5</v>
      </c>
    </row>
    <row r="100" spans="1:12">
      <c r="A100" s="99">
        <v>556</v>
      </c>
      <c r="B100" s="101">
        <v>44359</v>
      </c>
      <c r="C100" s="96">
        <v>10</v>
      </c>
      <c r="D100" s="104" t="s">
        <v>34</v>
      </c>
      <c r="E100" s="97" t="s">
        <v>11</v>
      </c>
      <c r="F100" s="97" t="str">
        <f>VLOOKUP(E100,Emp_Data!$B$2:$C$9,2,)</f>
        <v>Steve</v>
      </c>
      <c r="G100" s="97" t="s">
        <v>12</v>
      </c>
      <c r="H100" s="97" t="s">
        <v>39</v>
      </c>
      <c r="I100" s="97">
        <v>399</v>
      </c>
      <c r="J100" s="97">
        <v>0</v>
      </c>
      <c r="K100" s="97">
        <f t="shared" si="1"/>
        <v>0</v>
      </c>
      <c r="L100" s="97">
        <f>_xlfn.XLOOKUP(E100,Emp_Data!$B$2:$B$9,Emp_Data!$A$2:$A$9)</f>
        <v>4</v>
      </c>
    </row>
    <row r="101" spans="1:12">
      <c r="A101" s="99">
        <v>558</v>
      </c>
      <c r="B101" s="101">
        <v>44360</v>
      </c>
      <c r="C101" s="96">
        <v>14</v>
      </c>
      <c r="D101" s="104" t="s">
        <v>33</v>
      </c>
      <c r="E101" s="97" t="s">
        <v>24</v>
      </c>
      <c r="F101" s="97" t="str">
        <f>VLOOKUP(E101,Emp_Data!$B$2:$C$9,2,)</f>
        <v>Steve</v>
      </c>
      <c r="G101" s="97" t="s">
        <v>19</v>
      </c>
      <c r="H101" s="97" t="s">
        <v>39</v>
      </c>
      <c r="I101" s="97">
        <v>399</v>
      </c>
      <c r="J101" s="97">
        <v>9</v>
      </c>
      <c r="K101" s="97">
        <f t="shared" si="1"/>
        <v>3591</v>
      </c>
      <c r="L101" s="97">
        <f>_xlfn.XLOOKUP(E101,Emp_Data!$B$2:$B$9,Emp_Data!$A$2:$A$9)</f>
        <v>6</v>
      </c>
    </row>
    <row r="102" spans="1:12">
      <c r="A102" s="99">
        <v>563</v>
      </c>
      <c r="B102" s="101">
        <v>44363</v>
      </c>
      <c r="C102" s="96">
        <v>13</v>
      </c>
      <c r="D102" s="104" t="s">
        <v>23</v>
      </c>
      <c r="E102" s="97" t="s">
        <v>18</v>
      </c>
      <c r="F102" s="97" t="str">
        <f>VLOOKUP(E102,Emp_Data!$B$2:$C$9,2,)</f>
        <v>Sara</v>
      </c>
      <c r="G102" s="97" t="s">
        <v>19</v>
      </c>
      <c r="H102" s="97" t="s">
        <v>39</v>
      </c>
      <c r="I102" s="97">
        <v>399</v>
      </c>
      <c r="J102" s="97">
        <v>0</v>
      </c>
      <c r="K102" s="97">
        <f t="shared" si="1"/>
        <v>0</v>
      </c>
      <c r="L102" s="97">
        <f>_xlfn.XLOOKUP(E102,Emp_Data!$B$2:$B$9,Emp_Data!$A$2:$A$9)</f>
        <v>5</v>
      </c>
    </row>
    <row r="103" spans="1:12">
      <c r="A103" s="99">
        <v>564</v>
      </c>
      <c r="B103" s="101">
        <v>44363</v>
      </c>
      <c r="C103" s="96">
        <v>15</v>
      </c>
      <c r="D103" s="104" t="s">
        <v>29</v>
      </c>
      <c r="E103" s="97" t="s">
        <v>18</v>
      </c>
      <c r="F103" s="97" t="str">
        <f>VLOOKUP(E103,Emp_Data!$B$2:$C$9,2,)</f>
        <v>Sara</v>
      </c>
      <c r="G103" s="97" t="s">
        <v>19</v>
      </c>
      <c r="H103" s="97" t="s">
        <v>39</v>
      </c>
      <c r="I103" s="97">
        <v>399</v>
      </c>
      <c r="J103" s="97">
        <v>6</v>
      </c>
      <c r="K103" s="97">
        <f t="shared" si="1"/>
        <v>2394</v>
      </c>
      <c r="L103" s="97">
        <f>_xlfn.XLOOKUP(E103,Emp_Data!$B$2:$B$9,Emp_Data!$A$2:$A$9)</f>
        <v>5</v>
      </c>
    </row>
    <row r="104" spans="1:12">
      <c r="A104" s="99">
        <v>568</v>
      </c>
      <c r="B104" s="101">
        <v>44363</v>
      </c>
      <c r="C104" s="96">
        <v>14</v>
      </c>
      <c r="D104" s="104" t="s">
        <v>33</v>
      </c>
      <c r="E104" s="97" t="s">
        <v>24</v>
      </c>
      <c r="F104" s="97" t="str">
        <f>VLOOKUP(E104,Emp_Data!$B$2:$C$9,2,)</f>
        <v>Steve</v>
      </c>
      <c r="G104" s="97" t="s">
        <v>19</v>
      </c>
      <c r="H104" s="97" t="s">
        <v>39</v>
      </c>
      <c r="I104" s="97">
        <v>399</v>
      </c>
      <c r="J104" s="97">
        <v>0</v>
      </c>
      <c r="K104" s="97">
        <f t="shared" si="1"/>
        <v>0</v>
      </c>
      <c r="L104" s="97">
        <f>_xlfn.XLOOKUP(E104,Emp_Data!$B$2:$B$9,Emp_Data!$A$2:$A$9)</f>
        <v>6</v>
      </c>
    </row>
    <row r="105" spans="1:12">
      <c r="A105" s="99">
        <v>573</v>
      </c>
      <c r="B105" s="101">
        <v>44366</v>
      </c>
      <c r="C105" s="96">
        <v>20</v>
      </c>
      <c r="D105" s="104" t="s">
        <v>7</v>
      </c>
      <c r="E105" s="97" t="s">
        <v>25</v>
      </c>
      <c r="F105" s="97" t="str">
        <f>VLOOKUP(E105,Emp_Data!$B$2:$C$9,2,)</f>
        <v>Jeff</v>
      </c>
      <c r="G105" s="97" t="s">
        <v>9</v>
      </c>
      <c r="H105" s="97" t="s">
        <v>39</v>
      </c>
      <c r="I105" s="97">
        <v>399</v>
      </c>
      <c r="J105" s="97">
        <v>5</v>
      </c>
      <c r="K105" s="97">
        <f t="shared" si="1"/>
        <v>1995</v>
      </c>
      <c r="L105" s="97">
        <f>_xlfn.XLOOKUP(E105,Emp_Data!$B$2:$B$9,Emp_Data!$A$2:$A$9)</f>
        <v>5</v>
      </c>
    </row>
    <row r="106" spans="1:12">
      <c r="A106" s="99">
        <v>578</v>
      </c>
      <c r="B106" s="101">
        <v>44368</v>
      </c>
      <c r="C106" s="96">
        <v>14</v>
      </c>
      <c r="D106" s="104" t="s">
        <v>33</v>
      </c>
      <c r="E106" s="97" t="s">
        <v>18</v>
      </c>
      <c r="F106" s="97" t="str">
        <f>VLOOKUP(E106,Emp_Data!$B$2:$C$9,2,)</f>
        <v>Sara</v>
      </c>
      <c r="G106" s="97" t="s">
        <v>19</v>
      </c>
      <c r="H106" s="97" t="s">
        <v>39</v>
      </c>
      <c r="I106" s="97">
        <v>399</v>
      </c>
      <c r="J106" s="97">
        <v>9</v>
      </c>
      <c r="K106" s="97">
        <f t="shared" si="1"/>
        <v>3591</v>
      </c>
      <c r="L106" s="97">
        <f>_xlfn.XLOOKUP(E106,Emp_Data!$B$2:$B$9,Emp_Data!$A$2:$A$9)</f>
        <v>5</v>
      </c>
    </row>
    <row r="107" spans="1:12">
      <c r="A107" s="99">
        <v>579</v>
      </c>
      <c r="B107" s="101">
        <v>44369</v>
      </c>
      <c r="C107" s="96">
        <v>7</v>
      </c>
      <c r="D107" s="104" t="s">
        <v>28</v>
      </c>
      <c r="E107" s="97" t="s">
        <v>27</v>
      </c>
      <c r="F107" s="97" t="str">
        <f>VLOOKUP(E107,Emp_Data!$B$2:$C$9,2,)</f>
        <v>Philip</v>
      </c>
      <c r="G107" s="97" t="s">
        <v>12</v>
      </c>
      <c r="H107" s="97" t="s">
        <v>39</v>
      </c>
      <c r="I107" s="97">
        <v>399</v>
      </c>
      <c r="J107" s="97">
        <v>0</v>
      </c>
      <c r="K107" s="97">
        <f t="shared" si="1"/>
        <v>0</v>
      </c>
      <c r="L107" s="97">
        <f>_xlfn.XLOOKUP(E107,Emp_Data!$B$2:$B$9,Emp_Data!$A$2:$A$9)</f>
        <v>8</v>
      </c>
    </row>
    <row r="108" spans="1:12">
      <c r="A108" s="99">
        <v>582</v>
      </c>
      <c r="B108" s="101">
        <v>44369</v>
      </c>
      <c r="C108" s="96">
        <v>15</v>
      </c>
      <c r="D108" s="104" t="s">
        <v>29</v>
      </c>
      <c r="E108" s="97" t="s">
        <v>24</v>
      </c>
      <c r="F108" s="97" t="str">
        <f>VLOOKUP(E108,Emp_Data!$B$2:$C$9,2,)</f>
        <v>Steve</v>
      </c>
      <c r="G108" s="97" t="s">
        <v>19</v>
      </c>
      <c r="H108" s="97" t="s">
        <v>39</v>
      </c>
      <c r="I108" s="97">
        <v>399</v>
      </c>
      <c r="J108" s="97">
        <v>4</v>
      </c>
      <c r="K108" s="97">
        <f t="shared" si="1"/>
        <v>1596</v>
      </c>
      <c r="L108" s="97">
        <f>_xlfn.XLOOKUP(E108,Emp_Data!$B$2:$B$9,Emp_Data!$A$2:$A$9)</f>
        <v>6</v>
      </c>
    </row>
    <row r="109" spans="1:12">
      <c r="A109" s="99">
        <v>583</v>
      </c>
      <c r="B109" s="101">
        <v>44369</v>
      </c>
      <c r="C109" s="96">
        <v>10</v>
      </c>
      <c r="D109" s="104" t="s">
        <v>34</v>
      </c>
      <c r="E109" s="97" t="s">
        <v>11</v>
      </c>
      <c r="F109" s="97" t="str">
        <f>VLOOKUP(E109,Emp_Data!$B$2:$C$9,2,)</f>
        <v>Steve</v>
      </c>
      <c r="G109" s="97" t="s">
        <v>12</v>
      </c>
      <c r="H109" s="97" t="s">
        <v>39</v>
      </c>
      <c r="I109" s="97">
        <v>399</v>
      </c>
      <c r="J109" s="97">
        <v>3</v>
      </c>
      <c r="K109" s="97">
        <f t="shared" si="1"/>
        <v>1197</v>
      </c>
      <c r="L109" s="97">
        <f>_xlfn.XLOOKUP(E109,Emp_Data!$B$2:$B$9,Emp_Data!$A$2:$A$9)</f>
        <v>4</v>
      </c>
    </row>
    <row r="110" spans="1:12">
      <c r="A110" s="99">
        <v>589</v>
      </c>
      <c r="B110" s="101">
        <v>44371</v>
      </c>
      <c r="C110" s="96">
        <v>5</v>
      </c>
      <c r="D110" s="104" t="s">
        <v>16</v>
      </c>
      <c r="E110" s="97" t="s">
        <v>14</v>
      </c>
      <c r="F110" s="97" t="str">
        <f>VLOOKUP(E110,Emp_Data!$B$2:$C$9,2,)</f>
        <v>Jeff</v>
      </c>
      <c r="G110" s="97" t="s">
        <v>15</v>
      </c>
      <c r="H110" s="97" t="s">
        <v>39</v>
      </c>
      <c r="I110" s="97">
        <v>399</v>
      </c>
      <c r="J110" s="97">
        <v>3</v>
      </c>
      <c r="K110" s="97">
        <f t="shared" si="1"/>
        <v>1197</v>
      </c>
      <c r="L110" s="97">
        <f>_xlfn.XLOOKUP(E110,Emp_Data!$B$2:$B$9,Emp_Data!$A$2:$A$9)</f>
        <v>2</v>
      </c>
    </row>
    <row r="111" spans="1:12">
      <c r="A111" s="99">
        <v>596</v>
      </c>
      <c r="B111" s="101">
        <v>44373</v>
      </c>
      <c r="C111" s="96">
        <v>11</v>
      </c>
      <c r="D111" s="104" t="s">
        <v>38</v>
      </c>
      <c r="E111" s="97" t="s">
        <v>24</v>
      </c>
      <c r="F111" s="97" t="str">
        <f>VLOOKUP(E111,Emp_Data!$B$2:$C$9,2,)</f>
        <v>Steve</v>
      </c>
      <c r="G111" s="97" t="s">
        <v>19</v>
      </c>
      <c r="H111" s="97" t="s">
        <v>39</v>
      </c>
      <c r="I111" s="97">
        <v>399</v>
      </c>
      <c r="J111" s="97">
        <v>9</v>
      </c>
      <c r="K111" s="97">
        <f t="shared" si="1"/>
        <v>3591</v>
      </c>
      <c r="L111" s="97">
        <f>_xlfn.XLOOKUP(E111,Emp_Data!$B$2:$B$9,Emp_Data!$A$2:$A$9)</f>
        <v>6</v>
      </c>
    </row>
    <row r="112" spans="1:12">
      <c r="A112" s="99">
        <v>598</v>
      </c>
      <c r="B112" s="101">
        <v>44375</v>
      </c>
      <c r="C112" s="96">
        <v>10</v>
      </c>
      <c r="D112" s="104" t="s">
        <v>34</v>
      </c>
      <c r="E112" s="97" t="s">
        <v>27</v>
      </c>
      <c r="F112" s="97" t="str">
        <f>VLOOKUP(E112,Emp_Data!$B$2:$C$9,2,)</f>
        <v>Philip</v>
      </c>
      <c r="G112" s="97" t="s">
        <v>12</v>
      </c>
      <c r="H112" s="97" t="s">
        <v>39</v>
      </c>
      <c r="I112" s="97">
        <v>399</v>
      </c>
      <c r="J112" s="97">
        <v>9</v>
      </c>
      <c r="K112" s="97">
        <f t="shared" si="1"/>
        <v>3591</v>
      </c>
      <c r="L112" s="97">
        <f>_xlfn.XLOOKUP(E112,Emp_Data!$B$2:$B$9,Emp_Data!$A$2:$A$9)</f>
        <v>8</v>
      </c>
    </row>
    <row r="113" spans="1:12">
      <c r="A113" s="99">
        <v>607</v>
      </c>
      <c r="B113" s="101">
        <v>44377</v>
      </c>
      <c r="C113" s="96">
        <v>20</v>
      </c>
      <c r="D113" s="104" t="s">
        <v>7</v>
      </c>
      <c r="E113" s="97" t="s">
        <v>25</v>
      </c>
      <c r="F113" s="97" t="str">
        <f>VLOOKUP(E113,Emp_Data!$B$2:$C$9,2,)</f>
        <v>Jeff</v>
      </c>
      <c r="G113" s="97" t="s">
        <v>9</v>
      </c>
      <c r="H113" s="97" t="s">
        <v>39</v>
      </c>
      <c r="I113" s="97">
        <v>399</v>
      </c>
      <c r="J113" s="97">
        <v>7</v>
      </c>
      <c r="K113" s="97">
        <f t="shared" si="1"/>
        <v>2793</v>
      </c>
      <c r="L113" s="97">
        <f>_xlfn.XLOOKUP(E113,Emp_Data!$B$2:$B$9,Emp_Data!$A$2:$A$9)</f>
        <v>5</v>
      </c>
    </row>
    <row r="114" spans="1:12">
      <c r="A114" s="99">
        <v>618</v>
      </c>
      <c r="B114" s="101">
        <v>44383</v>
      </c>
      <c r="C114" s="96">
        <v>19</v>
      </c>
      <c r="D114" s="104" t="s">
        <v>22</v>
      </c>
      <c r="E114" s="97" t="s">
        <v>8</v>
      </c>
      <c r="F114" s="97" t="str">
        <f>VLOOKUP(E114,Emp_Data!$B$2:$C$9,2,)</f>
        <v>Jeff</v>
      </c>
      <c r="G114" s="97" t="s">
        <v>9</v>
      </c>
      <c r="H114" s="97" t="s">
        <v>39</v>
      </c>
      <c r="I114" s="97">
        <v>399</v>
      </c>
      <c r="J114" s="97">
        <v>0</v>
      </c>
      <c r="K114" s="97">
        <f t="shared" si="1"/>
        <v>0</v>
      </c>
      <c r="L114" s="97">
        <f>_xlfn.XLOOKUP(E114,Emp_Data!$B$2:$B$9,Emp_Data!$A$2:$A$9)</f>
        <v>3</v>
      </c>
    </row>
    <row r="115" spans="1:12">
      <c r="A115" s="99">
        <v>625</v>
      </c>
      <c r="B115" s="101">
        <v>44385</v>
      </c>
      <c r="C115" s="96">
        <v>17</v>
      </c>
      <c r="D115" s="104" t="s">
        <v>32</v>
      </c>
      <c r="E115" s="97" t="s">
        <v>25</v>
      </c>
      <c r="F115" s="97" t="str">
        <f>VLOOKUP(E115,Emp_Data!$B$2:$C$9,2,)</f>
        <v>Jeff</v>
      </c>
      <c r="G115" s="97" t="s">
        <v>9</v>
      </c>
      <c r="H115" s="97" t="s">
        <v>39</v>
      </c>
      <c r="I115" s="97">
        <v>399</v>
      </c>
      <c r="J115" s="97">
        <v>8</v>
      </c>
      <c r="K115" s="97">
        <f t="shared" si="1"/>
        <v>3192</v>
      </c>
      <c r="L115" s="97">
        <f>_xlfn.XLOOKUP(E115,Emp_Data!$B$2:$B$9,Emp_Data!$A$2:$A$9)</f>
        <v>5</v>
      </c>
    </row>
    <row r="116" spans="1:12">
      <c r="A116" s="99">
        <v>628</v>
      </c>
      <c r="B116" s="101">
        <v>44385</v>
      </c>
      <c r="C116" s="96">
        <v>14</v>
      </c>
      <c r="D116" s="104" t="s">
        <v>33</v>
      </c>
      <c r="E116" s="97" t="s">
        <v>18</v>
      </c>
      <c r="F116" s="97" t="str">
        <f>VLOOKUP(E116,Emp_Data!$B$2:$C$9,2,)</f>
        <v>Sara</v>
      </c>
      <c r="G116" s="97" t="s">
        <v>19</v>
      </c>
      <c r="H116" s="97" t="s">
        <v>39</v>
      </c>
      <c r="I116" s="97">
        <v>399</v>
      </c>
      <c r="J116" s="97">
        <v>5</v>
      </c>
      <c r="K116" s="97">
        <f t="shared" si="1"/>
        <v>1995</v>
      </c>
      <c r="L116" s="97">
        <f>_xlfn.XLOOKUP(E116,Emp_Data!$B$2:$B$9,Emp_Data!$A$2:$A$9)</f>
        <v>5</v>
      </c>
    </row>
    <row r="117" spans="1:12">
      <c r="A117" s="99">
        <v>634</v>
      </c>
      <c r="B117" s="101">
        <v>44388</v>
      </c>
      <c r="C117" s="96">
        <v>5</v>
      </c>
      <c r="D117" s="104" t="s">
        <v>16</v>
      </c>
      <c r="E117" s="97" t="s">
        <v>14</v>
      </c>
      <c r="F117" s="97" t="str">
        <f>VLOOKUP(E117,Emp_Data!$B$2:$C$9,2,)</f>
        <v>Jeff</v>
      </c>
      <c r="G117" s="97" t="s">
        <v>15</v>
      </c>
      <c r="H117" s="97" t="s">
        <v>39</v>
      </c>
      <c r="I117" s="97">
        <v>399</v>
      </c>
      <c r="J117" s="97">
        <v>0</v>
      </c>
      <c r="K117" s="97">
        <f t="shared" si="1"/>
        <v>0</v>
      </c>
      <c r="L117" s="97">
        <f>_xlfn.XLOOKUP(E117,Emp_Data!$B$2:$B$9,Emp_Data!$A$2:$A$9)</f>
        <v>2</v>
      </c>
    </row>
    <row r="118" spans="1:12">
      <c r="A118" s="99">
        <v>639</v>
      </c>
      <c r="B118" s="101">
        <v>44390</v>
      </c>
      <c r="C118" s="96">
        <v>16</v>
      </c>
      <c r="D118" s="104" t="s">
        <v>37</v>
      </c>
      <c r="E118" s="97" t="s">
        <v>25</v>
      </c>
      <c r="F118" s="97" t="str">
        <f>VLOOKUP(E118,Emp_Data!$B$2:$C$9,2,)</f>
        <v>Jeff</v>
      </c>
      <c r="G118" s="97" t="s">
        <v>9</v>
      </c>
      <c r="H118" s="97" t="s">
        <v>39</v>
      </c>
      <c r="I118" s="97">
        <v>399</v>
      </c>
      <c r="J118" s="97">
        <v>3</v>
      </c>
      <c r="K118" s="97">
        <f t="shared" si="1"/>
        <v>1197</v>
      </c>
      <c r="L118" s="97">
        <f>_xlfn.XLOOKUP(E118,Emp_Data!$B$2:$B$9,Emp_Data!$A$2:$A$9)</f>
        <v>5</v>
      </c>
    </row>
    <row r="119" spans="1:12">
      <c r="A119" s="99">
        <v>641</v>
      </c>
      <c r="B119" s="101">
        <v>44391</v>
      </c>
      <c r="C119" s="96">
        <v>10</v>
      </c>
      <c r="D119" s="104" t="s">
        <v>34</v>
      </c>
      <c r="E119" s="97" t="s">
        <v>11</v>
      </c>
      <c r="F119" s="97" t="str">
        <f>VLOOKUP(E119,Emp_Data!$B$2:$C$9,2,)</f>
        <v>Steve</v>
      </c>
      <c r="G119" s="97" t="s">
        <v>12</v>
      </c>
      <c r="H119" s="97" t="s">
        <v>39</v>
      </c>
      <c r="I119" s="97">
        <v>399</v>
      </c>
      <c r="J119" s="97">
        <v>7</v>
      </c>
      <c r="K119" s="97">
        <f t="shared" si="1"/>
        <v>2793</v>
      </c>
      <c r="L119" s="97">
        <f>_xlfn.XLOOKUP(E119,Emp_Data!$B$2:$B$9,Emp_Data!$A$2:$A$9)</f>
        <v>4</v>
      </c>
    </row>
    <row r="120" spans="1:12">
      <c r="A120" s="99">
        <v>642</v>
      </c>
      <c r="B120" s="101">
        <v>44392</v>
      </c>
      <c r="C120" s="96">
        <v>10</v>
      </c>
      <c r="D120" s="104" t="s">
        <v>34</v>
      </c>
      <c r="E120" s="97" t="s">
        <v>11</v>
      </c>
      <c r="F120" s="97" t="str">
        <f>VLOOKUP(E120,Emp_Data!$B$2:$C$9,2,)</f>
        <v>Steve</v>
      </c>
      <c r="G120" s="97" t="s">
        <v>12</v>
      </c>
      <c r="H120" s="97" t="s">
        <v>39</v>
      </c>
      <c r="I120" s="97">
        <v>399</v>
      </c>
      <c r="J120" s="97">
        <v>9</v>
      </c>
      <c r="K120" s="97">
        <f t="shared" si="1"/>
        <v>3591</v>
      </c>
      <c r="L120" s="97">
        <f>_xlfn.XLOOKUP(E120,Emp_Data!$B$2:$B$9,Emp_Data!$A$2:$A$9)</f>
        <v>4</v>
      </c>
    </row>
    <row r="121" spans="1:12">
      <c r="A121" s="99">
        <v>643</v>
      </c>
      <c r="B121" s="101">
        <v>44392</v>
      </c>
      <c r="C121" s="96">
        <v>13</v>
      </c>
      <c r="D121" s="104" t="s">
        <v>23</v>
      </c>
      <c r="E121" s="97" t="s">
        <v>18</v>
      </c>
      <c r="F121" s="97" t="str">
        <f>VLOOKUP(E121,Emp_Data!$B$2:$C$9,2,)</f>
        <v>Sara</v>
      </c>
      <c r="G121" s="97" t="s">
        <v>19</v>
      </c>
      <c r="H121" s="97" t="s">
        <v>39</v>
      </c>
      <c r="I121" s="97">
        <v>399</v>
      </c>
      <c r="J121" s="97">
        <v>8</v>
      </c>
      <c r="K121" s="97">
        <f t="shared" si="1"/>
        <v>3192</v>
      </c>
      <c r="L121" s="97">
        <f>_xlfn.XLOOKUP(E121,Emp_Data!$B$2:$B$9,Emp_Data!$A$2:$A$9)</f>
        <v>5</v>
      </c>
    </row>
    <row r="122" spans="1:12">
      <c r="A122" s="99">
        <v>649</v>
      </c>
      <c r="B122" s="101">
        <v>44394</v>
      </c>
      <c r="C122" s="96">
        <v>8</v>
      </c>
      <c r="D122" s="104" t="s">
        <v>36</v>
      </c>
      <c r="E122" s="97" t="s">
        <v>11</v>
      </c>
      <c r="F122" s="97" t="str">
        <f>VLOOKUP(E122,Emp_Data!$B$2:$C$9,2,)</f>
        <v>Steve</v>
      </c>
      <c r="G122" s="97" t="s">
        <v>12</v>
      </c>
      <c r="H122" s="97" t="s">
        <v>39</v>
      </c>
      <c r="I122" s="97">
        <v>399</v>
      </c>
      <c r="J122" s="97">
        <v>5</v>
      </c>
      <c r="K122" s="97">
        <f t="shared" si="1"/>
        <v>1995</v>
      </c>
      <c r="L122" s="97">
        <f>_xlfn.XLOOKUP(E122,Emp_Data!$B$2:$B$9,Emp_Data!$A$2:$A$9)</f>
        <v>4</v>
      </c>
    </row>
    <row r="123" spans="1:12">
      <c r="A123" s="99">
        <v>664</v>
      </c>
      <c r="B123" s="101">
        <v>44398</v>
      </c>
      <c r="C123" s="96">
        <v>14</v>
      </c>
      <c r="D123" s="104" t="s">
        <v>33</v>
      </c>
      <c r="E123" s="97" t="s">
        <v>24</v>
      </c>
      <c r="F123" s="97" t="str">
        <f>VLOOKUP(E123,Emp_Data!$B$2:$C$9,2,)</f>
        <v>Steve</v>
      </c>
      <c r="G123" s="97" t="s">
        <v>19</v>
      </c>
      <c r="H123" s="97" t="s">
        <v>39</v>
      </c>
      <c r="I123" s="97">
        <v>399</v>
      </c>
      <c r="J123" s="97">
        <v>5</v>
      </c>
      <c r="K123" s="97">
        <f t="shared" si="1"/>
        <v>1995</v>
      </c>
      <c r="L123" s="97">
        <f>_xlfn.XLOOKUP(E123,Emp_Data!$B$2:$B$9,Emp_Data!$A$2:$A$9)</f>
        <v>6</v>
      </c>
    </row>
    <row r="124" spans="1:12">
      <c r="A124" s="99">
        <v>665</v>
      </c>
      <c r="B124" s="101">
        <v>44399</v>
      </c>
      <c r="C124" s="96">
        <v>1</v>
      </c>
      <c r="D124" s="104" t="s">
        <v>31</v>
      </c>
      <c r="E124" s="97" t="s">
        <v>14</v>
      </c>
      <c r="F124" s="97" t="str">
        <f>VLOOKUP(E124,Emp_Data!$B$2:$C$9,2,)</f>
        <v>Jeff</v>
      </c>
      <c r="G124" s="97" t="s">
        <v>15</v>
      </c>
      <c r="H124" s="97" t="s">
        <v>39</v>
      </c>
      <c r="I124" s="97">
        <v>399</v>
      </c>
      <c r="J124" s="97">
        <v>8</v>
      </c>
      <c r="K124" s="97">
        <f t="shared" si="1"/>
        <v>3192</v>
      </c>
      <c r="L124" s="97">
        <f>_xlfn.XLOOKUP(E124,Emp_Data!$B$2:$B$9,Emp_Data!$A$2:$A$9)</f>
        <v>2</v>
      </c>
    </row>
    <row r="125" spans="1:12">
      <c r="A125" s="99">
        <v>669</v>
      </c>
      <c r="B125" s="101">
        <v>44401</v>
      </c>
      <c r="C125" s="96">
        <v>9</v>
      </c>
      <c r="D125" s="104" t="s">
        <v>26</v>
      </c>
      <c r="E125" s="97" t="s">
        <v>27</v>
      </c>
      <c r="F125" s="97" t="str">
        <f>VLOOKUP(E125,Emp_Data!$B$2:$C$9,2,)</f>
        <v>Philip</v>
      </c>
      <c r="G125" s="97" t="s">
        <v>12</v>
      </c>
      <c r="H125" s="97" t="s">
        <v>39</v>
      </c>
      <c r="I125" s="97">
        <v>399</v>
      </c>
      <c r="J125" s="97">
        <v>6</v>
      </c>
      <c r="K125" s="97">
        <f t="shared" si="1"/>
        <v>2394</v>
      </c>
      <c r="L125" s="97">
        <f>_xlfn.XLOOKUP(E125,Emp_Data!$B$2:$B$9,Emp_Data!$A$2:$A$9)</f>
        <v>8</v>
      </c>
    </row>
    <row r="126" spans="1:12">
      <c r="A126" s="99">
        <v>671</v>
      </c>
      <c r="B126" s="101">
        <v>44401</v>
      </c>
      <c r="C126" s="96">
        <v>13</v>
      </c>
      <c r="D126" s="104" t="s">
        <v>23</v>
      </c>
      <c r="E126" s="97" t="s">
        <v>18</v>
      </c>
      <c r="F126" s="97" t="str">
        <f>VLOOKUP(E126,Emp_Data!$B$2:$C$9,2,)</f>
        <v>Sara</v>
      </c>
      <c r="G126" s="97" t="s">
        <v>19</v>
      </c>
      <c r="H126" s="97" t="s">
        <v>39</v>
      </c>
      <c r="I126" s="97">
        <v>399</v>
      </c>
      <c r="J126" s="97">
        <v>1</v>
      </c>
      <c r="K126" s="97">
        <f t="shared" si="1"/>
        <v>399</v>
      </c>
      <c r="L126" s="97">
        <f>_xlfn.XLOOKUP(E126,Emp_Data!$B$2:$B$9,Emp_Data!$A$2:$A$9)</f>
        <v>5</v>
      </c>
    </row>
    <row r="127" spans="1:12">
      <c r="A127" s="99">
        <v>690</v>
      </c>
      <c r="B127" s="101">
        <v>44404</v>
      </c>
      <c r="C127" s="96">
        <v>5</v>
      </c>
      <c r="D127" s="104" t="s">
        <v>16</v>
      </c>
      <c r="E127" s="97" t="s">
        <v>14</v>
      </c>
      <c r="F127" s="97" t="str">
        <f>VLOOKUP(E127,Emp_Data!$B$2:$C$9,2,)</f>
        <v>Jeff</v>
      </c>
      <c r="G127" s="97" t="s">
        <v>15</v>
      </c>
      <c r="H127" s="97" t="s">
        <v>39</v>
      </c>
      <c r="I127" s="97">
        <v>399</v>
      </c>
      <c r="J127" s="97">
        <v>5</v>
      </c>
      <c r="K127" s="97">
        <f t="shared" si="1"/>
        <v>1995</v>
      </c>
      <c r="L127" s="97">
        <f>_xlfn.XLOOKUP(E127,Emp_Data!$B$2:$B$9,Emp_Data!$A$2:$A$9)</f>
        <v>2</v>
      </c>
    </row>
    <row r="128" spans="1:12">
      <c r="A128" s="99">
        <v>723</v>
      </c>
      <c r="B128" s="101">
        <v>44416</v>
      </c>
      <c r="C128" s="96">
        <v>8</v>
      </c>
      <c r="D128" s="104" t="s">
        <v>36</v>
      </c>
      <c r="E128" s="97" t="s">
        <v>11</v>
      </c>
      <c r="F128" s="97" t="str">
        <f>VLOOKUP(E128,Emp_Data!$B$2:$C$9,2,)</f>
        <v>Steve</v>
      </c>
      <c r="G128" s="97" t="s">
        <v>12</v>
      </c>
      <c r="H128" s="97" t="s">
        <v>39</v>
      </c>
      <c r="I128" s="97">
        <v>399</v>
      </c>
      <c r="J128" s="97">
        <v>2</v>
      </c>
      <c r="K128" s="97">
        <f t="shared" si="1"/>
        <v>798</v>
      </c>
      <c r="L128" s="97">
        <f>_xlfn.XLOOKUP(E128,Emp_Data!$B$2:$B$9,Emp_Data!$A$2:$A$9)</f>
        <v>4</v>
      </c>
    </row>
    <row r="129" spans="1:12">
      <c r="A129" s="99">
        <v>730</v>
      </c>
      <c r="B129" s="101">
        <v>44418</v>
      </c>
      <c r="C129" s="96">
        <v>18</v>
      </c>
      <c r="D129" s="104" t="s">
        <v>30</v>
      </c>
      <c r="E129" s="97" t="s">
        <v>8</v>
      </c>
      <c r="F129" s="97" t="str">
        <f>VLOOKUP(E129,Emp_Data!$B$2:$C$9,2,)</f>
        <v>Jeff</v>
      </c>
      <c r="G129" s="97" t="s">
        <v>9</v>
      </c>
      <c r="H129" s="97" t="s">
        <v>39</v>
      </c>
      <c r="I129" s="97">
        <v>399</v>
      </c>
      <c r="J129" s="97">
        <v>4</v>
      </c>
      <c r="K129" s="97">
        <f t="shared" si="1"/>
        <v>1596</v>
      </c>
      <c r="L129" s="97">
        <f>_xlfn.XLOOKUP(E129,Emp_Data!$B$2:$B$9,Emp_Data!$A$2:$A$9)</f>
        <v>3</v>
      </c>
    </row>
    <row r="130" spans="1:12">
      <c r="A130" s="99">
        <v>731</v>
      </c>
      <c r="B130" s="101">
        <v>44418</v>
      </c>
      <c r="C130" s="96">
        <v>13</v>
      </c>
      <c r="D130" s="104" t="s">
        <v>23</v>
      </c>
      <c r="E130" s="97" t="s">
        <v>18</v>
      </c>
      <c r="F130" s="97" t="str">
        <f>VLOOKUP(E130,Emp_Data!$B$2:$C$9,2,)</f>
        <v>Sara</v>
      </c>
      <c r="G130" s="97" t="s">
        <v>19</v>
      </c>
      <c r="H130" s="97" t="s">
        <v>39</v>
      </c>
      <c r="I130" s="97">
        <v>399</v>
      </c>
      <c r="J130" s="97">
        <v>4</v>
      </c>
      <c r="K130" s="97">
        <f t="shared" si="1"/>
        <v>1596</v>
      </c>
      <c r="L130" s="97">
        <f>_xlfn.XLOOKUP(E130,Emp_Data!$B$2:$B$9,Emp_Data!$A$2:$A$9)</f>
        <v>5</v>
      </c>
    </row>
    <row r="131" spans="1:12">
      <c r="A131" s="99">
        <v>735</v>
      </c>
      <c r="B131" s="101">
        <v>44419</v>
      </c>
      <c r="C131" s="96">
        <v>3</v>
      </c>
      <c r="D131" s="104" t="s">
        <v>20</v>
      </c>
      <c r="E131" s="97" t="s">
        <v>21</v>
      </c>
      <c r="F131" s="97" t="str">
        <f>VLOOKUP(E131,Emp_Data!$B$2:$C$9,2,)</f>
        <v>Sara</v>
      </c>
      <c r="G131" s="97" t="s">
        <v>15</v>
      </c>
      <c r="H131" s="97" t="s">
        <v>39</v>
      </c>
      <c r="I131" s="97">
        <v>399</v>
      </c>
      <c r="J131" s="97">
        <v>0</v>
      </c>
      <c r="K131" s="97">
        <f t="shared" ref="K131:K194" si="2">SUMPRODUCT(I131,J131)</f>
        <v>0</v>
      </c>
      <c r="L131" s="97">
        <f>_xlfn.XLOOKUP(E131,Emp_Data!$B$2:$B$9,Emp_Data!$A$2:$A$9)</f>
        <v>2</v>
      </c>
    </row>
    <row r="132" spans="1:12">
      <c r="A132" s="99">
        <v>738</v>
      </c>
      <c r="B132" s="101">
        <v>44420</v>
      </c>
      <c r="C132" s="96">
        <v>8</v>
      </c>
      <c r="D132" s="104" t="s">
        <v>36</v>
      </c>
      <c r="E132" s="97" t="s">
        <v>27</v>
      </c>
      <c r="F132" s="97" t="str">
        <f>VLOOKUP(E132,Emp_Data!$B$2:$C$9,2,)</f>
        <v>Philip</v>
      </c>
      <c r="G132" s="97" t="s">
        <v>12</v>
      </c>
      <c r="H132" s="97" t="s">
        <v>39</v>
      </c>
      <c r="I132" s="97">
        <v>399</v>
      </c>
      <c r="J132" s="97">
        <v>7</v>
      </c>
      <c r="K132" s="97">
        <f t="shared" si="2"/>
        <v>2793</v>
      </c>
      <c r="L132" s="97">
        <f>_xlfn.XLOOKUP(E132,Emp_Data!$B$2:$B$9,Emp_Data!$A$2:$A$9)</f>
        <v>8</v>
      </c>
    </row>
    <row r="133" spans="1:12">
      <c r="A133" s="99">
        <v>745</v>
      </c>
      <c r="B133" s="101">
        <v>44424</v>
      </c>
      <c r="C133" s="96">
        <v>8</v>
      </c>
      <c r="D133" s="104" t="s">
        <v>36</v>
      </c>
      <c r="E133" s="97" t="s">
        <v>27</v>
      </c>
      <c r="F133" s="97" t="str">
        <f>VLOOKUP(E133,Emp_Data!$B$2:$C$9,2,)</f>
        <v>Philip</v>
      </c>
      <c r="G133" s="97" t="s">
        <v>12</v>
      </c>
      <c r="H133" s="97" t="s">
        <v>39</v>
      </c>
      <c r="I133" s="97">
        <v>399</v>
      </c>
      <c r="J133" s="97">
        <v>0</v>
      </c>
      <c r="K133" s="97">
        <f t="shared" si="2"/>
        <v>0</v>
      </c>
      <c r="L133" s="97">
        <f>_xlfn.XLOOKUP(E133,Emp_Data!$B$2:$B$9,Emp_Data!$A$2:$A$9)</f>
        <v>8</v>
      </c>
    </row>
    <row r="134" spans="1:12">
      <c r="A134" s="99">
        <v>752</v>
      </c>
      <c r="B134" s="101">
        <v>44427</v>
      </c>
      <c r="C134" s="96">
        <v>8</v>
      </c>
      <c r="D134" s="104" t="s">
        <v>36</v>
      </c>
      <c r="E134" s="97" t="s">
        <v>11</v>
      </c>
      <c r="F134" s="97" t="str">
        <f>VLOOKUP(E134,Emp_Data!$B$2:$C$9,2,)</f>
        <v>Steve</v>
      </c>
      <c r="G134" s="97" t="s">
        <v>12</v>
      </c>
      <c r="H134" s="97" t="s">
        <v>39</v>
      </c>
      <c r="I134" s="97">
        <v>399</v>
      </c>
      <c r="J134" s="97">
        <v>1</v>
      </c>
      <c r="K134" s="97">
        <f t="shared" si="2"/>
        <v>399</v>
      </c>
      <c r="L134" s="97">
        <f>_xlfn.XLOOKUP(E134,Emp_Data!$B$2:$B$9,Emp_Data!$A$2:$A$9)</f>
        <v>4</v>
      </c>
    </row>
    <row r="135" spans="1:12">
      <c r="A135" s="99">
        <v>753</v>
      </c>
      <c r="B135" s="101">
        <v>44427</v>
      </c>
      <c r="C135" s="96">
        <v>5</v>
      </c>
      <c r="D135" s="104" t="s">
        <v>16</v>
      </c>
      <c r="E135" s="97" t="s">
        <v>14</v>
      </c>
      <c r="F135" s="97" t="str">
        <f>VLOOKUP(E135,Emp_Data!$B$2:$C$9,2,)</f>
        <v>Jeff</v>
      </c>
      <c r="G135" s="97" t="s">
        <v>15</v>
      </c>
      <c r="H135" s="97" t="s">
        <v>39</v>
      </c>
      <c r="I135" s="97">
        <v>399</v>
      </c>
      <c r="J135" s="97">
        <v>6</v>
      </c>
      <c r="K135" s="97">
        <f t="shared" si="2"/>
        <v>2394</v>
      </c>
      <c r="L135" s="97">
        <f>_xlfn.XLOOKUP(E135,Emp_Data!$B$2:$B$9,Emp_Data!$A$2:$A$9)</f>
        <v>2</v>
      </c>
    </row>
    <row r="136" spans="1:12">
      <c r="A136" s="99">
        <v>756</v>
      </c>
      <c r="B136" s="101">
        <v>44428</v>
      </c>
      <c r="C136" s="96">
        <v>17</v>
      </c>
      <c r="D136" s="104" t="s">
        <v>32</v>
      </c>
      <c r="E136" s="97" t="s">
        <v>25</v>
      </c>
      <c r="F136" s="97" t="str">
        <f>VLOOKUP(E136,Emp_Data!$B$2:$C$9,2,)</f>
        <v>Jeff</v>
      </c>
      <c r="G136" s="97" t="s">
        <v>9</v>
      </c>
      <c r="H136" s="97" t="s">
        <v>39</v>
      </c>
      <c r="I136" s="97">
        <v>399</v>
      </c>
      <c r="J136" s="97">
        <v>6</v>
      </c>
      <c r="K136" s="97">
        <f t="shared" si="2"/>
        <v>2394</v>
      </c>
      <c r="L136" s="97">
        <f>_xlfn.XLOOKUP(E136,Emp_Data!$B$2:$B$9,Emp_Data!$A$2:$A$9)</f>
        <v>5</v>
      </c>
    </row>
    <row r="137" spans="1:12">
      <c r="A137" s="99">
        <v>758</v>
      </c>
      <c r="B137" s="101">
        <v>44428</v>
      </c>
      <c r="C137" s="96">
        <v>10</v>
      </c>
      <c r="D137" s="104" t="s">
        <v>34</v>
      </c>
      <c r="E137" s="97" t="s">
        <v>11</v>
      </c>
      <c r="F137" s="97" t="str">
        <f>VLOOKUP(E137,Emp_Data!$B$2:$C$9,2,)</f>
        <v>Steve</v>
      </c>
      <c r="G137" s="97" t="s">
        <v>12</v>
      </c>
      <c r="H137" s="97" t="s">
        <v>39</v>
      </c>
      <c r="I137" s="97">
        <v>399</v>
      </c>
      <c r="J137" s="97">
        <v>4</v>
      </c>
      <c r="K137" s="97">
        <f t="shared" si="2"/>
        <v>1596</v>
      </c>
      <c r="L137" s="97">
        <f>_xlfn.XLOOKUP(E137,Emp_Data!$B$2:$B$9,Emp_Data!$A$2:$A$9)</f>
        <v>4</v>
      </c>
    </row>
    <row r="138" spans="1:12">
      <c r="A138" s="99">
        <v>760</v>
      </c>
      <c r="B138" s="101">
        <v>44429</v>
      </c>
      <c r="C138" s="96">
        <v>19</v>
      </c>
      <c r="D138" s="104" t="s">
        <v>22</v>
      </c>
      <c r="E138" s="97" t="s">
        <v>8</v>
      </c>
      <c r="F138" s="97" t="str">
        <f>VLOOKUP(E138,Emp_Data!$B$2:$C$9,2,)</f>
        <v>Jeff</v>
      </c>
      <c r="G138" s="97" t="s">
        <v>9</v>
      </c>
      <c r="H138" s="97" t="s">
        <v>39</v>
      </c>
      <c r="I138" s="97">
        <v>399</v>
      </c>
      <c r="J138" s="97">
        <v>6</v>
      </c>
      <c r="K138" s="97">
        <f t="shared" si="2"/>
        <v>2394</v>
      </c>
      <c r="L138" s="97">
        <f>_xlfn.XLOOKUP(E138,Emp_Data!$B$2:$B$9,Emp_Data!$A$2:$A$9)</f>
        <v>3</v>
      </c>
    </row>
    <row r="139" spans="1:12">
      <c r="A139" s="99">
        <v>764</v>
      </c>
      <c r="B139" s="101">
        <v>44430</v>
      </c>
      <c r="C139" s="96">
        <v>8</v>
      </c>
      <c r="D139" s="104" t="s">
        <v>36</v>
      </c>
      <c r="E139" s="97" t="s">
        <v>11</v>
      </c>
      <c r="F139" s="97" t="str">
        <f>VLOOKUP(E139,Emp_Data!$B$2:$C$9,2,)</f>
        <v>Steve</v>
      </c>
      <c r="G139" s="97" t="s">
        <v>12</v>
      </c>
      <c r="H139" s="97" t="s">
        <v>39</v>
      </c>
      <c r="I139" s="97">
        <v>399</v>
      </c>
      <c r="J139" s="97">
        <v>2</v>
      </c>
      <c r="K139" s="97">
        <f t="shared" si="2"/>
        <v>798</v>
      </c>
      <c r="L139" s="97">
        <f>_xlfn.XLOOKUP(E139,Emp_Data!$B$2:$B$9,Emp_Data!$A$2:$A$9)</f>
        <v>4</v>
      </c>
    </row>
    <row r="140" spans="1:12">
      <c r="A140" s="99">
        <v>766</v>
      </c>
      <c r="B140" s="101">
        <v>44430</v>
      </c>
      <c r="C140" s="96">
        <v>14</v>
      </c>
      <c r="D140" s="104" t="s">
        <v>33</v>
      </c>
      <c r="E140" s="97" t="s">
        <v>24</v>
      </c>
      <c r="F140" s="97" t="str">
        <f>VLOOKUP(E140,Emp_Data!$B$2:$C$9,2,)</f>
        <v>Steve</v>
      </c>
      <c r="G140" s="97" t="s">
        <v>19</v>
      </c>
      <c r="H140" s="97" t="s">
        <v>39</v>
      </c>
      <c r="I140" s="97">
        <v>399</v>
      </c>
      <c r="J140" s="97">
        <v>9</v>
      </c>
      <c r="K140" s="97">
        <f t="shared" si="2"/>
        <v>3591</v>
      </c>
      <c r="L140" s="97">
        <f>_xlfn.XLOOKUP(E140,Emp_Data!$B$2:$B$9,Emp_Data!$A$2:$A$9)</f>
        <v>6</v>
      </c>
    </row>
    <row r="141" spans="1:12">
      <c r="A141" s="99">
        <v>769</v>
      </c>
      <c r="B141" s="101">
        <v>44433</v>
      </c>
      <c r="C141" s="96">
        <v>7</v>
      </c>
      <c r="D141" s="104" t="s">
        <v>28</v>
      </c>
      <c r="E141" s="97" t="s">
        <v>27</v>
      </c>
      <c r="F141" s="97" t="str">
        <f>VLOOKUP(E141,Emp_Data!$B$2:$C$9,2,)</f>
        <v>Philip</v>
      </c>
      <c r="G141" s="97" t="s">
        <v>12</v>
      </c>
      <c r="H141" s="97" t="s">
        <v>39</v>
      </c>
      <c r="I141" s="97">
        <v>399</v>
      </c>
      <c r="J141" s="97">
        <v>6</v>
      </c>
      <c r="K141" s="97">
        <f t="shared" si="2"/>
        <v>2394</v>
      </c>
      <c r="L141" s="97">
        <f>_xlfn.XLOOKUP(E141,Emp_Data!$B$2:$B$9,Emp_Data!$A$2:$A$9)</f>
        <v>8</v>
      </c>
    </row>
    <row r="142" spans="1:12">
      <c r="A142" s="99">
        <v>770</v>
      </c>
      <c r="B142" s="101">
        <v>44433</v>
      </c>
      <c r="C142" s="96">
        <v>11</v>
      </c>
      <c r="D142" s="104" t="s">
        <v>38</v>
      </c>
      <c r="E142" s="97" t="s">
        <v>18</v>
      </c>
      <c r="F142" s="97" t="str">
        <f>VLOOKUP(E142,Emp_Data!$B$2:$C$9,2,)</f>
        <v>Sara</v>
      </c>
      <c r="G142" s="97" t="s">
        <v>19</v>
      </c>
      <c r="H142" s="97" t="s">
        <v>39</v>
      </c>
      <c r="I142" s="97">
        <v>399</v>
      </c>
      <c r="J142" s="97">
        <v>0</v>
      </c>
      <c r="K142" s="97">
        <f t="shared" si="2"/>
        <v>0</v>
      </c>
      <c r="L142" s="97">
        <f>_xlfn.XLOOKUP(E142,Emp_Data!$B$2:$B$9,Emp_Data!$A$2:$A$9)</f>
        <v>5</v>
      </c>
    </row>
    <row r="143" spans="1:12">
      <c r="A143" s="99">
        <v>775</v>
      </c>
      <c r="B143" s="101">
        <v>44434</v>
      </c>
      <c r="C143" s="96">
        <v>13</v>
      </c>
      <c r="D143" s="104" t="s">
        <v>23</v>
      </c>
      <c r="E143" s="97" t="s">
        <v>24</v>
      </c>
      <c r="F143" s="97" t="str">
        <f>VLOOKUP(E143,Emp_Data!$B$2:$C$9,2,)</f>
        <v>Steve</v>
      </c>
      <c r="G143" s="97" t="s">
        <v>19</v>
      </c>
      <c r="H143" s="97" t="s">
        <v>39</v>
      </c>
      <c r="I143" s="97">
        <v>399</v>
      </c>
      <c r="J143" s="97">
        <v>1</v>
      </c>
      <c r="K143" s="97">
        <f t="shared" si="2"/>
        <v>399</v>
      </c>
      <c r="L143" s="97">
        <f>_xlfn.XLOOKUP(E143,Emp_Data!$B$2:$B$9,Emp_Data!$A$2:$A$9)</f>
        <v>6</v>
      </c>
    </row>
    <row r="144" spans="1:12">
      <c r="A144" s="99">
        <v>776</v>
      </c>
      <c r="B144" s="101">
        <v>44435</v>
      </c>
      <c r="C144" s="96">
        <v>17</v>
      </c>
      <c r="D144" s="104" t="s">
        <v>32</v>
      </c>
      <c r="E144" s="97" t="s">
        <v>8</v>
      </c>
      <c r="F144" s="97" t="str">
        <f>VLOOKUP(E144,Emp_Data!$B$2:$C$9,2,)</f>
        <v>Jeff</v>
      </c>
      <c r="G144" s="97" t="s">
        <v>9</v>
      </c>
      <c r="H144" s="97" t="s">
        <v>39</v>
      </c>
      <c r="I144" s="97">
        <v>399</v>
      </c>
      <c r="J144" s="97">
        <v>2</v>
      </c>
      <c r="K144" s="97">
        <f t="shared" si="2"/>
        <v>798</v>
      </c>
      <c r="L144" s="97">
        <f>_xlfn.XLOOKUP(E144,Emp_Data!$B$2:$B$9,Emp_Data!$A$2:$A$9)</f>
        <v>3</v>
      </c>
    </row>
    <row r="145" spans="1:12">
      <c r="A145" s="99">
        <v>777</v>
      </c>
      <c r="B145" s="101">
        <v>44435</v>
      </c>
      <c r="C145" s="96">
        <v>4</v>
      </c>
      <c r="D145" s="104" t="s">
        <v>13</v>
      </c>
      <c r="E145" s="97" t="s">
        <v>21</v>
      </c>
      <c r="F145" s="97" t="str">
        <f>VLOOKUP(E145,Emp_Data!$B$2:$C$9,2,)</f>
        <v>Sara</v>
      </c>
      <c r="G145" s="97" t="s">
        <v>15</v>
      </c>
      <c r="H145" s="97" t="s">
        <v>39</v>
      </c>
      <c r="I145" s="97">
        <v>399</v>
      </c>
      <c r="J145" s="97">
        <v>3</v>
      </c>
      <c r="K145" s="97">
        <f t="shared" si="2"/>
        <v>1197</v>
      </c>
      <c r="L145" s="97">
        <f>_xlfn.XLOOKUP(E145,Emp_Data!$B$2:$B$9,Emp_Data!$A$2:$A$9)</f>
        <v>2</v>
      </c>
    </row>
    <row r="146" spans="1:12">
      <c r="A146" s="99">
        <v>780</v>
      </c>
      <c r="B146" s="101">
        <v>44435</v>
      </c>
      <c r="C146" s="96">
        <v>7</v>
      </c>
      <c r="D146" s="104" t="s">
        <v>28</v>
      </c>
      <c r="E146" s="97" t="s">
        <v>27</v>
      </c>
      <c r="F146" s="97" t="str">
        <f>VLOOKUP(E146,Emp_Data!$B$2:$C$9,2,)</f>
        <v>Philip</v>
      </c>
      <c r="G146" s="97" t="s">
        <v>12</v>
      </c>
      <c r="H146" s="97" t="s">
        <v>39</v>
      </c>
      <c r="I146" s="97">
        <v>399</v>
      </c>
      <c r="J146" s="97">
        <v>8</v>
      </c>
      <c r="K146" s="97">
        <f t="shared" si="2"/>
        <v>3192</v>
      </c>
      <c r="L146" s="97">
        <f>_xlfn.XLOOKUP(E146,Emp_Data!$B$2:$B$9,Emp_Data!$A$2:$A$9)</f>
        <v>8</v>
      </c>
    </row>
    <row r="147" spans="1:12">
      <c r="A147" s="99">
        <v>783</v>
      </c>
      <c r="B147" s="101">
        <v>44437</v>
      </c>
      <c r="C147" s="96">
        <v>8</v>
      </c>
      <c r="D147" s="104" t="s">
        <v>36</v>
      </c>
      <c r="E147" s="97" t="s">
        <v>27</v>
      </c>
      <c r="F147" s="97" t="str">
        <f>VLOOKUP(E147,Emp_Data!$B$2:$C$9,2,)</f>
        <v>Philip</v>
      </c>
      <c r="G147" s="97" t="s">
        <v>12</v>
      </c>
      <c r="H147" s="97" t="s">
        <v>39</v>
      </c>
      <c r="I147" s="97">
        <v>399</v>
      </c>
      <c r="J147" s="97">
        <v>3</v>
      </c>
      <c r="K147" s="97">
        <f t="shared" si="2"/>
        <v>1197</v>
      </c>
      <c r="L147" s="97">
        <f>_xlfn.XLOOKUP(E147,Emp_Data!$B$2:$B$9,Emp_Data!$A$2:$A$9)</f>
        <v>8</v>
      </c>
    </row>
    <row r="148" spans="1:12">
      <c r="A148" s="99">
        <v>785</v>
      </c>
      <c r="B148" s="101">
        <v>44437</v>
      </c>
      <c r="C148" s="96">
        <v>5</v>
      </c>
      <c r="D148" s="104" t="s">
        <v>16</v>
      </c>
      <c r="E148" s="97" t="s">
        <v>21</v>
      </c>
      <c r="F148" s="97" t="str">
        <f>VLOOKUP(E148,Emp_Data!$B$2:$C$9,2,)</f>
        <v>Sara</v>
      </c>
      <c r="G148" s="97" t="s">
        <v>15</v>
      </c>
      <c r="H148" s="97" t="s">
        <v>39</v>
      </c>
      <c r="I148" s="97">
        <v>399</v>
      </c>
      <c r="J148" s="97">
        <v>6</v>
      </c>
      <c r="K148" s="97">
        <f t="shared" si="2"/>
        <v>2394</v>
      </c>
      <c r="L148" s="97">
        <f>_xlfn.XLOOKUP(E148,Emp_Data!$B$2:$B$9,Emp_Data!$A$2:$A$9)</f>
        <v>2</v>
      </c>
    </row>
    <row r="149" spans="1:12">
      <c r="A149" s="99">
        <v>791</v>
      </c>
      <c r="B149" s="101">
        <v>44439</v>
      </c>
      <c r="C149" s="96">
        <v>18</v>
      </c>
      <c r="D149" s="104" t="s">
        <v>30</v>
      </c>
      <c r="E149" s="97" t="s">
        <v>25</v>
      </c>
      <c r="F149" s="97" t="str">
        <f>VLOOKUP(E149,Emp_Data!$B$2:$C$9,2,)</f>
        <v>Jeff</v>
      </c>
      <c r="G149" s="97" t="s">
        <v>9</v>
      </c>
      <c r="H149" s="97" t="s">
        <v>39</v>
      </c>
      <c r="I149" s="97">
        <v>399</v>
      </c>
      <c r="J149" s="97">
        <v>3</v>
      </c>
      <c r="K149" s="97">
        <f t="shared" si="2"/>
        <v>1197</v>
      </c>
      <c r="L149" s="97">
        <f>_xlfn.XLOOKUP(E149,Emp_Data!$B$2:$B$9,Emp_Data!$A$2:$A$9)</f>
        <v>5</v>
      </c>
    </row>
    <row r="150" spans="1:12">
      <c r="A150" s="99">
        <v>793</v>
      </c>
      <c r="B150" s="101">
        <v>44440</v>
      </c>
      <c r="C150" s="96">
        <v>10</v>
      </c>
      <c r="D150" s="104" t="s">
        <v>34</v>
      </c>
      <c r="E150" s="97" t="s">
        <v>11</v>
      </c>
      <c r="F150" s="97" t="str">
        <f>VLOOKUP(E150,Emp_Data!$B$2:$C$9,2,)</f>
        <v>Steve</v>
      </c>
      <c r="G150" s="97" t="s">
        <v>12</v>
      </c>
      <c r="H150" s="97" t="s">
        <v>39</v>
      </c>
      <c r="I150" s="97">
        <v>399</v>
      </c>
      <c r="J150" s="97">
        <v>3</v>
      </c>
      <c r="K150" s="97">
        <f t="shared" si="2"/>
        <v>1197</v>
      </c>
      <c r="L150" s="97">
        <f>_xlfn.XLOOKUP(E150,Emp_Data!$B$2:$B$9,Emp_Data!$A$2:$A$9)</f>
        <v>4</v>
      </c>
    </row>
    <row r="151" spans="1:12">
      <c r="A151" s="99">
        <v>799</v>
      </c>
      <c r="B151" s="101">
        <v>44442</v>
      </c>
      <c r="C151" s="96">
        <v>16</v>
      </c>
      <c r="D151" s="104" t="s">
        <v>37</v>
      </c>
      <c r="E151" s="97" t="s">
        <v>8</v>
      </c>
      <c r="F151" s="97" t="str">
        <f>VLOOKUP(E151,Emp_Data!$B$2:$C$9,2,)</f>
        <v>Jeff</v>
      </c>
      <c r="G151" s="97" t="s">
        <v>9</v>
      </c>
      <c r="H151" s="97" t="s">
        <v>39</v>
      </c>
      <c r="I151" s="97">
        <v>399</v>
      </c>
      <c r="J151" s="97">
        <v>5</v>
      </c>
      <c r="K151" s="97">
        <f t="shared" si="2"/>
        <v>1995</v>
      </c>
      <c r="L151" s="97">
        <f>_xlfn.XLOOKUP(E151,Emp_Data!$B$2:$B$9,Emp_Data!$A$2:$A$9)</f>
        <v>3</v>
      </c>
    </row>
    <row r="152" spans="1:12">
      <c r="A152" s="99">
        <v>802</v>
      </c>
      <c r="B152" s="101">
        <v>44442</v>
      </c>
      <c r="C152" s="96">
        <v>6</v>
      </c>
      <c r="D152" s="104" t="s">
        <v>10</v>
      </c>
      <c r="E152" s="97" t="s">
        <v>11</v>
      </c>
      <c r="F152" s="97" t="str">
        <f>VLOOKUP(E152,Emp_Data!$B$2:$C$9,2,)</f>
        <v>Steve</v>
      </c>
      <c r="G152" s="97" t="s">
        <v>12</v>
      </c>
      <c r="H152" s="97" t="s">
        <v>39</v>
      </c>
      <c r="I152" s="97">
        <v>399</v>
      </c>
      <c r="J152" s="97">
        <v>8</v>
      </c>
      <c r="K152" s="97">
        <f t="shared" si="2"/>
        <v>3192</v>
      </c>
      <c r="L152" s="97">
        <f>_xlfn.XLOOKUP(E152,Emp_Data!$B$2:$B$9,Emp_Data!$A$2:$A$9)</f>
        <v>4</v>
      </c>
    </row>
    <row r="153" spans="1:12">
      <c r="A153" s="99">
        <v>805</v>
      </c>
      <c r="B153" s="101">
        <v>44444</v>
      </c>
      <c r="C153" s="96">
        <v>19</v>
      </c>
      <c r="D153" s="104" t="s">
        <v>22</v>
      </c>
      <c r="E153" s="97" t="s">
        <v>8</v>
      </c>
      <c r="F153" s="97" t="str">
        <f>VLOOKUP(E153,Emp_Data!$B$2:$C$9,2,)</f>
        <v>Jeff</v>
      </c>
      <c r="G153" s="97" t="s">
        <v>9</v>
      </c>
      <c r="H153" s="97" t="s">
        <v>39</v>
      </c>
      <c r="I153" s="97">
        <v>399</v>
      </c>
      <c r="J153" s="97">
        <v>7</v>
      </c>
      <c r="K153" s="97">
        <f t="shared" si="2"/>
        <v>2793</v>
      </c>
      <c r="L153" s="97">
        <f>_xlfn.XLOOKUP(E153,Emp_Data!$B$2:$B$9,Emp_Data!$A$2:$A$9)</f>
        <v>3</v>
      </c>
    </row>
    <row r="154" spans="1:12">
      <c r="A154" s="99">
        <v>806</v>
      </c>
      <c r="B154" s="101">
        <v>44444</v>
      </c>
      <c r="C154" s="96">
        <v>5</v>
      </c>
      <c r="D154" s="104" t="s">
        <v>16</v>
      </c>
      <c r="E154" s="97" t="s">
        <v>14</v>
      </c>
      <c r="F154" s="97" t="str">
        <f>VLOOKUP(E154,Emp_Data!$B$2:$C$9,2,)</f>
        <v>Jeff</v>
      </c>
      <c r="G154" s="97" t="s">
        <v>15</v>
      </c>
      <c r="H154" s="97" t="s">
        <v>39</v>
      </c>
      <c r="I154" s="97">
        <v>399</v>
      </c>
      <c r="J154" s="97">
        <v>6</v>
      </c>
      <c r="K154" s="97">
        <f t="shared" si="2"/>
        <v>2394</v>
      </c>
      <c r="L154" s="97">
        <f>_xlfn.XLOOKUP(E154,Emp_Data!$B$2:$B$9,Emp_Data!$A$2:$A$9)</f>
        <v>2</v>
      </c>
    </row>
    <row r="155" spans="1:12">
      <c r="A155" s="99">
        <v>812</v>
      </c>
      <c r="B155" s="101">
        <v>44446</v>
      </c>
      <c r="C155" s="96">
        <v>16</v>
      </c>
      <c r="D155" s="104" t="s">
        <v>37</v>
      </c>
      <c r="E155" s="97" t="s">
        <v>8</v>
      </c>
      <c r="F155" s="97" t="str">
        <f>VLOOKUP(E155,Emp_Data!$B$2:$C$9,2,)</f>
        <v>Jeff</v>
      </c>
      <c r="G155" s="97" t="s">
        <v>9</v>
      </c>
      <c r="H155" s="97" t="s">
        <v>39</v>
      </c>
      <c r="I155" s="97">
        <v>399</v>
      </c>
      <c r="J155" s="97">
        <v>1</v>
      </c>
      <c r="K155" s="97">
        <f t="shared" si="2"/>
        <v>399</v>
      </c>
      <c r="L155" s="97">
        <f>_xlfn.XLOOKUP(E155,Emp_Data!$B$2:$B$9,Emp_Data!$A$2:$A$9)</f>
        <v>3</v>
      </c>
    </row>
    <row r="156" spans="1:12">
      <c r="A156" s="99">
        <v>816</v>
      </c>
      <c r="B156" s="101">
        <v>44447</v>
      </c>
      <c r="C156" s="96">
        <v>15</v>
      </c>
      <c r="D156" s="104" t="s">
        <v>29</v>
      </c>
      <c r="E156" s="97" t="s">
        <v>24</v>
      </c>
      <c r="F156" s="97" t="str">
        <f>VLOOKUP(E156,Emp_Data!$B$2:$C$9,2,)</f>
        <v>Steve</v>
      </c>
      <c r="G156" s="97" t="s">
        <v>19</v>
      </c>
      <c r="H156" s="97" t="s">
        <v>39</v>
      </c>
      <c r="I156" s="97">
        <v>399</v>
      </c>
      <c r="J156" s="97">
        <v>4</v>
      </c>
      <c r="K156" s="97">
        <f t="shared" si="2"/>
        <v>1596</v>
      </c>
      <c r="L156" s="97">
        <f>_xlfn.XLOOKUP(E156,Emp_Data!$B$2:$B$9,Emp_Data!$A$2:$A$9)</f>
        <v>6</v>
      </c>
    </row>
    <row r="157" spans="1:12">
      <c r="A157" s="99">
        <v>818</v>
      </c>
      <c r="B157" s="101">
        <v>44448</v>
      </c>
      <c r="C157" s="96">
        <v>13</v>
      </c>
      <c r="D157" s="104" t="s">
        <v>23</v>
      </c>
      <c r="E157" s="97" t="s">
        <v>18</v>
      </c>
      <c r="F157" s="97" t="str">
        <f>VLOOKUP(E157,Emp_Data!$B$2:$C$9,2,)</f>
        <v>Sara</v>
      </c>
      <c r="G157" s="97" t="s">
        <v>19</v>
      </c>
      <c r="H157" s="97" t="s">
        <v>39</v>
      </c>
      <c r="I157" s="97">
        <v>399</v>
      </c>
      <c r="J157" s="97">
        <v>3</v>
      </c>
      <c r="K157" s="97">
        <f t="shared" si="2"/>
        <v>1197</v>
      </c>
      <c r="L157" s="97">
        <f>_xlfn.XLOOKUP(E157,Emp_Data!$B$2:$B$9,Emp_Data!$A$2:$A$9)</f>
        <v>5</v>
      </c>
    </row>
    <row r="158" spans="1:12">
      <c r="A158" s="99">
        <v>822</v>
      </c>
      <c r="B158" s="101">
        <v>44449</v>
      </c>
      <c r="C158" s="96">
        <v>19</v>
      </c>
      <c r="D158" s="104" t="s">
        <v>22</v>
      </c>
      <c r="E158" s="97" t="s">
        <v>25</v>
      </c>
      <c r="F158" s="97" t="str">
        <f>VLOOKUP(E158,Emp_Data!$B$2:$C$9,2,)</f>
        <v>Jeff</v>
      </c>
      <c r="G158" s="97" t="s">
        <v>9</v>
      </c>
      <c r="H158" s="97" t="s">
        <v>39</v>
      </c>
      <c r="I158" s="97">
        <v>399</v>
      </c>
      <c r="J158" s="97">
        <v>4</v>
      </c>
      <c r="K158" s="97">
        <f t="shared" si="2"/>
        <v>1596</v>
      </c>
      <c r="L158" s="97">
        <f>_xlfn.XLOOKUP(E158,Emp_Data!$B$2:$B$9,Emp_Data!$A$2:$A$9)</f>
        <v>5</v>
      </c>
    </row>
    <row r="159" spans="1:12">
      <c r="A159" s="99">
        <v>825</v>
      </c>
      <c r="B159" s="101">
        <v>44450</v>
      </c>
      <c r="C159" s="96">
        <v>20</v>
      </c>
      <c r="D159" s="104" t="s">
        <v>7</v>
      </c>
      <c r="E159" s="97" t="s">
        <v>8</v>
      </c>
      <c r="F159" s="97" t="str">
        <f>VLOOKUP(E159,Emp_Data!$B$2:$C$9,2,)</f>
        <v>Jeff</v>
      </c>
      <c r="G159" s="97" t="s">
        <v>9</v>
      </c>
      <c r="H159" s="97" t="s">
        <v>39</v>
      </c>
      <c r="I159" s="97">
        <v>399</v>
      </c>
      <c r="J159" s="97">
        <v>9</v>
      </c>
      <c r="K159" s="97">
        <f t="shared" si="2"/>
        <v>3591</v>
      </c>
      <c r="L159" s="97">
        <f>_xlfn.XLOOKUP(E159,Emp_Data!$B$2:$B$9,Emp_Data!$A$2:$A$9)</f>
        <v>3</v>
      </c>
    </row>
    <row r="160" spans="1:12">
      <c r="A160" s="99">
        <v>830</v>
      </c>
      <c r="B160" s="101">
        <v>44452</v>
      </c>
      <c r="C160" s="96">
        <v>1</v>
      </c>
      <c r="D160" s="104" t="s">
        <v>31</v>
      </c>
      <c r="E160" s="97" t="s">
        <v>14</v>
      </c>
      <c r="F160" s="97" t="str">
        <f>VLOOKUP(E160,Emp_Data!$B$2:$C$9,2,)</f>
        <v>Jeff</v>
      </c>
      <c r="G160" s="97" t="s">
        <v>15</v>
      </c>
      <c r="H160" s="97" t="s">
        <v>39</v>
      </c>
      <c r="I160" s="97">
        <v>399</v>
      </c>
      <c r="J160" s="97">
        <v>6</v>
      </c>
      <c r="K160" s="97">
        <f t="shared" si="2"/>
        <v>2394</v>
      </c>
      <c r="L160" s="97">
        <f>_xlfn.XLOOKUP(E160,Emp_Data!$B$2:$B$9,Emp_Data!$A$2:$A$9)</f>
        <v>2</v>
      </c>
    </row>
    <row r="161" spans="1:12">
      <c r="A161" s="99">
        <v>833</v>
      </c>
      <c r="B161" s="101">
        <v>44454</v>
      </c>
      <c r="C161" s="96">
        <v>16</v>
      </c>
      <c r="D161" s="104" t="s">
        <v>37</v>
      </c>
      <c r="E161" s="97" t="s">
        <v>8</v>
      </c>
      <c r="F161" s="97" t="str">
        <f>VLOOKUP(E161,Emp_Data!$B$2:$C$9,2,)</f>
        <v>Jeff</v>
      </c>
      <c r="G161" s="97" t="s">
        <v>9</v>
      </c>
      <c r="H161" s="97" t="s">
        <v>39</v>
      </c>
      <c r="I161" s="97">
        <v>399</v>
      </c>
      <c r="J161" s="97">
        <v>9</v>
      </c>
      <c r="K161" s="97">
        <f t="shared" si="2"/>
        <v>3591</v>
      </c>
      <c r="L161" s="97">
        <f>_xlfn.XLOOKUP(E161,Emp_Data!$B$2:$B$9,Emp_Data!$A$2:$A$9)</f>
        <v>3</v>
      </c>
    </row>
    <row r="162" spans="1:12">
      <c r="A162" s="99">
        <v>835</v>
      </c>
      <c r="B162" s="101">
        <v>44454</v>
      </c>
      <c r="C162" s="96">
        <v>19</v>
      </c>
      <c r="D162" s="104" t="s">
        <v>22</v>
      </c>
      <c r="E162" s="97" t="s">
        <v>8</v>
      </c>
      <c r="F162" s="97" t="str">
        <f>VLOOKUP(E162,Emp_Data!$B$2:$C$9,2,)</f>
        <v>Jeff</v>
      </c>
      <c r="G162" s="97" t="s">
        <v>9</v>
      </c>
      <c r="H162" s="97" t="s">
        <v>39</v>
      </c>
      <c r="I162" s="97">
        <v>399</v>
      </c>
      <c r="J162" s="97">
        <v>2</v>
      </c>
      <c r="K162" s="97">
        <f t="shared" si="2"/>
        <v>798</v>
      </c>
      <c r="L162" s="97">
        <f>_xlfn.XLOOKUP(E162,Emp_Data!$B$2:$B$9,Emp_Data!$A$2:$A$9)</f>
        <v>3</v>
      </c>
    </row>
    <row r="163" spans="1:12">
      <c r="A163" s="99">
        <v>838</v>
      </c>
      <c r="B163" s="101">
        <v>44457</v>
      </c>
      <c r="C163" s="96">
        <v>7</v>
      </c>
      <c r="D163" s="104" t="s">
        <v>28</v>
      </c>
      <c r="E163" s="97" t="s">
        <v>11</v>
      </c>
      <c r="F163" s="97" t="str">
        <f>VLOOKUP(E163,Emp_Data!$B$2:$C$9,2,)</f>
        <v>Steve</v>
      </c>
      <c r="G163" s="97" t="s">
        <v>12</v>
      </c>
      <c r="H163" s="97" t="s">
        <v>39</v>
      </c>
      <c r="I163" s="97">
        <v>399</v>
      </c>
      <c r="J163" s="97">
        <v>3</v>
      </c>
      <c r="K163" s="97">
        <f t="shared" si="2"/>
        <v>1197</v>
      </c>
      <c r="L163" s="97">
        <f>_xlfn.XLOOKUP(E163,Emp_Data!$B$2:$B$9,Emp_Data!$A$2:$A$9)</f>
        <v>4</v>
      </c>
    </row>
    <row r="164" spans="1:12">
      <c r="A164" s="99">
        <v>852</v>
      </c>
      <c r="B164" s="101">
        <v>44461</v>
      </c>
      <c r="C164" s="96">
        <v>6</v>
      </c>
      <c r="D164" s="104" t="s">
        <v>10</v>
      </c>
      <c r="E164" s="97" t="s">
        <v>11</v>
      </c>
      <c r="F164" s="97" t="str">
        <f>VLOOKUP(E164,Emp_Data!$B$2:$C$9,2,)</f>
        <v>Steve</v>
      </c>
      <c r="G164" s="97" t="s">
        <v>12</v>
      </c>
      <c r="H164" s="97" t="s">
        <v>39</v>
      </c>
      <c r="I164" s="97">
        <v>399</v>
      </c>
      <c r="J164" s="97">
        <v>9</v>
      </c>
      <c r="K164" s="97">
        <f t="shared" si="2"/>
        <v>3591</v>
      </c>
      <c r="L164" s="97">
        <f>_xlfn.XLOOKUP(E164,Emp_Data!$B$2:$B$9,Emp_Data!$A$2:$A$9)</f>
        <v>4</v>
      </c>
    </row>
    <row r="165" spans="1:12">
      <c r="A165" s="99">
        <v>853</v>
      </c>
      <c r="B165" s="101">
        <v>44461</v>
      </c>
      <c r="C165" s="96">
        <v>14</v>
      </c>
      <c r="D165" s="104" t="s">
        <v>33</v>
      </c>
      <c r="E165" s="97" t="s">
        <v>24</v>
      </c>
      <c r="F165" s="97" t="str">
        <f>VLOOKUP(E165,Emp_Data!$B$2:$C$9,2,)</f>
        <v>Steve</v>
      </c>
      <c r="G165" s="97" t="s">
        <v>19</v>
      </c>
      <c r="H165" s="97" t="s">
        <v>39</v>
      </c>
      <c r="I165" s="97">
        <v>399</v>
      </c>
      <c r="J165" s="97">
        <v>4</v>
      </c>
      <c r="K165" s="97">
        <f t="shared" si="2"/>
        <v>1596</v>
      </c>
      <c r="L165" s="97">
        <f>_xlfn.XLOOKUP(E165,Emp_Data!$B$2:$B$9,Emp_Data!$A$2:$A$9)</f>
        <v>6</v>
      </c>
    </row>
    <row r="166" spans="1:12">
      <c r="A166" s="99">
        <v>861</v>
      </c>
      <c r="B166" s="101">
        <v>44463</v>
      </c>
      <c r="C166" s="96">
        <v>14</v>
      </c>
      <c r="D166" s="104" t="s">
        <v>33</v>
      </c>
      <c r="E166" s="97" t="s">
        <v>18</v>
      </c>
      <c r="F166" s="97" t="str">
        <f>VLOOKUP(E166,Emp_Data!$B$2:$C$9,2,)</f>
        <v>Sara</v>
      </c>
      <c r="G166" s="97" t="s">
        <v>19</v>
      </c>
      <c r="H166" s="97" t="s">
        <v>39</v>
      </c>
      <c r="I166" s="97">
        <v>399</v>
      </c>
      <c r="J166" s="97">
        <v>2</v>
      </c>
      <c r="K166" s="97">
        <f t="shared" si="2"/>
        <v>798</v>
      </c>
      <c r="L166" s="97">
        <f>_xlfn.XLOOKUP(E166,Emp_Data!$B$2:$B$9,Emp_Data!$A$2:$A$9)</f>
        <v>5</v>
      </c>
    </row>
    <row r="167" spans="1:12">
      <c r="A167" s="99">
        <v>869</v>
      </c>
      <c r="B167" s="101">
        <v>44467</v>
      </c>
      <c r="C167" s="96">
        <v>14</v>
      </c>
      <c r="D167" s="104" t="s">
        <v>33</v>
      </c>
      <c r="E167" s="97" t="s">
        <v>24</v>
      </c>
      <c r="F167" s="97" t="str">
        <f>VLOOKUP(E167,Emp_Data!$B$2:$C$9,2,)</f>
        <v>Steve</v>
      </c>
      <c r="G167" s="97" t="s">
        <v>19</v>
      </c>
      <c r="H167" s="97" t="s">
        <v>39</v>
      </c>
      <c r="I167" s="97">
        <v>399</v>
      </c>
      <c r="J167" s="97">
        <v>3</v>
      </c>
      <c r="K167" s="97">
        <f t="shared" si="2"/>
        <v>1197</v>
      </c>
      <c r="L167" s="97">
        <f>_xlfn.XLOOKUP(E167,Emp_Data!$B$2:$B$9,Emp_Data!$A$2:$A$9)</f>
        <v>6</v>
      </c>
    </row>
    <row r="168" spans="1:12">
      <c r="A168" s="99">
        <v>881</v>
      </c>
      <c r="B168" s="101">
        <v>44470</v>
      </c>
      <c r="C168" s="96">
        <v>9</v>
      </c>
      <c r="D168" s="104" t="s">
        <v>26</v>
      </c>
      <c r="E168" s="97" t="s">
        <v>27</v>
      </c>
      <c r="F168" s="97" t="str">
        <f>VLOOKUP(E168,Emp_Data!$B$2:$C$9,2,)</f>
        <v>Philip</v>
      </c>
      <c r="G168" s="97" t="s">
        <v>12</v>
      </c>
      <c r="H168" s="97" t="s">
        <v>39</v>
      </c>
      <c r="I168" s="97">
        <v>399</v>
      </c>
      <c r="J168" s="97">
        <v>7</v>
      </c>
      <c r="K168" s="97">
        <f t="shared" si="2"/>
        <v>2793</v>
      </c>
      <c r="L168" s="97">
        <f>_xlfn.XLOOKUP(E168,Emp_Data!$B$2:$B$9,Emp_Data!$A$2:$A$9)</f>
        <v>8</v>
      </c>
    </row>
    <row r="169" spans="1:12">
      <c r="A169" s="99">
        <v>897</v>
      </c>
      <c r="B169" s="101">
        <v>44475</v>
      </c>
      <c r="C169" s="96">
        <v>4</v>
      </c>
      <c r="D169" s="104" t="s">
        <v>13</v>
      </c>
      <c r="E169" s="97" t="s">
        <v>14</v>
      </c>
      <c r="F169" s="97" t="str">
        <f>VLOOKUP(E169,Emp_Data!$B$2:$C$9,2,)</f>
        <v>Jeff</v>
      </c>
      <c r="G169" s="97" t="s">
        <v>15</v>
      </c>
      <c r="H169" s="97" t="s">
        <v>39</v>
      </c>
      <c r="I169" s="97">
        <v>399</v>
      </c>
      <c r="J169" s="97">
        <v>0</v>
      </c>
      <c r="K169" s="97">
        <f t="shared" si="2"/>
        <v>0</v>
      </c>
      <c r="L169" s="97">
        <f>_xlfn.XLOOKUP(E169,Emp_Data!$B$2:$B$9,Emp_Data!$A$2:$A$9)</f>
        <v>2</v>
      </c>
    </row>
    <row r="170" spans="1:12">
      <c r="A170" s="99">
        <v>901</v>
      </c>
      <c r="B170" s="101">
        <v>44477</v>
      </c>
      <c r="C170" s="96">
        <v>15</v>
      </c>
      <c r="D170" s="104" t="s">
        <v>29</v>
      </c>
      <c r="E170" s="97" t="s">
        <v>18</v>
      </c>
      <c r="F170" s="97" t="str">
        <f>VLOOKUP(E170,Emp_Data!$B$2:$C$9,2,)</f>
        <v>Sara</v>
      </c>
      <c r="G170" s="97" t="s">
        <v>19</v>
      </c>
      <c r="H170" s="97" t="s">
        <v>39</v>
      </c>
      <c r="I170" s="97">
        <v>399</v>
      </c>
      <c r="J170" s="97">
        <v>7</v>
      </c>
      <c r="K170" s="97">
        <f t="shared" si="2"/>
        <v>2793</v>
      </c>
      <c r="L170" s="97">
        <f>_xlfn.XLOOKUP(E170,Emp_Data!$B$2:$B$9,Emp_Data!$A$2:$A$9)</f>
        <v>5</v>
      </c>
    </row>
    <row r="171" spans="1:12">
      <c r="A171" s="99">
        <v>902</v>
      </c>
      <c r="B171" s="101">
        <v>44478</v>
      </c>
      <c r="C171" s="96">
        <v>13</v>
      </c>
      <c r="D171" s="104" t="s">
        <v>23</v>
      </c>
      <c r="E171" s="97" t="s">
        <v>18</v>
      </c>
      <c r="F171" s="97" t="str">
        <f>VLOOKUP(E171,Emp_Data!$B$2:$C$9,2,)</f>
        <v>Sara</v>
      </c>
      <c r="G171" s="97" t="s">
        <v>19</v>
      </c>
      <c r="H171" s="97" t="s">
        <v>39</v>
      </c>
      <c r="I171" s="97">
        <v>399</v>
      </c>
      <c r="J171" s="97">
        <v>4</v>
      </c>
      <c r="K171" s="97">
        <f t="shared" si="2"/>
        <v>1596</v>
      </c>
      <c r="L171" s="97">
        <f>_xlfn.XLOOKUP(E171,Emp_Data!$B$2:$B$9,Emp_Data!$A$2:$A$9)</f>
        <v>5</v>
      </c>
    </row>
    <row r="172" spans="1:12">
      <c r="A172" s="99">
        <v>919</v>
      </c>
      <c r="B172" s="101">
        <v>44484</v>
      </c>
      <c r="C172" s="96">
        <v>14</v>
      </c>
      <c r="D172" s="104" t="s">
        <v>33</v>
      </c>
      <c r="E172" s="97" t="s">
        <v>24</v>
      </c>
      <c r="F172" s="97" t="str">
        <f>VLOOKUP(E172,Emp_Data!$B$2:$C$9,2,)</f>
        <v>Steve</v>
      </c>
      <c r="G172" s="97" t="s">
        <v>19</v>
      </c>
      <c r="H172" s="97" t="s">
        <v>39</v>
      </c>
      <c r="I172" s="97">
        <v>399</v>
      </c>
      <c r="J172" s="97">
        <v>9</v>
      </c>
      <c r="K172" s="97">
        <f t="shared" si="2"/>
        <v>3591</v>
      </c>
      <c r="L172" s="97">
        <f>_xlfn.XLOOKUP(E172,Emp_Data!$B$2:$B$9,Emp_Data!$A$2:$A$9)</f>
        <v>6</v>
      </c>
    </row>
    <row r="173" spans="1:12">
      <c r="A173" s="99">
        <v>921</v>
      </c>
      <c r="B173" s="101">
        <v>44485</v>
      </c>
      <c r="C173" s="96">
        <v>17</v>
      </c>
      <c r="D173" s="104" t="s">
        <v>32</v>
      </c>
      <c r="E173" s="97" t="s">
        <v>25</v>
      </c>
      <c r="F173" s="97" t="str">
        <f>VLOOKUP(E173,Emp_Data!$B$2:$C$9,2,)</f>
        <v>Jeff</v>
      </c>
      <c r="G173" s="97" t="s">
        <v>9</v>
      </c>
      <c r="H173" s="97" t="s">
        <v>39</v>
      </c>
      <c r="I173" s="97">
        <v>399</v>
      </c>
      <c r="J173" s="97">
        <v>6</v>
      </c>
      <c r="K173" s="97">
        <f t="shared" si="2"/>
        <v>2394</v>
      </c>
      <c r="L173" s="97">
        <f>_xlfn.XLOOKUP(E173,Emp_Data!$B$2:$B$9,Emp_Data!$A$2:$A$9)</f>
        <v>5</v>
      </c>
    </row>
    <row r="174" spans="1:12">
      <c r="A174" s="99">
        <v>931</v>
      </c>
      <c r="B174" s="101">
        <v>44487</v>
      </c>
      <c r="C174" s="96">
        <v>17</v>
      </c>
      <c r="D174" s="104" t="s">
        <v>32</v>
      </c>
      <c r="E174" s="97" t="s">
        <v>8</v>
      </c>
      <c r="F174" s="97" t="str">
        <f>VLOOKUP(E174,Emp_Data!$B$2:$C$9,2,)</f>
        <v>Jeff</v>
      </c>
      <c r="G174" s="97" t="s">
        <v>9</v>
      </c>
      <c r="H174" s="97" t="s">
        <v>39</v>
      </c>
      <c r="I174" s="97">
        <v>399</v>
      </c>
      <c r="J174" s="97">
        <v>0</v>
      </c>
      <c r="K174" s="97">
        <f t="shared" si="2"/>
        <v>0</v>
      </c>
      <c r="L174" s="97">
        <f>_xlfn.XLOOKUP(E174,Emp_Data!$B$2:$B$9,Emp_Data!$A$2:$A$9)</f>
        <v>3</v>
      </c>
    </row>
    <row r="175" spans="1:12">
      <c r="A175" s="99">
        <v>938</v>
      </c>
      <c r="B175" s="101">
        <v>44491</v>
      </c>
      <c r="C175" s="96">
        <v>10</v>
      </c>
      <c r="D175" s="104" t="s">
        <v>34</v>
      </c>
      <c r="E175" s="97" t="s">
        <v>27</v>
      </c>
      <c r="F175" s="97" t="str">
        <f>VLOOKUP(E175,Emp_Data!$B$2:$C$9,2,)</f>
        <v>Philip</v>
      </c>
      <c r="G175" s="97" t="s">
        <v>12</v>
      </c>
      <c r="H175" s="97" t="s">
        <v>39</v>
      </c>
      <c r="I175" s="97">
        <v>399</v>
      </c>
      <c r="J175" s="97">
        <v>0</v>
      </c>
      <c r="K175" s="97">
        <f t="shared" si="2"/>
        <v>0</v>
      </c>
      <c r="L175" s="97">
        <f>_xlfn.XLOOKUP(E175,Emp_Data!$B$2:$B$9,Emp_Data!$A$2:$A$9)</f>
        <v>8</v>
      </c>
    </row>
    <row r="176" spans="1:12">
      <c r="A176" s="99">
        <v>942</v>
      </c>
      <c r="B176" s="101">
        <v>44491</v>
      </c>
      <c r="C176" s="96">
        <v>1</v>
      </c>
      <c r="D176" s="104" t="s">
        <v>31</v>
      </c>
      <c r="E176" s="97" t="s">
        <v>14</v>
      </c>
      <c r="F176" s="97" t="str">
        <f>VLOOKUP(E176,Emp_Data!$B$2:$C$9,2,)</f>
        <v>Jeff</v>
      </c>
      <c r="G176" s="97" t="s">
        <v>15</v>
      </c>
      <c r="H176" s="97" t="s">
        <v>39</v>
      </c>
      <c r="I176" s="97">
        <v>399</v>
      </c>
      <c r="J176" s="97">
        <v>8</v>
      </c>
      <c r="K176" s="97">
        <f t="shared" si="2"/>
        <v>3192</v>
      </c>
      <c r="L176" s="97">
        <f>_xlfn.XLOOKUP(E176,Emp_Data!$B$2:$B$9,Emp_Data!$A$2:$A$9)</f>
        <v>2</v>
      </c>
    </row>
    <row r="177" spans="1:12">
      <c r="A177" s="99">
        <v>944</v>
      </c>
      <c r="B177" s="101">
        <v>44492</v>
      </c>
      <c r="C177" s="96">
        <v>4</v>
      </c>
      <c r="D177" s="104" t="s">
        <v>13</v>
      </c>
      <c r="E177" s="97" t="s">
        <v>21</v>
      </c>
      <c r="F177" s="97" t="str">
        <f>VLOOKUP(E177,Emp_Data!$B$2:$C$9,2,)</f>
        <v>Sara</v>
      </c>
      <c r="G177" s="97" t="s">
        <v>15</v>
      </c>
      <c r="H177" s="97" t="s">
        <v>39</v>
      </c>
      <c r="I177" s="97">
        <v>399</v>
      </c>
      <c r="J177" s="97">
        <v>1</v>
      </c>
      <c r="K177" s="97">
        <f t="shared" si="2"/>
        <v>399</v>
      </c>
      <c r="L177" s="97">
        <f>_xlfn.XLOOKUP(E177,Emp_Data!$B$2:$B$9,Emp_Data!$A$2:$A$9)</f>
        <v>2</v>
      </c>
    </row>
    <row r="178" spans="1:12">
      <c r="A178" s="99">
        <v>949</v>
      </c>
      <c r="B178" s="101">
        <v>44495</v>
      </c>
      <c r="C178" s="96">
        <v>6</v>
      </c>
      <c r="D178" s="104" t="s">
        <v>10</v>
      </c>
      <c r="E178" s="97" t="s">
        <v>11</v>
      </c>
      <c r="F178" s="97" t="str">
        <f>VLOOKUP(E178,Emp_Data!$B$2:$C$9,2,)</f>
        <v>Steve</v>
      </c>
      <c r="G178" s="97" t="s">
        <v>12</v>
      </c>
      <c r="H178" s="97" t="s">
        <v>39</v>
      </c>
      <c r="I178" s="97">
        <v>399</v>
      </c>
      <c r="J178" s="97">
        <v>5</v>
      </c>
      <c r="K178" s="97">
        <f t="shared" si="2"/>
        <v>1995</v>
      </c>
      <c r="L178" s="97">
        <f>_xlfn.XLOOKUP(E178,Emp_Data!$B$2:$B$9,Emp_Data!$A$2:$A$9)</f>
        <v>4</v>
      </c>
    </row>
    <row r="179" spans="1:12">
      <c r="A179" s="99">
        <v>952</v>
      </c>
      <c r="B179" s="101">
        <v>44496</v>
      </c>
      <c r="C179" s="96">
        <v>6</v>
      </c>
      <c r="D179" s="104" t="s">
        <v>10</v>
      </c>
      <c r="E179" s="97" t="s">
        <v>11</v>
      </c>
      <c r="F179" s="97" t="str">
        <f>VLOOKUP(E179,Emp_Data!$B$2:$C$9,2,)</f>
        <v>Steve</v>
      </c>
      <c r="G179" s="97" t="s">
        <v>12</v>
      </c>
      <c r="H179" s="97" t="s">
        <v>39</v>
      </c>
      <c r="I179" s="97">
        <v>399</v>
      </c>
      <c r="J179" s="97">
        <v>7</v>
      </c>
      <c r="K179" s="97">
        <f t="shared" si="2"/>
        <v>2793</v>
      </c>
      <c r="L179" s="97">
        <f>_xlfn.XLOOKUP(E179,Emp_Data!$B$2:$B$9,Emp_Data!$A$2:$A$9)</f>
        <v>4</v>
      </c>
    </row>
    <row r="180" spans="1:12">
      <c r="A180" s="99">
        <v>958</v>
      </c>
      <c r="B180" s="101">
        <v>44498</v>
      </c>
      <c r="C180" s="96">
        <v>9</v>
      </c>
      <c r="D180" s="104" t="s">
        <v>26</v>
      </c>
      <c r="E180" s="97" t="s">
        <v>27</v>
      </c>
      <c r="F180" s="97" t="str">
        <f>VLOOKUP(E180,Emp_Data!$B$2:$C$9,2,)</f>
        <v>Philip</v>
      </c>
      <c r="G180" s="97" t="s">
        <v>12</v>
      </c>
      <c r="H180" s="97" t="s">
        <v>39</v>
      </c>
      <c r="I180" s="97">
        <v>399</v>
      </c>
      <c r="J180" s="97">
        <v>2</v>
      </c>
      <c r="K180" s="97">
        <f t="shared" si="2"/>
        <v>798</v>
      </c>
      <c r="L180" s="97">
        <f>_xlfn.XLOOKUP(E180,Emp_Data!$B$2:$B$9,Emp_Data!$A$2:$A$9)</f>
        <v>8</v>
      </c>
    </row>
    <row r="181" spans="1:12">
      <c r="A181" s="99">
        <v>964</v>
      </c>
      <c r="B181" s="101">
        <v>44498</v>
      </c>
      <c r="C181" s="96">
        <v>7</v>
      </c>
      <c r="D181" s="104" t="s">
        <v>28</v>
      </c>
      <c r="E181" s="97" t="s">
        <v>27</v>
      </c>
      <c r="F181" s="97" t="str">
        <f>VLOOKUP(E181,Emp_Data!$B$2:$C$9,2,)</f>
        <v>Philip</v>
      </c>
      <c r="G181" s="97" t="s">
        <v>12</v>
      </c>
      <c r="H181" s="97" t="s">
        <v>39</v>
      </c>
      <c r="I181" s="97">
        <v>399</v>
      </c>
      <c r="J181" s="97">
        <v>2</v>
      </c>
      <c r="K181" s="97">
        <f t="shared" si="2"/>
        <v>798</v>
      </c>
      <c r="L181" s="97">
        <f>_xlfn.XLOOKUP(E181,Emp_Data!$B$2:$B$9,Emp_Data!$A$2:$A$9)</f>
        <v>8</v>
      </c>
    </row>
    <row r="182" spans="1:12">
      <c r="A182" s="99">
        <v>967</v>
      </c>
      <c r="B182" s="101">
        <v>44499</v>
      </c>
      <c r="C182" s="96">
        <v>14</v>
      </c>
      <c r="D182" s="104" t="s">
        <v>33</v>
      </c>
      <c r="E182" s="97" t="s">
        <v>24</v>
      </c>
      <c r="F182" s="97" t="str">
        <f>VLOOKUP(E182,Emp_Data!$B$2:$C$9,2,)</f>
        <v>Steve</v>
      </c>
      <c r="G182" s="97" t="s">
        <v>19</v>
      </c>
      <c r="H182" s="97" t="s">
        <v>39</v>
      </c>
      <c r="I182" s="97">
        <v>399</v>
      </c>
      <c r="J182" s="97">
        <v>1</v>
      </c>
      <c r="K182" s="97">
        <f t="shared" si="2"/>
        <v>399</v>
      </c>
      <c r="L182" s="97">
        <f>_xlfn.XLOOKUP(E182,Emp_Data!$B$2:$B$9,Emp_Data!$A$2:$A$9)</f>
        <v>6</v>
      </c>
    </row>
    <row r="183" spans="1:12">
      <c r="A183" s="99">
        <v>970</v>
      </c>
      <c r="B183" s="101">
        <v>44500</v>
      </c>
      <c r="C183" s="96">
        <v>7</v>
      </c>
      <c r="D183" s="104" t="s">
        <v>28</v>
      </c>
      <c r="E183" s="97" t="s">
        <v>11</v>
      </c>
      <c r="F183" s="97" t="str">
        <f>VLOOKUP(E183,Emp_Data!$B$2:$C$9,2,)</f>
        <v>Steve</v>
      </c>
      <c r="G183" s="97" t="s">
        <v>12</v>
      </c>
      <c r="H183" s="97" t="s">
        <v>39</v>
      </c>
      <c r="I183" s="97">
        <v>399</v>
      </c>
      <c r="J183" s="97">
        <v>0</v>
      </c>
      <c r="K183" s="97">
        <f t="shared" si="2"/>
        <v>0</v>
      </c>
      <c r="L183" s="97">
        <f>_xlfn.XLOOKUP(E183,Emp_Data!$B$2:$B$9,Emp_Data!$A$2:$A$9)</f>
        <v>4</v>
      </c>
    </row>
    <row r="184" spans="1:12">
      <c r="A184" s="99">
        <v>973</v>
      </c>
      <c r="B184" s="101">
        <v>44503</v>
      </c>
      <c r="C184" s="96">
        <v>13</v>
      </c>
      <c r="D184" s="104" t="s">
        <v>23</v>
      </c>
      <c r="E184" s="97" t="s">
        <v>18</v>
      </c>
      <c r="F184" s="97" t="str">
        <f>VLOOKUP(E184,Emp_Data!$B$2:$C$9,2,)</f>
        <v>Sara</v>
      </c>
      <c r="G184" s="97" t="s">
        <v>19</v>
      </c>
      <c r="H184" s="97" t="s">
        <v>39</v>
      </c>
      <c r="I184" s="97">
        <v>399</v>
      </c>
      <c r="J184" s="97">
        <v>0</v>
      </c>
      <c r="K184" s="97">
        <f t="shared" si="2"/>
        <v>0</v>
      </c>
      <c r="L184" s="97">
        <f>_xlfn.XLOOKUP(E184,Emp_Data!$B$2:$B$9,Emp_Data!$A$2:$A$9)</f>
        <v>5</v>
      </c>
    </row>
    <row r="185" spans="1:12">
      <c r="A185" s="99">
        <v>981</v>
      </c>
      <c r="B185" s="101">
        <v>44507</v>
      </c>
      <c r="C185" s="96">
        <v>2</v>
      </c>
      <c r="D185" s="104" t="s">
        <v>35</v>
      </c>
      <c r="E185" s="97" t="s">
        <v>14</v>
      </c>
      <c r="F185" s="97" t="str">
        <f>VLOOKUP(E185,Emp_Data!$B$2:$C$9,2,)</f>
        <v>Jeff</v>
      </c>
      <c r="G185" s="97" t="s">
        <v>15</v>
      </c>
      <c r="H185" s="97" t="s">
        <v>39</v>
      </c>
      <c r="I185" s="97">
        <v>399</v>
      </c>
      <c r="J185" s="97">
        <v>4</v>
      </c>
      <c r="K185" s="97">
        <f t="shared" si="2"/>
        <v>1596</v>
      </c>
      <c r="L185" s="97">
        <f>_xlfn.XLOOKUP(E185,Emp_Data!$B$2:$B$9,Emp_Data!$A$2:$A$9)</f>
        <v>2</v>
      </c>
    </row>
    <row r="186" spans="1:12">
      <c r="A186" s="99">
        <v>983</v>
      </c>
      <c r="B186" s="101">
        <v>44508</v>
      </c>
      <c r="C186" s="96">
        <v>18</v>
      </c>
      <c r="D186" s="104" t="s">
        <v>30</v>
      </c>
      <c r="E186" s="97" t="s">
        <v>8</v>
      </c>
      <c r="F186" s="97" t="str">
        <f>VLOOKUP(E186,Emp_Data!$B$2:$C$9,2,)</f>
        <v>Jeff</v>
      </c>
      <c r="G186" s="97" t="s">
        <v>9</v>
      </c>
      <c r="H186" s="97" t="s">
        <v>39</v>
      </c>
      <c r="I186" s="97">
        <v>399</v>
      </c>
      <c r="J186" s="97">
        <v>9</v>
      </c>
      <c r="K186" s="97">
        <f t="shared" si="2"/>
        <v>3591</v>
      </c>
      <c r="L186" s="97">
        <f>_xlfn.XLOOKUP(E186,Emp_Data!$B$2:$B$9,Emp_Data!$A$2:$A$9)</f>
        <v>3</v>
      </c>
    </row>
    <row r="187" spans="1:12">
      <c r="A187" s="99">
        <v>991</v>
      </c>
      <c r="B187" s="101">
        <v>44509</v>
      </c>
      <c r="C187" s="96">
        <v>18</v>
      </c>
      <c r="D187" s="104" t="s">
        <v>30</v>
      </c>
      <c r="E187" s="97" t="s">
        <v>25</v>
      </c>
      <c r="F187" s="97" t="str">
        <f>VLOOKUP(E187,Emp_Data!$B$2:$C$9,2,)</f>
        <v>Jeff</v>
      </c>
      <c r="G187" s="97" t="s">
        <v>9</v>
      </c>
      <c r="H187" s="97" t="s">
        <v>39</v>
      </c>
      <c r="I187" s="97">
        <v>399</v>
      </c>
      <c r="J187" s="97">
        <v>9</v>
      </c>
      <c r="K187" s="97">
        <f t="shared" si="2"/>
        <v>3591</v>
      </c>
      <c r="L187" s="97">
        <f>_xlfn.XLOOKUP(E187,Emp_Data!$B$2:$B$9,Emp_Data!$A$2:$A$9)</f>
        <v>5</v>
      </c>
    </row>
    <row r="188" spans="1:12">
      <c r="A188" s="99">
        <v>993</v>
      </c>
      <c r="B188" s="101">
        <v>44510</v>
      </c>
      <c r="C188" s="96">
        <v>10</v>
      </c>
      <c r="D188" s="104" t="s">
        <v>34</v>
      </c>
      <c r="E188" s="97" t="s">
        <v>11</v>
      </c>
      <c r="F188" s="97" t="str">
        <f>VLOOKUP(E188,Emp_Data!$B$2:$C$9,2,)</f>
        <v>Steve</v>
      </c>
      <c r="G188" s="97" t="s">
        <v>12</v>
      </c>
      <c r="H188" s="97" t="s">
        <v>39</v>
      </c>
      <c r="I188" s="97">
        <v>399</v>
      </c>
      <c r="J188" s="97">
        <v>6</v>
      </c>
      <c r="K188" s="97">
        <f t="shared" si="2"/>
        <v>2394</v>
      </c>
      <c r="L188" s="97">
        <f>_xlfn.XLOOKUP(E188,Emp_Data!$B$2:$B$9,Emp_Data!$A$2:$A$9)</f>
        <v>4</v>
      </c>
    </row>
    <row r="189" spans="1:12">
      <c r="A189" s="99">
        <v>1009</v>
      </c>
      <c r="B189" s="101">
        <v>44516</v>
      </c>
      <c r="C189" s="96">
        <v>8</v>
      </c>
      <c r="D189" s="104" t="s">
        <v>36</v>
      </c>
      <c r="E189" s="97" t="s">
        <v>27</v>
      </c>
      <c r="F189" s="97" t="str">
        <f>VLOOKUP(E189,Emp_Data!$B$2:$C$9,2,)</f>
        <v>Philip</v>
      </c>
      <c r="G189" s="97" t="s">
        <v>12</v>
      </c>
      <c r="H189" s="97" t="s">
        <v>39</v>
      </c>
      <c r="I189" s="97">
        <v>399</v>
      </c>
      <c r="J189" s="97">
        <v>0</v>
      </c>
      <c r="K189" s="97">
        <f t="shared" si="2"/>
        <v>0</v>
      </c>
      <c r="L189" s="97">
        <f>_xlfn.XLOOKUP(E189,Emp_Data!$B$2:$B$9,Emp_Data!$A$2:$A$9)</f>
        <v>8</v>
      </c>
    </row>
    <row r="190" spans="1:12">
      <c r="A190" s="99">
        <v>1015</v>
      </c>
      <c r="B190" s="101">
        <v>44519</v>
      </c>
      <c r="C190" s="96">
        <v>5</v>
      </c>
      <c r="D190" s="104" t="s">
        <v>16</v>
      </c>
      <c r="E190" s="97" t="s">
        <v>14</v>
      </c>
      <c r="F190" s="97" t="str">
        <f>VLOOKUP(E190,Emp_Data!$B$2:$C$9,2,)</f>
        <v>Jeff</v>
      </c>
      <c r="G190" s="97" t="s">
        <v>15</v>
      </c>
      <c r="H190" s="97" t="s">
        <v>39</v>
      </c>
      <c r="I190" s="97">
        <v>399</v>
      </c>
      <c r="J190" s="97">
        <v>2</v>
      </c>
      <c r="K190" s="97">
        <f t="shared" si="2"/>
        <v>798</v>
      </c>
      <c r="L190" s="97">
        <f>_xlfn.XLOOKUP(E190,Emp_Data!$B$2:$B$9,Emp_Data!$A$2:$A$9)</f>
        <v>2</v>
      </c>
    </row>
    <row r="191" spans="1:12">
      <c r="A191" s="99">
        <v>1018</v>
      </c>
      <c r="B191" s="101">
        <v>44519</v>
      </c>
      <c r="C191" s="96">
        <v>5</v>
      </c>
      <c r="D191" s="104" t="s">
        <v>16</v>
      </c>
      <c r="E191" s="97" t="s">
        <v>21</v>
      </c>
      <c r="F191" s="97" t="str">
        <f>VLOOKUP(E191,Emp_Data!$B$2:$C$9,2,)</f>
        <v>Sara</v>
      </c>
      <c r="G191" s="97" t="s">
        <v>15</v>
      </c>
      <c r="H191" s="97" t="s">
        <v>39</v>
      </c>
      <c r="I191" s="97">
        <v>399</v>
      </c>
      <c r="J191" s="97">
        <v>1</v>
      </c>
      <c r="K191" s="97">
        <f t="shared" si="2"/>
        <v>399</v>
      </c>
      <c r="L191" s="97">
        <f>_xlfn.XLOOKUP(E191,Emp_Data!$B$2:$B$9,Emp_Data!$A$2:$A$9)</f>
        <v>2</v>
      </c>
    </row>
    <row r="192" spans="1:12">
      <c r="A192" s="99">
        <v>1019</v>
      </c>
      <c r="B192" s="101">
        <v>44520</v>
      </c>
      <c r="C192" s="96">
        <v>5</v>
      </c>
      <c r="D192" s="104" t="s">
        <v>16</v>
      </c>
      <c r="E192" s="97" t="s">
        <v>21</v>
      </c>
      <c r="F192" s="97" t="str">
        <f>VLOOKUP(E192,Emp_Data!$B$2:$C$9,2,)</f>
        <v>Sara</v>
      </c>
      <c r="G192" s="97" t="s">
        <v>15</v>
      </c>
      <c r="H192" s="97" t="s">
        <v>39</v>
      </c>
      <c r="I192" s="97">
        <v>399</v>
      </c>
      <c r="J192" s="97">
        <v>8</v>
      </c>
      <c r="K192" s="97">
        <f t="shared" si="2"/>
        <v>3192</v>
      </c>
      <c r="L192" s="97">
        <f>_xlfn.XLOOKUP(E192,Emp_Data!$B$2:$B$9,Emp_Data!$A$2:$A$9)</f>
        <v>2</v>
      </c>
    </row>
    <row r="193" spans="1:12">
      <c r="A193" s="99">
        <v>1021</v>
      </c>
      <c r="B193" s="101">
        <v>44521</v>
      </c>
      <c r="C193" s="96">
        <v>16</v>
      </c>
      <c r="D193" s="104" t="s">
        <v>37</v>
      </c>
      <c r="E193" s="97" t="s">
        <v>25</v>
      </c>
      <c r="F193" s="97" t="str">
        <f>VLOOKUP(E193,Emp_Data!$B$2:$C$9,2,)</f>
        <v>Jeff</v>
      </c>
      <c r="G193" s="97" t="s">
        <v>9</v>
      </c>
      <c r="H193" s="97" t="s">
        <v>39</v>
      </c>
      <c r="I193" s="97">
        <v>399</v>
      </c>
      <c r="J193" s="97">
        <v>3</v>
      </c>
      <c r="K193" s="97">
        <f t="shared" si="2"/>
        <v>1197</v>
      </c>
      <c r="L193" s="97">
        <f>_xlfn.XLOOKUP(E193,Emp_Data!$B$2:$B$9,Emp_Data!$A$2:$A$9)</f>
        <v>5</v>
      </c>
    </row>
    <row r="194" spans="1:12">
      <c r="A194" s="99">
        <v>1023</v>
      </c>
      <c r="B194" s="101">
        <v>44522</v>
      </c>
      <c r="C194" s="96">
        <v>5</v>
      </c>
      <c r="D194" s="104" t="s">
        <v>16</v>
      </c>
      <c r="E194" s="97" t="s">
        <v>21</v>
      </c>
      <c r="F194" s="97" t="str">
        <f>VLOOKUP(E194,Emp_Data!$B$2:$C$9,2,)</f>
        <v>Sara</v>
      </c>
      <c r="G194" s="97" t="s">
        <v>15</v>
      </c>
      <c r="H194" s="97" t="s">
        <v>39</v>
      </c>
      <c r="I194" s="97">
        <v>399</v>
      </c>
      <c r="J194" s="97">
        <v>6</v>
      </c>
      <c r="K194" s="97">
        <f t="shared" si="2"/>
        <v>2394</v>
      </c>
      <c r="L194" s="97">
        <f>_xlfn.XLOOKUP(E194,Emp_Data!$B$2:$B$9,Emp_Data!$A$2:$A$9)</f>
        <v>2</v>
      </c>
    </row>
    <row r="195" spans="1:12">
      <c r="A195" s="99">
        <v>1029</v>
      </c>
      <c r="B195" s="101">
        <v>44522</v>
      </c>
      <c r="C195" s="96">
        <v>8</v>
      </c>
      <c r="D195" s="104" t="s">
        <v>36</v>
      </c>
      <c r="E195" s="97" t="s">
        <v>27</v>
      </c>
      <c r="F195" s="97" t="str">
        <f>VLOOKUP(E195,Emp_Data!$B$2:$C$9,2,)</f>
        <v>Philip</v>
      </c>
      <c r="G195" s="97" t="s">
        <v>12</v>
      </c>
      <c r="H195" s="97" t="s">
        <v>39</v>
      </c>
      <c r="I195" s="97">
        <v>399</v>
      </c>
      <c r="J195" s="97">
        <v>9</v>
      </c>
      <c r="K195" s="97">
        <f t="shared" ref="K195:K258" si="3">SUMPRODUCT(I195,J195)</f>
        <v>3591</v>
      </c>
      <c r="L195" s="97">
        <f>_xlfn.XLOOKUP(E195,Emp_Data!$B$2:$B$9,Emp_Data!$A$2:$A$9)</f>
        <v>8</v>
      </c>
    </row>
    <row r="196" spans="1:12">
      <c r="A196" s="99">
        <v>1030</v>
      </c>
      <c r="B196" s="101">
        <v>44522</v>
      </c>
      <c r="C196" s="96">
        <v>7</v>
      </c>
      <c r="D196" s="104" t="s">
        <v>28</v>
      </c>
      <c r="E196" s="97" t="s">
        <v>27</v>
      </c>
      <c r="F196" s="97" t="str">
        <f>VLOOKUP(E196,Emp_Data!$B$2:$C$9,2,)</f>
        <v>Philip</v>
      </c>
      <c r="G196" s="97" t="s">
        <v>12</v>
      </c>
      <c r="H196" s="97" t="s">
        <v>39</v>
      </c>
      <c r="I196" s="97">
        <v>399</v>
      </c>
      <c r="J196" s="97">
        <v>5</v>
      </c>
      <c r="K196" s="97">
        <f t="shared" si="3"/>
        <v>1995</v>
      </c>
      <c r="L196" s="97">
        <f>_xlfn.XLOOKUP(E196,Emp_Data!$B$2:$B$9,Emp_Data!$A$2:$A$9)</f>
        <v>8</v>
      </c>
    </row>
    <row r="197" spans="1:12">
      <c r="A197" s="99">
        <v>1031</v>
      </c>
      <c r="B197" s="101">
        <v>44522</v>
      </c>
      <c r="C197" s="96">
        <v>10</v>
      </c>
      <c r="D197" s="104" t="s">
        <v>34</v>
      </c>
      <c r="E197" s="97" t="s">
        <v>11</v>
      </c>
      <c r="F197" s="97" t="str">
        <f>VLOOKUP(E197,Emp_Data!$B$2:$C$9,2,)</f>
        <v>Steve</v>
      </c>
      <c r="G197" s="97" t="s">
        <v>12</v>
      </c>
      <c r="H197" s="97" t="s">
        <v>39</v>
      </c>
      <c r="I197" s="97">
        <v>399</v>
      </c>
      <c r="J197" s="97">
        <v>0</v>
      </c>
      <c r="K197" s="97">
        <f t="shared" si="3"/>
        <v>0</v>
      </c>
      <c r="L197" s="97">
        <f>_xlfn.XLOOKUP(E197,Emp_Data!$B$2:$B$9,Emp_Data!$A$2:$A$9)</f>
        <v>4</v>
      </c>
    </row>
    <row r="198" spans="1:12">
      <c r="A198" s="99">
        <v>1034</v>
      </c>
      <c r="B198" s="101">
        <v>44523</v>
      </c>
      <c r="C198" s="96">
        <v>3</v>
      </c>
      <c r="D198" s="104" t="s">
        <v>20</v>
      </c>
      <c r="E198" s="97" t="s">
        <v>14</v>
      </c>
      <c r="F198" s="97" t="str">
        <f>VLOOKUP(E198,Emp_Data!$B$2:$C$9,2,)</f>
        <v>Jeff</v>
      </c>
      <c r="G198" s="97" t="s">
        <v>15</v>
      </c>
      <c r="H198" s="97" t="s">
        <v>39</v>
      </c>
      <c r="I198" s="97">
        <v>399</v>
      </c>
      <c r="J198" s="97">
        <v>2</v>
      </c>
      <c r="K198" s="97">
        <f t="shared" si="3"/>
        <v>798</v>
      </c>
      <c r="L198" s="97">
        <f>_xlfn.XLOOKUP(E198,Emp_Data!$B$2:$B$9,Emp_Data!$A$2:$A$9)</f>
        <v>2</v>
      </c>
    </row>
    <row r="199" spans="1:12">
      <c r="A199" s="99">
        <v>1035</v>
      </c>
      <c r="B199" s="101">
        <v>44523</v>
      </c>
      <c r="C199" s="96">
        <v>4</v>
      </c>
      <c r="D199" s="104" t="s">
        <v>13</v>
      </c>
      <c r="E199" s="97" t="s">
        <v>14</v>
      </c>
      <c r="F199" s="97" t="str">
        <f>VLOOKUP(E199,Emp_Data!$B$2:$C$9,2,)</f>
        <v>Jeff</v>
      </c>
      <c r="G199" s="97" t="s">
        <v>15</v>
      </c>
      <c r="H199" s="97" t="s">
        <v>39</v>
      </c>
      <c r="I199" s="97">
        <v>399</v>
      </c>
      <c r="J199" s="97">
        <v>6</v>
      </c>
      <c r="K199" s="97">
        <f t="shared" si="3"/>
        <v>2394</v>
      </c>
      <c r="L199" s="97">
        <f>_xlfn.XLOOKUP(E199,Emp_Data!$B$2:$B$9,Emp_Data!$A$2:$A$9)</f>
        <v>2</v>
      </c>
    </row>
    <row r="200" spans="1:12">
      <c r="A200" s="99">
        <v>1036</v>
      </c>
      <c r="B200" s="101">
        <v>44523</v>
      </c>
      <c r="C200" s="96">
        <v>13</v>
      </c>
      <c r="D200" s="104" t="s">
        <v>23</v>
      </c>
      <c r="E200" s="97" t="s">
        <v>18</v>
      </c>
      <c r="F200" s="97" t="str">
        <f>VLOOKUP(E200,Emp_Data!$B$2:$C$9,2,)</f>
        <v>Sara</v>
      </c>
      <c r="G200" s="97" t="s">
        <v>19</v>
      </c>
      <c r="H200" s="97" t="s">
        <v>39</v>
      </c>
      <c r="I200" s="97">
        <v>399</v>
      </c>
      <c r="J200" s="97">
        <v>9</v>
      </c>
      <c r="K200" s="97">
        <f t="shared" si="3"/>
        <v>3591</v>
      </c>
      <c r="L200" s="97">
        <f>_xlfn.XLOOKUP(E200,Emp_Data!$B$2:$B$9,Emp_Data!$A$2:$A$9)</f>
        <v>5</v>
      </c>
    </row>
    <row r="201" spans="1:12">
      <c r="A201" s="99">
        <v>1044</v>
      </c>
      <c r="B201" s="101">
        <v>44524</v>
      </c>
      <c r="C201" s="96">
        <v>9</v>
      </c>
      <c r="D201" s="104" t="s">
        <v>26</v>
      </c>
      <c r="E201" s="97" t="s">
        <v>11</v>
      </c>
      <c r="F201" s="97" t="str">
        <f>VLOOKUP(E201,Emp_Data!$B$2:$C$9,2,)</f>
        <v>Steve</v>
      </c>
      <c r="G201" s="97" t="s">
        <v>12</v>
      </c>
      <c r="H201" s="97" t="s">
        <v>39</v>
      </c>
      <c r="I201" s="97">
        <v>399</v>
      </c>
      <c r="J201" s="97">
        <v>1</v>
      </c>
      <c r="K201" s="97">
        <f t="shared" si="3"/>
        <v>399</v>
      </c>
      <c r="L201" s="97">
        <f>_xlfn.XLOOKUP(E201,Emp_Data!$B$2:$B$9,Emp_Data!$A$2:$A$9)</f>
        <v>4</v>
      </c>
    </row>
    <row r="202" spans="1:12">
      <c r="A202" s="99">
        <v>1045</v>
      </c>
      <c r="B202" s="101">
        <v>44524</v>
      </c>
      <c r="C202" s="96">
        <v>11</v>
      </c>
      <c r="D202" s="104" t="s">
        <v>38</v>
      </c>
      <c r="E202" s="97" t="s">
        <v>24</v>
      </c>
      <c r="F202" s="97" t="str">
        <f>VLOOKUP(E202,Emp_Data!$B$2:$C$9,2,)</f>
        <v>Steve</v>
      </c>
      <c r="G202" s="97" t="s">
        <v>19</v>
      </c>
      <c r="H202" s="97" t="s">
        <v>39</v>
      </c>
      <c r="I202" s="97">
        <v>399</v>
      </c>
      <c r="J202" s="97">
        <v>3</v>
      </c>
      <c r="K202" s="97">
        <f t="shared" si="3"/>
        <v>1197</v>
      </c>
      <c r="L202" s="97">
        <f>_xlfn.XLOOKUP(E202,Emp_Data!$B$2:$B$9,Emp_Data!$A$2:$A$9)</f>
        <v>6</v>
      </c>
    </row>
    <row r="203" spans="1:12">
      <c r="A203" s="99">
        <v>1046</v>
      </c>
      <c r="B203" s="101">
        <v>44525</v>
      </c>
      <c r="C203" s="96">
        <v>4</v>
      </c>
      <c r="D203" s="104" t="s">
        <v>13</v>
      </c>
      <c r="E203" s="97" t="s">
        <v>21</v>
      </c>
      <c r="F203" s="97" t="str">
        <f>VLOOKUP(E203,Emp_Data!$B$2:$C$9,2,)</f>
        <v>Sara</v>
      </c>
      <c r="G203" s="97" t="s">
        <v>15</v>
      </c>
      <c r="H203" s="97" t="s">
        <v>39</v>
      </c>
      <c r="I203" s="97">
        <v>399</v>
      </c>
      <c r="J203" s="97">
        <v>5</v>
      </c>
      <c r="K203" s="97">
        <f t="shared" si="3"/>
        <v>1995</v>
      </c>
      <c r="L203" s="97">
        <f>_xlfn.XLOOKUP(E203,Emp_Data!$B$2:$B$9,Emp_Data!$A$2:$A$9)</f>
        <v>2</v>
      </c>
    </row>
    <row r="204" spans="1:12">
      <c r="A204" s="99">
        <v>1049</v>
      </c>
      <c r="B204" s="101">
        <v>44527</v>
      </c>
      <c r="C204" s="96">
        <v>2</v>
      </c>
      <c r="D204" s="104" t="s">
        <v>35</v>
      </c>
      <c r="E204" s="97" t="s">
        <v>14</v>
      </c>
      <c r="F204" s="97" t="str">
        <f>VLOOKUP(E204,Emp_Data!$B$2:$C$9,2,)</f>
        <v>Jeff</v>
      </c>
      <c r="G204" s="97" t="s">
        <v>15</v>
      </c>
      <c r="H204" s="97" t="s">
        <v>39</v>
      </c>
      <c r="I204" s="97">
        <v>399</v>
      </c>
      <c r="J204" s="97">
        <v>8</v>
      </c>
      <c r="K204" s="97">
        <f t="shared" si="3"/>
        <v>3192</v>
      </c>
      <c r="L204" s="97">
        <f>_xlfn.XLOOKUP(E204,Emp_Data!$B$2:$B$9,Emp_Data!$A$2:$A$9)</f>
        <v>2</v>
      </c>
    </row>
    <row r="205" spans="1:12">
      <c r="A205" s="99">
        <v>1050</v>
      </c>
      <c r="B205" s="101">
        <v>44527</v>
      </c>
      <c r="C205" s="96">
        <v>4</v>
      </c>
      <c r="D205" s="104" t="s">
        <v>13</v>
      </c>
      <c r="E205" s="97" t="s">
        <v>21</v>
      </c>
      <c r="F205" s="97" t="str">
        <f>VLOOKUP(E205,Emp_Data!$B$2:$C$9,2,)</f>
        <v>Sara</v>
      </c>
      <c r="G205" s="97" t="s">
        <v>15</v>
      </c>
      <c r="H205" s="97" t="s">
        <v>39</v>
      </c>
      <c r="I205" s="97">
        <v>399</v>
      </c>
      <c r="J205" s="97">
        <v>6</v>
      </c>
      <c r="K205" s="97">
        <f t="shared" si="3"/>
        <v>2394</v>
      </c>
      <c r="L205" s="97">
        <f>_xlfn.XLOOKUP(E205,Emp_Data!$B$2:$B$9,Emp_Data!$A$2:$A$9)</f>
        <v>2</v>
      </c>
    </row>
    <row r="206" spans="1:12">
      <c r="A206" s="99">
        <v>1058</v>
      </c>
      <c r="B206" s="101">
        <v>44529</v>
      </c>
      <c r="C206" s="96">
        <v>9</v>
      </c>
      <c r="D206" s="104" t="s">
        <v>26</v>
      </c>
      <c r="E206" s="97" t="s">
        <v>11</v>
      </c>
      <c r="F206" s="97" t="str">
        <f>VLOOKUP(E206,Emp_Data!$B$2:$C$9,2,)</f>
        <v>Steve</v>
      </c>
      <c r="G206" s="97" t="s">
        <v>12</v>
      </c>
      <c r="H206" s="97" t="s">
        <v>39</v>
      </c>
      <c r="I206" s="97">
        <v>399</v>
      </c>
      <c r="J206" s="97">
        <v>6</v>
      </c>
      <c r="K206" s="97">
        <f t="shared" si="3"/>
        <v>2394</v>
      </c>
      <c r="L206" s="97">
        <f>_xlfn.XLOOKUP(E206,Emp_Data!$B$2:$B$9,Emp_Data!$A$2:$A$9)</f>
        <v>4</v>
      </c>
    </row>
    <row r="207" spans="1:12">
      <c r="A207" s="99">
        <v>1061</v>
      </c>
      <c r="B207" s="101">
        <v>44531</v>
      </c>
      <c r="C207" s="96">
        <v>8</v>
      </c>
      <c r="D207" s="104" t="s">
        <v>36</v>
      </c>
      <c r="E207" s="97" t="s">
        <v>11</v>
      </c>
      <c r="F207" s="97" t="str">
        <f>VLOOKUP(E207,Emp_Data!$B$2:$C$9,2,)</f>
        <v>Steve</v>
      </c>
      <c r="G207" s="97" t="s">
        <v>12</v>
      </c>
      <c r="H207" s="97" t="s">
        <v>39</v>
      </c>
      <c r="I207" s="97">
        <v>399</v>
      </c>
      <c r="J207" s="97">
        <v>5</v>
      </c>
      <c r="K207" s="97">
        <f t="shared" si="3"/>
        <v>1995</v>
      </c>
      <c r="L207" s="97">
        <f>_xlfn.XLOOKUP(E207,Emp_Data!$B$2:$B$9,Emp_Data!$A$2:$A$9)</f>
        <v>4</v>
      </c>
    </row>
    <row r="208" spans="1:12">
      <c r="A208" s="99">
        <v>1063</v>
      </c>
      <c r="B208" s="101">
        <v>44532</v>
      </c>
      <c r="C208" s="96">
        <v>7</v>
      </c>
      <c r="D208" s="104" t="s">
        <v>28</v>
      </c>
      <c r="E208" s="97" t="s">
        <v>11</v>
      </c>
      <c r="F208" s="97" t="str">
        <f>VLOOKUP(E208,Emp_Data!$B$2:$C$9,2,)</f>
        <v>Steve</v>
      </c>
      <c r="G208" s="97" t="s">
        <v>12</v>
      </c>
      <c r="H208" s="97" t="s">
        <v>39</v>
      </c>
      <c r="I208" s="97">
        <v>399</v>
      </c>
      <c r="J208" s="97">
        <v>3</v>
      </c>
      <c r="K208" s="97">
        <f t="shared" si="3"/>
        <v>1197</v>
      </c>
      <c r="L208" s="97">
        <f>_xlfn.XLOOKUP(E208,Emp_Data!$B$2:$B$9,Emp_Data!$A$2:$A$9)</f>
        <v>4</v>
      </c>
    </row>
    <row r="209" spans="1:12">
      <c r="A209" s="99">
        <v>1067</v>
      </c>
      <c r="B209" s="101">
        <v>44534</v>
      </c>
      <c r="C209" s="96">
        <v>16</v>
      </c>
      <c r="D209" s="104" t="s">
        <v>37</v>
      </c>
      <c r="E209" s="97" t="s">
        <v>8</v>
      </c>
      <c r="F209" s="97" t="str">
        <f>VLOOKUP(E209,Emp_Data!$B$2:$C$9,2,)</f>
        <v>Jeff</v>
      </c>
      <c r="G209" s="97" t="s">
        <v>9</v>
      </c>
      <c r="H209" s="97" t="s">
        <v>39</v>
      </c>
      <c r="I209" s="97">
        <v>399</v>
      </c>
      <c r="J209" s="97">
        <v>0</v>
      </c>
      <c r="K209" s="97">
        <f t="shared" si="3"/>
        <v>0</v>
      </c>
      <c r="L209" s="97">
        <f>_xlfn.XLOOKUP(E209,Emp_Data!$B$2:$B$9,Emp_Data!$A$2:$A$9)</f>
        <v>3</v>
      </c>
    </row>
    <row r="210" spans="1:12">
      <c r="A210" s="99">
        <v>1068</v>
      </c>
      <c r="B210" s="101">
        <v>44535</v>
      </c>
      <c r="C210" s="96">
        <v>5</v>
      </c>
      <c r="D210" s="104" t="s">
        <v>16</v>
      </c>
      <c r="E210" s="97" t="s">
        <v>21</v>
      </c>
      <c r="F210" s="97" t="str">
        <f>VLOOKUP(E210,Emp_Data!$B$2:$C$9,2,)</f>
        <v>Sara</v>
      </c>
      <c r="G210" s="97" t="s">
        <v>15</v>
      </c>
      <c r="H210" s="97" t="s">
        <v>39</v>
      </c>
      <c r="I210" s="97">
        <v>399</v>
      </c>
      <c r="J210" s="97">
        <v>4</v>
      </c>
      <c r="K210" s="97">
        <f t="shared" si="3"/>
        <v>1596</v>
      </c>
      <c r="L210" s="97">
        <f>_xlfn.XLOOKUP(E210,Emp_Data!$B$2:$B$9,Emp_Data!$A$2:$A$9)</f>
        <v>2</v>
      </c>
    </row>
    <row r="211" spans="1:12">
      <c r="A211" s="99">
        <v>1089</v>
      </c>
      <c r="B211" s="101">
        <v>44543</v>
      </c>
      <c r="C211" s="96">
        <v>1</v>
      </c>
      <c r="D211" s="104" t="s">
        <v>31</v>
      </c>
      <c r="E211" s="97" t="s">
        <v>14</v>
      </c>
      <c r="F211" s="97" t="str">
        <f>VLOOKUP(E211,Emp_Data!$B$2:$C$9,2,)</f>
        <v>Jeff</v>
      </c>
      <c r="G211" s="97" t="s">
        <v>15</v>
      </c>
      <c r="H211" s="97" t="s">
        <v>39</v>
      </c>
      <c r="I211" s="97">
        <v>399</v>
      </c>
      <c r="J211" s="97">
        <v>1</v>
      </c>
      <c r="K211" s="97">
        <f t="shared" si="3"/>
        <v>399</v>
      </c>
      <c r="L211" s="97">
        <f>_xlfn.XLOOKUP(E211,Emp_Data!$B$2:$B$9,Emp_Data!$A$2:$A$9)</f>
        <v>2</v>
      </c>
    </row>
    <row r="212" spans="1:12">
      <c r="A212" s="99">
        <v>1096</v>
      </c>
      <c r="B212" s="101">
        <v>44547</v>
      </c>
      <c r="C212" s="96">
        <v>12</v>
      </c>
      <c r="D212" s="104" t="s">
        <v>17</v>
      </c>
      <c r="E212" s="97" t="s">
        <v>18</v>
      </c>
      <c r="F212" s="97" t="str">
        <f>VLOOKUP(E212,Emp_Data!$B$2:$C$9,2,)</f>
        <v>Sara</v>
      </c>
      <c r="G212" s="97" t="s">
        <v>19</v>
      </c>
      <c r="H212" s="97" t="s">
        <v>39</v>
      </c>
      <c r="I212" s="97">
        <v>399</v>
      </c>
      <c r="J212" s="97">
        <v>5</v>
      </c>
      <c r="K212" s="97">
        <f t="shared" si="3"/>
        <v>1995</v>
      </c>
      <c r="L212" s="97">
        <f>_xlfn.XLOOKUP(E212,Emp_Data!$B$2:$B$9,Emp_Data!$A$2:$A$9)</f>
        <v>5</v>
      </c>
    </row>
    <row r="213" spans="1:12">
      <c r="A213" s="99">
        <v>1102</v>
      </c>
      <c r="B213" s="101">
        <v>44548</v>
      </c>
      <c r="C213" s="96">
        <v>12</v>
      </c>
      <c r="D213" s="104" t="s">
        <v>17</v>
      </c>
      <c r="E213" s="97" t="s">
        <v>18</v>
      </c>
      <c r="F213" s="97" t="str">
        <f>VLOOKUP(E213,Emp_Data!$B$2:$C$9,2,)</f>
        <v>Sara</v>
      </c>
      <c r="G213" s="97" t="s">
        <v>19</v>
      </c>
      <c r="H213" s="97" t="s">
        <v>39</v>
      </c>
      <c r="I213" s="97">
        <v>399</v>
      </c>
      <c r="J213" s="97">
        <v>3</v>
      </c>
      <c r="K213" s="97">
        <f t="shared" si="3"/>
        <v>1197</v>
      </c>
      <c r="L213" s="97">
        <f>_xlfn.XLOOKUP(E213,Emp_Data!$B$2:$B$9,Emp_Data!$A$2:$A$9)</f>
        <v>5</v>
      </c>
    </row>
    <row r="214" spans="1:12">
      <c r="A214" s="99">
        <v>1103</v>
      </c>
      <c r="B214" s="101">
        <v>44548</v>
      </c>
      <c r="C214" s="96">
        <v>5</v>
      </c>
      <c r="D214" s="104" t="s">
        <v>16</v>
      </c>
      <c r="E214" s="97" t="s">
        <v>21</v>
      </c>
      <c r="F214" s="97" t="str">
        <f>VLOOKUP(E214,Emp_Data!$B$2:$C$9,2,)</f>
        <v>Sara</v>
      </c>
      <c r="G214" s="97" t="s">
        <v>15</v>
      </c>
      <c r="H214" s="97" t="s">
        <v>39</v>
      </c>
      <c r="I214" s="97">
        <v>399</v>
      </c>
      <c r="J214" s="97">
        <v>0</v>
      </c>
      <c r="K214" s="97">
        <f t="shared" si="3"/>
        <v>0</v>
      </c>
      <c r="L214" s="97">
        <f>_xlfn.XLOOKUP(E214,Emp_Data!$B$2:$B$9,Emp_Data!$A$2:$A$9)</f>
        <v>2</v>
      </c>
    </row>
    <row r="215" spans="1:12">
      <c r="A215" s="99">
        <v>1108</v>
      </c>
      <c r="B215" s="101">
        <v>44548</v>
      </c>
      <c r="C215" s="96">
        <v>14</v>
      </c>
      <c r="D215" s="104" t="s">
        <v>33</v>
      </c>
      <c r="E215" s="97" t="s">
        <v>18</v>
      </c>
      <c r="F215" s="97" t="str">
        <f>VLOOKUP(E215,Emp_Data!$B$2:$C$9,2,)</f>
        <v>Sara</v>
      </c>
      <c r="G215" s="97" t="s">
        <v>19</v>
      </c>
      <c r="H215" s="97" t="s">
        <v>39</v>
      </c>
      <c r="I215" s="97">
        <v>399</v>
      </c>
      <c r="J215" s="97">
        <v>5</v>
      </c>
      <c r="K215" s="97">
        <f t="shared" si="3"/>
        <v>1995</v>
      </c>
      <c r="L215" s="97">
        <f>_xlfn.XLOOKUP(E215,Emp_Data!$B$2:$B$9,Emp_Data!$A$2:$A$9)</f>
        <v>5</v>
      </c>
    </row>
    <row r="216" spans="1:12">
      <c r="A216" s="99">
        <v>1111</v>
      </c>
      <c r="B216" s="101">
        <v>44550</v>
      </c>
      <c r="C216" s="96">
        <v>4</v>
      </c>
      <c r="D216" s="104" t="s">
        <v>13</v>
      </c>
      <c r="E216" s="97" t="s">
        <v>14</v>
      </c>
      <c r="F216" s="97" t="str">
        <f>VLOOKUP(E216,Emp_Data!$B$2:$C$9,2,)</f>
        <v>Jeff</v>
      </c>
      <c r="G216" s="97" t="s">
        <v>15</v>
      </c>
      <c r="H216" s="97" t="s">
        <v>39</v>
      </c>
      <c r="I216" s="97">
        <v>399</v>
      </c>
      <c r="J216" s="97">
        <v>8</v>
      </c>
      <c r="K216" s="97">
        <f t="shared" si="3"/>
        <v>3192</v>
      </c>
      <c r="L216" s="97">
        <f>_xlfn.XLOOKUP(E216,Emp_Data!$B$2:$B$9,Emp_Data!$A$2:$A$9)</f>
        <v>2</v>
      </c>
    </row>
    <row r="217" spans="1:12">
      <c r="A217" s="99">
        <v>1118</v>
      </c>
      <c r="B217" s="101">
        <v>44550</v>
      </c>
      <c r="C217" s="96">
        <v>18</v>
      </c>
      <c r="D217" s="104" t="s">
        <v>30</v>
      </c>
      <c r="E217" s="97" t="s">
        <v>25</v>
      </c>
      <c r="F217" s="97" t="str">
        <f>VLOOKUP(E217,Emp_Data!$B$2:$C$9,2,)</f>
        <v>Jeff</v>
      </c>
      <c r="G217" s="97" t="s">
        <v>9</v>
      </c>
      <c r="H217" s="97" t="s">
        <v>39</v>
      </c>
      <c r="I217" s="97">
        <v>399</v>
      </c>
      <c r="J217" s="97">
        <v>7</v>
      </c>
      <c r="K217" s="97">
        <f t="shared" si="3"/>
        <v>2793</v>
      </c>
      <c r="L217" s="97">
        <f>_xlfn.XLOOKUP(E217,Emp_Data!$B$2:$B$9,Emp_Data!$A$2:$A$9)</f>
        <v>5</v>
      </c>
    </row>
    <row r="218" spans="1:12">
      <c r="A218" s="99">
        <v>1121</v>
      </c>
      <c r="B218" s="101">
        <v>44552</v>
      </c>
      <c r="C218" s="96">
        <v>14</v>
      </c>
      <c r="D218" s="104" t="s">
        <v>33</v>
      </c>
      <c r="E218" s="97" t="s">
        <v>24</v>
      </c>
      <c r="F218" s="97" t="str">
        <f>VLOOKUP(E218,Emp_Data!$B$2:$C$9,2,)</f>
        <v>Steve</v>
      </c>
      <c r="G218" s="97" t="s">
        <v>19</v>
      </c>
      <c r="H218" s="97" t="s">
        <v>39</v>
      </c>
      <c r="I218" s="97">
        <v>399</v>
      </c>
      <c r="J218" s="97">
        <v>7</v>
      </c>
      <c r="K218" s="97">
        <f t="shared" si="3"/>
        <v>2793</v>
      </c>
      <c r="L218" s="97">
        <f>_xlfn.XLOOKUP(E218,Emp_Data!$B$2:$B$9,Emp_Data!$A$2:$A$9)</f>
        <v>6</v>
      </c>
    </row>
    <row r="219" spans="1:12">
      <c r="A219" s="99">
        <v>1128</v>
      </c>
      <c r="B219" s="101">
        <v>44554</v>
      </c>
      <c r="C219" s="96">
        <v>9</v>
      </c>
      <c r="D219" s="104" t="s">
        <v>26</v>
      </c>
      <c r="E219" s="97" t="s">
        <v>11</v>
      </c>
      <c r="F219" s="97" t="str">
        <f>VLOOKUP(E219,Emp_Data!$B$2:$C$9,2,)</f>
        <v>Steve</v>
      </c>
      <c r="G219" s="97" t="s">
        <v>12</v>
      </c>
      <c r="H219" s="97" t="s">
        <v>39</v>
      </c>
      <c r="I219" s="97">
        <v>399</v>
      </c>
      <c r="J219" s="97">
        <v>2</v>
      </c>
      <c r="K219" s="97">
        <f t="shared" si="3"/>
        <v>798</v>
      </c>
      <c r="L219" s="97">
        <f>_xlfn.XLOOKUP(E219,Emp_Data!$B$2:$B$9,Emp_Data!$A$2:$A$9)</f>
        <v>4</v>
      </c>
    </row>
    <row r="220" spans="1:12">
      <c r="A220" s="99">
        <v>1142</v>
      </c>
      <c r="B220" s="101">
        <v>44557</v>
      </c>
      <c r="C220" s="96">
        <v>16</v>
      </c>
      <c r="D220" s="104" t="s">
        <v>37</v>
      </c>
      <c r="E220" s="97" t="s">
        <v>25</v>
      </c>
      <c r="F220" s="97" t="str">
        <f>VLOOKUP(E220,Emp_Data!$B$2:$C$9,2,)</f>
        <v>Jeff</v>
      </c>
      <c r="G220" s="97" t="s">
        <v>9</v>
      </c>
      <c r="H220" s="97" t="s">
        <v>39</v>
      </c>
      <c r="I220" s="97">
        <v>399</v>
      </c>
      <c r="J220" s="97">
        <v>8</v>
      </c>
      <c r="K220" s="97">
        <f t="shared" si="3"/>
        <v>3192</v>
      </c>
      <c r="L220" s="97">
        <f>_xlfn.XLOOKUP(E220,Emp_Data!$B$2:$B$9,Emp_Data!$A$2:$A$9)</f>
        <v>5</v>
      </c>
    </row>
    <row r="221" spans="1:12">
      <c r="A221" s="99">
        <v>1144</v>
      </c>
      <c r="B221" s="101">
        <v>44559</v>
      </c>
      <c r="C221" s="96">
        <v>11</v>
      </c>
      <c r="D221" s="104" t="s">
        <v>38</v>
      </c>
      <c r="E221" s="97" t="s">
        <v>18</v>
      </c>
      <c r="F221" s="97" t="str">
        <f>VLOOKUP(E221,Emp_Data!$B$2:$C$9,2,)</f>
        <v>Sara</v>
      </c>
      <c r="G221" s="97" t="s">
        <v>19</v>
      </c>
      <c r="H221" s="97" t="s">
        <v>39</v>
      </c>
      <c r="I221" s="97">
        <v>399</v>
      </c>
      <c r="J221" s="97">
        <v>2</v>
      </c>
      <c r="K221" s="97">
        <f t="shared" si="3"/>
        <v>798</v>
      </c>
      <c r="L221" s="97">
        <f>_xlfn.XLOOKUP(E221,Emp_Data!$B$2:$B$9,Emp_Data!$A$2:$A$9)</f>
        <v>5</v>
      </c>
    </row>
    <row r="222" spans="1:12">
      <c r="A222" s="99">
        <v>1145</v>
      </c>
      <c r="B222" s="101">
        <v>44560</v>
      </c>
      <c r="C222" s="96">
        <v>12</v>
      </c>
      <c r="D222" s="104" t="s">
        <v>17</v>
      </c>
      <c r="E222" s="97" t="s">
        <v>18</v>
      </c>
      <c r="F222" s="97" t="str">
        <f>VLOOKUP(E222,Emp_Data!$B$2:$C$9,2,)</f>
        <v>Sara</v>
      </c>
      <c r="G222" s="97" t="s">
        <v>19</v>
      </c>
      <c r="H222" s="97" t="s">
        <v>39</v>
      </c>
      <c r="I222" s="97">
        <v>399</v>
      </c>
      <c r="J222" s="97">
        <v>8</v>
      </c>
      <c r="K222" s="97">
        <f t="shared" si="3"/>
        <v>3192</v>
      </c>
      <c r="L222" s="97">
        <f>_xlfn.XLOOKUP(E222,Emp_Data!$B$2:$B$9,Emp_Data!$A$2:$A$9)</f>
        <v>5</v>
      </c>
    </row>
    <row r="223" spans="1:12">
      <c r="A223" s="99">
        <v>1147</v>
      </c>
      <c r="B223" s="101">
        <v>44562</v>
      </c>
      <c r="C223" s="96">
        <v>20</v>
      </c>
      <c r="D223" s="104" t="s">
        <v>7</v>
      </c>
      <c r="E223" s="97" t="s">
        <v>8</v>
      </c>
      <c r="F223" s="97" t="str">
        <f>VLOOKUP(E223,Emp_Data!$B$2:$C$9,2,)</f>
        <v>Jeff</v>
      </c>
      <c r="G223" s="97" t="s">
        <v>9</v>
      </c>
      <c r="H223" s="97" t="s">
        <v>39</v>
      </c>
      <c r="I223" s="97">
        <v>399</v>
      </c>
      <c r="J223" s="97">
        <v>4</v>
      </c>
      <c r="K223" s="97">
        <f t="shared" si="3"/>
        <v>1596</v>
      </c>
      <c r="L223" s="97">
        <f>_xlfn.XLOOKUP(E223,Emp_Data!$B$2:$B$9,Emp_Data!$A$2:$A$9)</f>
        <v>3</v>
      </c>
    </row>
    <row r="224" spans="1:12">
      <c r="A224" s="99">
        <v>1178</v>
      </c>
      <c r="B224" s="101">
        <v>44573</v>
      </c>
      <c r="C224" s="96">
        <v>19</v>
      </c>
      <c r="D224" s="104" t="s">
        <v>22</v>
      </c>
      <c r="E224" s="97" t="s">
        <v>25</v>
      </c>
      <c r="F224" s="97" t="str">
        <f>VLOOKUP(E224,Emp_Data!$B$2:$C$9,2,)</f>
        <v>Jeff</v>
      </c>
      <c r="G224" s="97" t="s">
        <v>9</v>
      </c>
      <c r="H224" s="97" t="s">
        <v>39</v>
      </c>
      <c r="I224" s="97">
        <v>399</v>
      </c>
      <c r="J224" s="97">
        <v>5</v>
      </c>
      <c r="K224" s="97">
        <f t="shared" si="3"/>
        <v>1995</v>
      </c>
      <c r="L224" s="97">
        <f>_xlfn.XLOOKUP(E224,Emp_Data!$B$2:$B$9,Emp_Data!$A$2:$A$9)</f>
        <v>5</v>
      </c>
    </row>
    <row r="225" spans="1:12">
      <c r="A225" s="99">
        <v>1179</v>
      </c>
      <c r="B225" s="101">
        <v>44573</v>
      </c>
      <c r="C225" s="96">
        <v>10</v>
      </c>
      <c r="D225" s="104" t="s">
        <v>34</v>
      </c>
      <c r="E225" s="97" t="s">
        <v>11</v>
      </c>
      <c r="F225" s="97" t="str">
        <f>VLOOKUP(E225,Emp_Data!$B$2:$C$9,2,)</f>
        <v>Steve</v>
      </c>
      <c r="G225" s="97" t="s">
        <v>12</v>
      </c>
      <c r="H225" s="97" t="s">
        <v>39</v>
      </c>
      <c r="I225" s="97">
        <v>399</v>
      </c>
      <c r="J225" s="97">
        <v>7</v>
      </c>
      <c r="K225" s="97">
        <f t="shared" si="3"/>
        <v>2793</v>
      </c>
      <c r="L225" s="97">
        <f>_xlfn.XLOOKUP(E225,Emp_Data!$B$2:$B$9,Emp_Data!$A$2:$A$9)</f>
        <v>4</v>
      </c>
    </row>
    <row r="226" spans="1:12">
      <c r="A226" s="99">
        <v>1181</v>
      </c>
      <c r="B226" s="101">
        <v>44573</v>
      </c>
      <c r="C226" s="96">
        <v>11</v>
      </c>
      <c r="D226" s="104" t="s">
        <v>38</v>
      </c>
      <c r="E226" s="97" t="s">
        <v>24</v>
      </c>
      <c r="F226" s="97" t="str">
        <f>VLOOKUP(E226,Emp_Data!$B$2:$C$9,2,)</f>
        <v>Steve</v>
      </c>
      <c r="G226" s="97" t="s">
        <v>19</v>
      </c>
      <c r="H226" s="97" t="s">
        <v>39</v>
      </c>
      <c r="I226" s="97">
        <v>399</v>
      </c>
      <c r="J226" s="97">
        <v>4</v>
      </c>
      <c r="K226" s="97">
        <f t="shared" si="3"/>
        <v>1596</v>
      </c>
      <c r="L226" s="97">
        <f>_xlfn.XLOOKUP(E226,Emp_Data!$B$2:$B$9,Emp_Data!$A$2:$A$9)</f>
        <v>6</v>
      </c>
    </row>
    <row r="227" spans="1:12">
      <c r="A227" s="99">
        <v>1183</v>
      </c>
      <c r="B227" s="101">
        <v>44574</v>
      </c>
      <c r="C227" s="96">
        <v>3</v>
      </c>
      <c r="D227" s="104" t="s">
        <v>20</v>
      </c>
      <c r="E227" s="97" t="s">
        <v>21</v>
      </c>
      <c r="F227" s="97" t="str">
        <f>VLOOKUP(E227,Emp_Data!$B$2:$C$9,2,)</f>
        <v>Sara</v>
      </c>
      <c r="G227" s="97" t="s">
        <v>15</v>
      </c>
      <c r="H227" s="97" t="s">
        <v>39</v>
      </c>
      <c r="I227" s="97">
        <v>399</v>
      </c>
      <c r="J227" s="97">
        <v>7</v>
      </c>
      <c r="K227" s="97">
        <f t="shared" si="3"/>
        <v>2793</v>
      </c>
      <c r="L227" s="97">
        <f>_xlfn.XLOOKUP(E227,Emp_Data!$B$2:$B$9,Emp_Data!$A$2:$A$9)</f>
        <v>2</v>
      </c>
    </row>
    <row r="228" spans="1:12">
      <c r="A228" s="99">
        <v>1187</v>
      </c>
      <c r="B228" s="101">
        <v>44574</v>
      </c>
      <c r="C228" s="96">
        <v>4</v>
      </c>
      <c r="D228" s="104" t="s">
        <v>13</v>
      </c>
      <c r="E228" s="97" t="s">
        <v>21</v>
      </c>
      <c r="F228" s="97" t="str">
        <f>VLOOKUP(E228,Emp_Data!$B$2:$C$9,2,)</f>
        <v>Sara</v>
      </c>
      <c r="G228" s="97" t="s">
        <v>15</v>
      </c>
      <c r="H228" s="97" t="s">
        <v>39</v>
      </c>
      <c r="I228" s="97">
        <v>399</v>
      </c>
      <c r="J228" s="97">
        <v>2</v>
      </c>
      <c r="K228" s="97">
        <f t="shared" si="3"/>
        <v>798</v>
      </c>
      <c r="L228" s="97">
        <f>_xlfn.XLOOKUP(E228,Emp_Data!$B$2:$B$9,Emp_Data!$A$2:$A$9)</f>
        <v>2</v>
      </c>
    </row>
    <row r="229" spans="1:12">
      <c r="A229" s="99">
        <v>1190</v>
      </c>
      <c r="B229" s="101">
        <v>44574</v>
      </c>
      <c r="C229" s="96">
        <v>2</v>
      </c>
      <c r="D229" s="104" t="s">
        <v>35</v>
      </c>
      <c r="E229" s="97" t="s">
        <v>14</v>
      </c>
      <c r="F229" s="97" t="str">
        <f>VLOOKUP(E229,Emp_Data!$B$2:$C$9,2,)</f>
        <v>Jeff</v>
      </c>
      <c r="G229" s="97" t="s">
        <v>15</v>
      </c>
      <c r="H229" s="97" t="s">
        <v>39</v>
      </c>
      <c r="I229" s="97">
        <v>399</v>
      </c>
      <c r="J229" s="97">
        <v>4</v>
      </c>
      <c r="K229" s="97">
        <f t="shared" si="3"/>
        <v>1596</v>
      </c>
      <c r="L229" s="97">
        <f>_xlfn.XLOOKUP(E229,Emp_Data!$B$2:$B$9,Emp_Data!$A$2:$A$9)</f>
        <v>2</v>
      </c>
    </row>
    <row r="230" spans="1:12">
      <c r="A230" s="99">
        <v>1191</v>
      </c>
      <c r="B230" s="101">
        <v>44574</v>
      </c>
      <c r="C230" s="96">
        <v>18</v>
      </c>
      <c r="D230" s="104" t="s">
        <v>30</v>
      </c>
      <c r="E230" s="97" t="s">
        <v>8</v>
      </c>
      <c r="F230" s="97" t="str">
        <f>VLOOKUP(E230,Emp_Data!$B$2:$C$9,2,)</f>
        <v>Jeff</v>
      </c>
      <c r="G230" s="97" t="s">
        <v>9</v>
      </c>
      <c r="H230" s="97" t="s">
        <v>39</v>
      </c>
      <c r="I230" s="97">
        <v>399</v>
      </c>
      <c r="J230" s="97">
        <v>1</v>
      </c>
      <c r="K230" s="97">
        <f t="shared" si="3"/>
        <v>399</v>
      </c>
      <c r="L230" s="97">
        <f>_xlfn.XLOOKUP(E230,Emp_Data!$B$2:$B$9,Emp_Data!$A$2:$A$9)</f>
        <v>3</v>
      </c>
    </row>
    <row r="231" spans="1:12">
      <c r="A231" s="99">
        <v>1195</v>
      </c>
      <c r="B231" s="101">
        <v>44575</v>
      </c>
      <c r="C231" s="96">
        <v>19</v>
      </c>
      <c r="D231" s="104" t="s">
        <v>22</v>
      </c>
      <c r="E231" s="97" t="s">
        <v>25</v>
      </c>
      <c r="F231" s="97" t="str">
        <f>VLOOKUP(E231,Emp_Data!$B$2:$C$9,2,)</f>
        <v>Jeff</v>
      </c>
      <c r="G231" s="97" t="s">
        <v>9</v>
      </c>
      <c r="H231" s="97" t="s">
        <v>39</v>
      </c>
      <c r="I231" s="97">
        <v>399</v>
      </c>
      <c r="J231" s="97">
        <v>8</v>
      </c>
      <c r="K231" s="97">
        <f t="shared" si="3"/>
        <v>3192</v>
      </c>
      <c r="L231" s="97">
        <f>_xlfn.XLOOKUP(E231,Emp_Data!$B$2:$B$9,Emp_Data!$A$2:$A$9)</f>
        <v>5</v>
      </c>
    </row>
    <row r="232" spans="1:12">
      <c r="A232" s="99">
        <v>1203</v>
      </c>
      <c r="B232" s="101">
        <v>44578</v>
      </c>
      <c r="C232" s="96">
        <v>14</v>
      </c>
      <c r="D232" s="104" t="s">
        <v>33</v>
      </c>
      <c r="E232" s="97" t="s">
        <v>18</v>
      </c>
      <c r="F232" s="97" t="str">
        <f>VLOOKUP(E232,Emp_Data!$B$2:$C$9,2,)</f>
        <v>Sara</v>
      </c>
      <c r="G232" s="97" t="s">
        <v>19</v>
      </c>
      <c r="H232" s="97" t="s">
        <v>39</v>
      </c>
      <c r="I232" s="97">
        <v>399</v>
      </c>
      <c r="J232" s="97">
        <v>2</v>
      </c>
      <c r="K232" s="97">
        <f t="shared" si="3"/>
        <v>798</v>
      </c>
      <c r="L232" s="97">
        <f>_xlfn.XLOOKUP(E232,Emp_Data!$B$2:$B$9,Emp_Data!$A$2:$A$9)</f>
        <v>5</v>
      </c>
    </row>
    <row r="233" spans="1:12">
      <c r="A233" s="99">
        <v>1208</v>
      </c>
      <c r="B233" s="101">
        <v>44579</v>
      </c>
      <c r="C233" s="96">
        <v>7</v>
      </c>
      <c r="D233" s="104" t="s">
        <v>28</v>
      </c>
      <c r="E233" s="97" t="s">
        <v>27</v>
      </c>
      <c r="F233" s="97" t="str">
        <f>VLOOKUP(E233,Emp_Data!$B$2:$C$9,2,)</f>
        <v>Philip</v>
      </c>
      <c r="G233" s="97" t="s">
        <v>12</v>
      </c>
      <c r="H233" s="97" t="s">
        <v>39</v>
      </c>
      <c r="I233" s="97">
        <v>399</v>
      </c>
      <c r="J233" s="97">
        <v>6</v>
      </c>
      <c r="K233" s="97">
        <f t="shared" si="3"/>
        <v>2394</v>
      </c>
      <c r="L233" s="97">
        <f>_xlfn.XLOOKUP(E233,Emp_Data!$B$2:$B$9,Emp_Data!$A$2:$A$9)</f>
        <v>8</v>
      </c>
    </row>
    <row r="234" spans="1:12">
      <c r="A234" s="99">
        <v>1209</v>
      </c>
      <c r="B234" s="101">
        <v>44579</v>
      </c>
      <c r="C234" s="96">
        <v>12</v>
      </c>
      <c r="D234" s="104" t="s">
        <v>17</v>
      </c>
      <c r="E234" s="97" t="s">
        <v>24</v>
      </c>
      <c r="F234" s="97" t="str">
        <f>VLOOKUP(E234,Emp_Data!$B$2:$C$9,2,)</f>
        <v>Steve</v>
      </c>
      <c r="G234" s="97" t="s">
        <v>19</v>
      </c>
      <c r="H234" s="97" t="s">
        <v>39</v>
      </c>
      <c r="I234" s="97">
        <v>399</v>
      </c>
      <c r="J234" s="97">
        <v>3</v>
      </c>
      <c r="K234" s="97">
        <f t="shared" si="3"/>
        <v>1197</v>
      </c>
      <c r="L234" s="97">
        <f>_xlfn.XLOOKUP(E234,Emp_Data!$B$2:$B$9,Emp_Data!$A$2:$A$9)</f>
        <v>6</v>
      </c>
    </row>
    <row r="235" spans="1:12">
      <c r="A235" s="99">
        <v>1223</v>
      </c>
      <c r="B235" s="101">
        <v>44586</v>
      </c>
      <c r="C235" s="96">
        <v>18</v>
      </c>
      <c r="D235" s="104" t="s">
        <v>30</v>
      </c>
      <c r="E235" s="97" t="s">
        <v>8</v>
      </c>
      <c r="F235" s="97" t="str">
        <f>VLOOKUP(E235,Emp_Data!$B$2:$C$9,2,)</f>
        <v>Jeff</v>
      </c>
      <c r="G235" s="97" t="s">
        <v>9</v>
      </c>
      <c r="H235" s="97" t="s">
        <v>39</v>
      </c>
      <c r="I235" s="97">
        <v>399</v>
      </c>
      <c r="J235" s="97">
        <v>9</v>
      </c>
      <c r="K235" s="97">
        <f t="shared" si="3"/>
        <v>3591</v>
      </c>
      <c r="L235" s="97">
        <f>_xlfn.XLOOKUP(E235,Emp_Data!$B$2:$B$9,Emp_Data!$A$2:$A$9)</f>
        <v>3</v>
      </c>
    </row>
    <row r="236" spans="1:12">
      <c r="A236" s="99">
        <v>1225</v>
      </c>
      <c r="B236" s="101">
        <v>44587</v>
      </c>
      <c r="C236" s="96">
        <v>7</v>
      </c>
      <c r="D236" s="104" t="s">
        <v>28</v>
      </c>
      <c r="E236" s="97" t="s">
        <v>11</v>
      </c>
      <c r="F236" s="97" t="str">
        <f>VLOOKUP(E236,Emp_Data!$B$2:$C$9,2,)</f>
        <v>Steve</v>
      </c>
      <c r="G236" s="97" t="s">
        <v>12</v>
      </c>
      <c r="H236" s="97" t="s">
        <v>39</v>
      </c>
      <c r="I236" s="97">
        <v>399</v>
      </c>
      <c r="J236" s="97">
        <v>8</v>
      </c>
      <c r="K236" s="97">
        <f t="shared" si="3"/>
        <v>3192</v>
      </c>
      <c r="L236" s="97">
        <f>_xlfn.XLOOKUP(E236,Emp_Data!$B$2:$B$9,Emp_Data!$A$2:$A$9)</f>
        <v>4</v>
      </c>
    </row>
    <row r="237" spans="1:12">
      <c r="A237" s="99">
        <v>1226</v>
      </c>
      <c r="B237" s="101">
        <v>44587</v>
      </c>
      <c r="C237" s="96">
        <v>1</v>
      </c>
      <c r="D237" s="104" t="s">
        <v>31</v>
      </c>
      <c r="E237" s="97" t="s">
        <v>21</v>
      </c>
      <c r="F237" s="97" t="str">
        <f>VLOOKUP(E237,Emp_Data!$B$2:$C$9,2,)</f>
        <v>Sara</v>
      </c>
      <c r="G237" s="97" t="s">
        <v>15</v>
      </c>
      <c r="H237" s="97" t="s">
        <v>39</v>
      </c>
      <c r="I237" s="97">
        <v>399</v>
      </c>
      <c r="J237" s="97">
        <v>4</v>
      </c>
      <c r="K237" s="97">
        <f t="shared" si="3"/>
        <v>1596</v>
      </c>
      <c r="L237" s="97">
        <f>_xlfn.XLOOKUP(E237,Emp_Data!$B$2:$B$9,Emp_Data!$A$2:$A$9)</f>
        <v>2</v>
      </c>
    </row>
    <row r="238" spans="1:12">
      <c r="A238" s="99">
        <v>1227</v>
      </c>
      <c r="B238" s="101">
        <v>44587</v>
      </c>
      <c r="C238" s="96">
        <v>10</v>
      </c>
      <c r="D238" s="104" t="s">
        <v>34</v>
      </c>
      <c r="E238" s="97" t="s">
        <v>27</v>
      </c>
      <c r="F238" s="97" t="str">
        <f>VLOOKUP(E238,Emp_Data!$B$2:$C$9,2,)</f>
        <v>Philip</v>
      </c>
      <c r="G238" s="97" t="s">
        <v>12</v>
      </c>
      <c r="H238" s="97" t="s">
        <v>39</v>
      </c>
      <c r="I238" s="97">
        <v>399</v>
      </c>
      <c r="J238" s="97">
        <v>4</v>
      </c>
      <c r="K238" s="97">
        <f t="shared" si="3"/>
        <v>1596</v>
      </c>
      <c r="L238" s="97">
        <f>_xlfn.XLOOKUP(E238,Emp_Data!$B$2:$B$9,Emp_Data!$A$2:$A$9)</f>
        <v>8</v>
      </c>
    </row>
    <row r="239" spans="1:12">
      <c r="A239" s="99">
        <v>1230</v>
      </c>
      <c r="B239" s="101">
        <v>44589</v>
      </c>
      <c r="C239" s="96">
        <v>3</v>
      </c>
      <c r="D239" s="104" t="s">
        <v>20</v>
      </c>
      <c r="E239" s="97" t="s">
        <v>14</v>
      </c>
      <c r="F239" s="97" t="str">
        <f>VLOOKUP(E239,Emp_Data!$B$2:$C$9,2,)</f>
        <v>Jeff</v>
      </c>
      <c r="G239" s="97" t="s">
        <v>15</v>
      </c>
      <c r="H239" s="97" t="s">
        <v>39</v>
      </c>
      <c r="I239" s="97">
        <v>399</v>
      </c>
      <c r="J239" s="97">
        <v>5</v>
      </c>
      <c r="K239" s="97">
        <f t="shared" si="3"/>
        <v>1995</v>
      </c>
      <c r="L239" s="97">
        <f>_xlfn.XLOOKUP(E239,Emp_Data!$B$2:$B$9,Emp_Data!$A$2:$A$9)</f>
        <v>2</v>
      </c>
    </row>
    <row r="240" spans="1:12">
      <c r="A240" s="99">
        <v>1237</v>
      </c>
      <c r="B240" s="101">
        <v>44592</v>
      </c>
      <c r="C240" s="96">
        <v>2</v>
      </c>
      <c r="D240" s="104" t="s">
        <v>35</v>
      </c>
      <c r="E240" s="97" t="s">
        <v>21</v>
      </c>
      <c r="F240" s="97" t="str">
        <f>VLOOKUP(E240,Emp_Data!$B$2:$C$9,2,)</f>
        <v>Sara</v>
      </c>
      <c r="G240" s="97" t="s">
        <v>15</v>
      </c>
      <c r="H240" s="97" t="s">
        <v>39</v>
      </c>
      <c r="I240" s="97">
        <v>399</v>
      </c>
      <c r="J240" s="97">
        <v>7</v>
      </c>
      <c r="K240" s="97">
        <f t="shared" si="3"/>
        <v>2793</v>
      </c>
      <c r="L240" s="97">
        <f>_xlfn.XLOOKUP(E240,Emp_Data!$B$2:$B$9,Emp_Data!$A$2:$A$9)</f>
        <v>2</v>
      </c>
    </row>
    <row r="241" spans="1:12">
      <c r="A241" s="99">
        <v>1249</v>
      </c>
      <c r="B241" s="101">
        <v>44597</v>
      </c>
      <c r="C241" s="96">
        <v>9</v>
      </c>
      <c r="D241" s="104" t="s">
        <v>26</v>
      </c>
      <c r="E241" s="97" t="s">
        <v>11</v>
      </c>
      <c r="F241" s="97" t="str">
        <f>VLOOKUP(E241,Emp_Data!$B$2:$C$9,2,)</f>
        <v>Steve</v>
      </c>
      <c r="G241" s="97" t="s">
        <v>12</v>
      </c>
      <c r="H241" s="97" t="s">
        <v>39</v>
      </c>
      <c r="I241" s="97">
        <v>399</v>
      </c>
      <c r="J241" s="97">
        <v>7</v>
      </c>
      <c r="K241" s="97">
        <f t="shared" si="3"/>
        <v>2793</v>
      </c>
      <c r="L241" s="97">
        <f>_xlfn.XLOOKUP(E241,Emp_Data!$B$2:$B$9,Emp_Data!$A$2:$A$9)</f>
        <v>4</v>
      </c>
    </row>
    <row r="242" spans="1:12">
      <c r="A242" s="99">
        <v>1255</v>
      </c>
      <c r="B242" s="101">
        <v>44599</v>
      </c>
      <c r="C242" s="96">
        <v>14</v>
      </c>
      <c r="D242" s="104" t="s">
        <v>33</v>
      </c>
      <c r="E242" s="97" t="s">
        <v>18</v>
      </c>
      <c r="F242" s="97" t="str">
        <f>VLOOKUP(E242,Emp_Data!$B$2:$C$9,2,)</f>
        <v>Sara</v>
      </c>
      <c r="G242" s="97" t="s">
        <v>19</v>
      </c>
      <c r="H242" s="97" t="s">
        <v>39</v>
      </c>
      <c r="I242" s="97">
        <v>399</v>
      </c>
      <c r="J242" s="97">
        <v>4</v>
      </c>
      <c r="K242" s="97">
        <f t="shared" si="3"/>
        <v>1596</v>
      </c>
      <c r="L242" s="97">
        <f>_xlfn.XLOOKUP(E242,Emp_Data!$B$2:$B$9,Emp_Data!$A$2:$A$9)</f>
        <v>5</v>
      </c>
    </row>
    <row r="243" spans="1:12">
      <c r="A243" s="99">
        <v>1256</v>
      </c>
      <c r="B243" s="101">
        <v>44599</v>
      </c>
      <c r="C243" s="96">
        <v>8</v>
      </c>
      <c r="D243" s="104" t="s">
        <v>36</v>
      </c>
      <c r="E243" s="97" t="s">
        <v>27</v>
      </c>
      <c r="F243" s="97" t="str">
        <f>VLOOKUP(E243,Emp_Data!$B$2:$C$9,2,)</f>
        <v>Philip</v>
      </c>
      <c r="G243" s="97" t="s">
        <v>12</v>
      </c>
      <c r="H243" s="97" t="s">
        <v>39</v>
      </c>
      <c r="I243" s="97">
        <v>399</v>
      </c>
      <c r="J243" s="97">
        <v>9</v>
      </c>
      <c r="K243" s="97">
        <f t="shared" si="3"/>
        <v>3591</v>
      </c>
      <c r="L243" s="97">
        <f>_xlfn.XLOOKUP(E243,Emp_Data!$B$2:$B$9,Emp_Data!$A$2:$A$9)</f>
        <v>8</v>
      </c>
    </row>
    <row r="244" spans="1:12">
      <c r="A244" s="99">
        <v>1259</v>
      </c>
      <c r="B244" s="101">
        <v>44601</v>
      </c>
      <c r="C244" s="96">
        <v>7</v>
      </c>
      <c r="D244" s="104" t="s">
        <v>28</v>
      </c>
      <c r="E244" s="97" t="s">
        <v>27</v>
      </c>
      <c r="F244" s="97" t="str">
        <f>VLOOKUP(E244,Emp_Data!$B$2:$C$9,2,)</f>
        <v>Philip</v>
      </c>
      <c r="G244" s="97" t="s">
        <v>12</v>
      </c>
      <c r="H244" s="97" t="s">
        <v>39</v>
      </c>
      <c r="I244" s="97">
        <v>399</v>
      </c>
      <c r="J244" s="97">
        <v>5</v>
      </c>
      <c r="K244" s="97">
        <f t="shared" si="3"/>
        <v>1995</v>
      </c>
      <c r="L244" s="97">
        <f>_xlfn.XLOOKUP(E244,Emp_Data!$B$2:$B$9,Emp_Data!$A$2:$A$9)</f>
        <v>8</v>
      </c>
    </row>
    <row r="245" spans="1:12">
      <c r="A245" s="99">
        <v>1263</v>
      </c>
      <c r="B245" s="101">
        <v>44603</v>
      </c>
      <c r="C245" s="96">
        <v>20</v>
      </c>
      <c r="D245" s="104" t="s">
        <v>7</v>
      </c>
      <c r="E245" s="97" t="s">
        <v>25</v>
      </c>
      <c r="F245" s="97" t="str">
        <f>VLOOKUP(E245,Emp_Data!$B$2:$C$9,2,)</f>
        <v>Jeff</v>
      </c>
      <c r="G245" s="97" t="s">
        <v>9</v>
      </c>
      <c r="H245" s="97" t="s">
        <v>39</v>
      </c>
      <c r="I245" s="97">
        <v>399</v>
      </c>
      <c r="J245" s="97">
        <v>2</v>
      </c>
      <c r="K245" s="97">
        <f t="shared" si="3"/>
        <v>798</v>
      </c>
      <c r="L245" s="97">
        <f>_xlfn.XLOOKUP(E245,Emp_Data!$B$2:$B$9,Emp_Data!$A$2:$A$9)</f>
        <v>5</v>
      </c>
    </row>
    <row r="246" spans="1:12">
      <c r="A246" s="99">
        <v>1264</v>
      </c>
      <c r="B246" s="101">
        <v>44604</v>
      </c>
      <c r="C246" s="96">
        <v>10</v>
      </c>
      <c r="D246" s="104" t="s">
        <v>34</v>
      </c>
      <c r="E246" s="97" t="s">
        <v>27</v>
      </c>
      <c r="F246" s="97" t="str">
        <f>VLOOKUP(E246,Emp_Data!$B$2:$C$9,2,)</f>
        <v>Philip</v>
      </c>
      <c r="G246" s="97" t="s">
        <v>12</v>
      </c>
      <c r="H246" s="97" t="s">
        <v>39</v>
      </c>
      <c r="I246" s="97">
        <v>399</v>
      </c>
      <c r="J246" s="97">
        <v>5</v>
      </c>
      <c r="K246" s="97">
        <f t="shared" si="3"/>
        <v>1995</v>
      </c>
      <c r="L246" s="97">
        <f>_xlfn.XLOOKUP(E246,Emp_Data!$B$2:$B$9,Emp_Data!$A$2:$A$9)</f>
        <v>8</v>
      </c>
    </row>
    <row r="247" spans="1:12">
      <c r="A247" s="99">
        <v>1269</v>
      </c>
      <c r="B247" s="101">
        <v>44606</v>
      </c>
      <c r="C247" s="96">
        <v>13</v>
      </c>
      <c r="D247" s="104" t="s">
        <v>23</v>
      </c>
      <c r="E247" s="97" t="s">
        <v>18</v>
      </c>
      <c r="F247" s="97" t="str">
        <f>VLOOKUP(E247,Emp_Data!$B$2:$C$9,2,)</f>
        <v>Sara</v>
      </c>
      <c r="G247" s="97" t="s">
        <v>19</v>
      </c>
      <c r="H247" s="97" t="s">
        <v>39</v>
      </c>
      <c r="I247" s="97">
        <v>399</v>
      </c>
      <c r="J247" s="97">
        <v>6</v>
      </c>
      <c r="K247" s="97">
        <f t="shared" si="3"/>
        <v>2394</v>
      </c>
      <c r="L247" s="97">
        <f>_xlfn.XLOOKUP(E247,Emp_Data!$B$2:$B$9,Emp_Data!$A$2:$A$9)</f>
        <v>5</v>
      </c>
    </row>
    <row r="248" spans="1:12">
      <c r="A248" s="99">
        <v>1275</v>
      </c>
      <c r="B248" s="101">
        <v>44610</v>
      </c>
      <c r="C248" s="96">
        <v>8</v>
      </c>
      <c r="D248" s="104" t="s">
        <v>36</v>
      </c>
      <c r="E248" s="97" t="s">
        <v>11</v>
      </c>
      <c r="F248" s="97" t="str">
        <f>VLOOKUP(E248,Emp_Data!$B$2:$C$9,2,)</f>
        <v>Steve</v>
      </c>
      <c r="G248" s="97" t="s">
        <v>12</v>
      </c>
      <c r="H248" s="97" t="s">
        <v>39</v>
      </c>
      <c r="I248" s="97">
        <v>399</v>
      </c>
      <c r="J248" s="97">
        <v>7</v>
      </c>
      <c r="K248" s="97">
        <f t="shared" si="3"/>
        <v>2793</v>
      </c>
      <c r="L248" s="97">
        <f>_xlfn.XLOOKUP(E248,Emp_Data!$B$2:$B$9,Emp_Data!$A$2:$A$9)</f>
        <v>4</v>
      </c>
    </row>
    <row r="249" spans="1:12">
      <c r="A249" s="99">
        <v>1276</v>
      </c>
      <c r="B249" s="101">
        <v>44610</v>
      </c>
      <c r="C249" s="96">
        <v>14</v>
      </c>
      <c r="D249" s="104" t="s">
        <v>33</v>
      </c>
      <c r="E249" s="97" t="s">
        <v>24</v>
      </c>
      <c r="F249" s="97" t="str">
        <f>VLOOKUP(E249,Emp_Data!$B$2:$C$9,2,)</f>
        <v>Steve</v>
      </c>
      <c r="G249" s="97" t="s">
        <v>19</v>
      </c>
      <c r="H249" s="97" t="s">
        <v>39</v>
      </c>
      <c r="I249" s="97">
        <v>399</v>
      </c>
      <c r="J249" s="97">
        <v>9</v>
      </c>
      <c r="K249" s="97">
        <f t="shared" si="3"/>
        <v>3591</v>
      </c>
      <c r="L249" s="97">
        <f>_xlfn.XLOOKUP(E249,Emp_Data!$B$2:$B$9,Emp_Data!$A$2:$A$9)</f>
        <v>6</v>
      </c>
    </row>
    <row r="250" spans="1:12">
      <c r="A250" s="99">
        <v>1277</v>
      </c>
      <c r="B250" s="101">
        <v>44611</v>
      </c>
      <c r="C250" s="96">
        <v>9</v>
      </c>
      <c r="D250" s="104" t="s">
        <v>26</v>
      </c>
      <c r="E250" s="97" t="s">
        <v>27</v>
      </c>
      <c r="F250" s="97" t="str">
        <f>VLOOKUP(E250,Emp_Data!$B$2:$C$9,2,)</f>
        <v>Philip</v>
      </c>
      <c r="G250" s="97" t="s">
        <v>12</v>
      </c>
      <c r="H250" s="97" t="s">
        <v>39</v>
      </c>
      <c r="I250" s="97">
        <v>399</v>
      </c>
      <c r="J250" s="97">
        <v>5</v>
      </c>
      <c r="K250" s="97">
        <f t="shared" si="3"/>
        <v>1995</v>
      </c>
      <c r="L250" s="97">
        <f>_xlfn.XLOOKUP(E250,Emp_Data!$B$2:$B$9,Emp_Data!$A$2:$A$9)</f>
        <v>8</v>
      </c>
    </row>
    <row r="251" spans="1:12">
      <c r="A251" s="99">
        <v>1278</v>
      </c>
      <c r="B251" s="101">
        <v>44611</v>
      </c>
      <c r="C251" s="96">
        <v>3</v>
      </c>
      <c r="D251" s="104" t="s">
        <v>20</v>
      </c>
      <c r="E251" s="97" t="s">
        <v>21</v>
      </c>
      <c r="F251" s="97" t="str">
        <f>VLOOKUP(E251,Emp_Data!$B$2:$C$9,2,)</f>
        <v>Sara</v>
      </c>
      <c r="G251" s="97" t="s">
        <v>15</v>
      </c>
      <c r="H251" s="97" t="s">
        <v>39</v>
      </c>
      <c r="I251" s="97">
        <v>399</v>
      </c>
      <c r="J251" s="97">
        <v>7</v>
      </c>
      <c r="K251" s="97">
        <f t="shared" si="3"/>
        <v>2793</v>
      </c>
      <c r="L251" s="97">
        <f>_xlfn.XLOOKUP(E251,Emp_Data!$B$2:$B$9,Emp_Data!$A$2:$A$9)</f>
        <v>2</v>
      </c>
    </row>
    <row r="252" spans="1:12">
      <c r="A252" s="99">
        <v>1283</v>
      </c>
      <c r="B252" s="101">
        <v>44611</v>
      </c>
      <c r="C252" s="96">
        <v>7</v>
      </c>
      <c r="D252" s="104" t="s">
        <v>28</v>
      </c>
      <c r="E252" s="97" t="s">
        <v>27</v>
      </c>
      <c r="F252" s="97" t="str">
        <f>VLOOKUP(E252,Emp_Data!$B$2:$C$9,2,)</f>
        <v>Philip</v>
      </c>
      <c r="G252" s="97" t="s">
        <v>12</v>
      </c>
      <c r="H252" s="97" t="s">
        <v>39</v>
      </c>
      <c r="I252" s="97">
        <v>399</v>
      </c>
      <c r="J252" s="97">
        <v>3</v>
      </c>
      <c r="K252" s="97">
        <f t="shared" si="3"/>
        <v>1197</v>
      </c>
      <c r="L252" s="97">
        <f>_xlfn.XLOOKUP(E252,Emp_Data!$B$2:$B$9,Emp_Data!$A$2:$A$9)</f>
        <v>8</v>
      </c>
    </row>
    <row r="253" spans="1:12">
      <c r="A253" s="99">
        <v>1287</v>
      </c>
      <c r="B253" s="101">
        <v>44611</v>
      </c>
      <c r="C253" s="96">
        <v>16</v>
      </c>
      <c r="D253" s="104" t="s">
        <v>37</v>
      </c>
      <c r="E253" s="97" t="s">
        <v>25</v>
      </c>
      <c r="F253" s="97" t="str">
        <f>VLOOKUP(E253,Emp_Data!$B$2:$C$9,2,)</f>
        <v>Jeff</v>
      </c>
      <c r="G253" s="97" t="s">
        <v>9</v>
      </c>
      <c r="H253" s="97" t="s">
        <v>39</v>
      </c>
      <c r="I253" s="97">
        <v>399</v>
      </c>
      <c r="J253" s="97">
        <v>7</v>
      </c>
      <c r="K253" s="97">
        <f t="shared" si="3"/>
        <v>2793</v>
      </c>
      <c r="L253" s="97">
        <f>_xlfn.XLOOKUP(E253,Emp_Data!$B$2:$B$9,Emp_Data!$A$2:$A$9)</f>
        <v>5</v>
      </c>
    </row>
    <row r="254" spans="1:12">
      <c r="A254" s="99">
        <v>1295</v>
      </c>
      <c r="B254" s="101">
        <v>44613</v>
      </c>
      <c r="C254" s="96">
        <v>18</v>
      </c>
      <c r="D254" s="104" t="s">
        <v>30</v>
      </c>
      <c r="E254" s="97" t="s">
        <v>25</v>
      </c>
      <c r="F254" s="97" t="str">
        <f>VLOOKUP(E254,Emp_Data!$B$2:$C$9,2,)</f>
        <v>Jeff</v>
      </c>
      <c r="G254" s="97" t="s">
        <v>9</v>
      </c>
      <c r="H254" s="97" t="s">
        <v>39</v>
      </c>
      <c r="I254" s="97">
        <v>399</v>
      </c>
      <c r="J254" s="97">
        <v>3</v>
      </c>
      <c r="K254" s="97">
        <f t="shared" si="3"/>
        <v>1197</v>
      </c>
      <c r="L254" s="97">
        <f>_xlfn.XLOOKUP(E254,Emp_Data!$B$2:$B$9,Emp_Data!$A$2:$A$9)</f>
        <v>5</v>
      </c>
    </row>
    <row r="255" spans="1:12">
      <c r="A255" s="99">
        <v>1298</v>
      </c>
      <c r="B255" s="101">
        <v>44614</v>
      </c>
      <c r="C255" s="96">
        <v>3</v>
      </c>
      <c r="D255" s="104" t="s">
        <v>20</v>
      </c>
      <c r="E255" s="97" t="s">
        <v>21</v>
      </c>
      <c r="F255" s="97" t="str">
        <f>VLOOKUP(E255,Emp_Data!$B$2:$C$9,2,)</f>
        <v>Sara</v>
      </c>
      <c r="G255" s="97" t="s">
        <v>15</v>
      </c>
      <c r="H255" s="97" t="s">
        <v>39</v>
      </c>
      <c r="I255" s="97">
        <v>399</v>
      </c>
      <c r="J255" s="97">
        <v>3</v>
      </c>
      <c r="K255" s="97">
        <f t="shared" si="3"/>
        <v>1197</v>
      </c>
      <c r="L255" s="97">
        <f>_xlfn.XLOOKUP(E255,Emp_Data!$B$2:$B$9,Emp_Data!$A$2:$A$9)</f>
        <v>2</v>
      </c>
    </row>
    <row r="256" spans="1:12">
      <c r="A256" s="99">
        <v>1304</v>
      </c>
      <c r="B256" s="101">
        <v>44615</v>
      </c>
      <c r="C256" s="96">
        <v>8</v>
      </c>
      <c r="D256" s="104" t="s">
        <v>36</v>
      </c>
      <c r="E256" s="97" t="s">
        <v>27</v>
      </c>
      <c r="F256" s="97" t="str">
        <f>VLOOKUP(E256,Emp_Data!$B$2:$C$9,2,)</f>
        <v>Philip</v>
      </c>
      <c r="G256" s="97" t="s">
        <v>12</v>
      </c>
      <c r="H256" s="97" t="s">
        <v>39</v>
      </c>
      <c r="I256" s="97">
        <v>399</v>
      </c>
      <c r="J256" s="97">
        <v>5</v>
      </c>
      <c r="K256" s="97">
        <f t="shared" si="3"/>
        <v>1995</v>
      </c>
      <c r="L256" s="97">
        <f>_xlfn.XLOOKUP(E256,Emp_Data!$B$2:$B$9,Emp_Data!$A$2:$A$9)</f>
        <v>8</v>
      </c>
    </row>
    <row r="257" spans="1:12">
      <c r="A257" s="99">
        <v>1307</v>
      </c>
      <c r="B257" s="101">
        <v>44615</v>
      </c>
      <c r="C257" s="96">
        <v>3</v>
      </c>
      <c r="D257" s="104" t="s">
        <v>20</v>
      </c>
      <c r="E257" s="97" t="s">
        <v>21</v>
      </c>
      <c r="F257" s="97" t="str">
        <f>VLOOKUP(E257,Emp_Data!$B$2:$C$9,2,)</f>
        <v>Sara</v>
      </c>
      <c r="G257" s="97" t="s">
        <v>15</v>
      </c>
      <c r="H257" s="97" t="s">
        <v>39</v>
      </c>
      <c r="I257" s="97">
        <v>399</v>
      </c>
      <c r="J257" s="97">
        <v>8</v>
      </c>
      <c r="K257" s="97">
        <f t="shared" si="3"/>
        <v>3192</v>
      </c>
      <c r="L257" s="97">
        <f>_xlfn.XLOOKUP(E257,Emp_Data!$B$2:$B$9,Emp_Data!$A$2:$A$9)</f>
        <v>2</v>
      </c>
    </row>
    <row r="258" spans="1:12">
      <c r="A258" s="99">
        <v>1308</v>
      </c>
      <c r="B258" s="101">
        <v>44616</v>
      </c>
      <c r="C258" s="96">
        <v>4</v>
      </c>
      <c r="D258" s="104" t="s">
        <v>13</v>
      </c>
      <c r="E258" s="97" t="s">
        <v>14</v>
      </c>
      <c r="F258" s="97" t="str">
        <f>VLOOKUP(E258,Emp_Data!$B$2:$C$9,2,)</f>
        <v>Jeff</v>
      </c>
      <c r="G258" s="97" t="s">
        <v>15</v>
      </c>
      <c r="H258" s="97" t="s">
        <v>39</v>
      </c>
      <c r="I258" s="97">
        <v>399</v>
      </c>
      <c r="J258" s="97">
        <v>2</v>
      </c>
      <c r="K258" s="97">
        <f t="shared" si="3"/>
        <v>798</v>
      </c>
      <c r="L258" s="97">
        <f>_xlfn.XLOOKUP(E258,Emp_Data!$B$2:$B$9,Emp_Data!$A$2:$A$9)</f>
        <v>2</v>
      </c>
    </row>
    <row r="259" spans="1:12">
      <c r="A259" s="99">
        <v>1309</v>
      </c>
      <c r="B259" s="101">
        <v>44616</v>
      </c>
      <c r="C259" s="96">
        <v>2</v>
      </c>
      <c r="D259" s="104" t="s">
        <v>35</v>
      </c>
      <c r="E259" s="97" t="s">
        <v>21</v>
      </c>
      <c r="F259" s="97" t="str">
        <f>VLOOKUP(E259,Emp_Data!$B$2:$C$9,2,)</f>
        <v>Sara</v>
      </c>
      <c r="G259" s="97" t="s">
        <v>15</v>
      </c>
      <c r="H259" s="97" t="s">
        <v>39</v>
      </c>
      <c r="I259" s="97">
        <v>399</v>
      </c>
      <c r="J259" s="97">
        <v>6</v>
      </c>
      <c r="K259" s="97">
        <f t="shared" ref="K259:K322" si="4">SUMPRODUCT(I259,J259)</f>
        <v>2394</v>
      </c>
      <c r="L259" s="97">
        <f>_xlfn.XLOOKUP(E259,Emp_Data!$B$2:$B$9,Emp_Data!$A$2:$A$9)</f>
        <v>2</v>
      </c>
    </row>
    <row r="260" spans="1:12">
      <c r="A260" s="99">
        <v>1318</v>
      </c>
      <c r="B260" s="101">
        <v>44618</v>
      </c>
      <c r="C260" s="96">
        <v>14</v>
      </c>
      <c r="D260" s="104" t="s">
        <v>33</v>
      </c>
      <c r="E260" s="97" t="s">
        <v>18</v>
      </c>
      <c r="F260" s="97" t="str">
        <f>VLOOKUP(E260,Emp_Data!$B$2:$C$9,2,)</f>
        <v>Sara</v>
      </c>
      <c r="G260" s="97" t="s">
        <v>19</v>
      </c>
      <c r="H260" s="97" t="s">
        <v>39</v>
      </c>
      <c r="I260" s="97">
        <v>399</v>
      </c>
      <c r="J260" s="97">
        <v>2</v>
      </c>
      <c r="K260" s="97">
        <f t="shared" si="4"/>
        <v>798</v>
      </c>
      <c r="L260" s="97">
        <f>_xlfn.XLOOKUP(E260,Emp_Data!$B$2:$B$9,Emp_Data!$A$2:$A$9)</f>
        <v>5</v>
      </c>
    </row>
    <row r="261" spans="1:12">
      <c r="A261" s="99">
        <v>1322</v>
      </c>
      <c r="B261" s="101">
        <v>44620</v>
      </c>
      <c r="C261" s="96">
        <v>19</v>
      </c>
      <c r="D261" s="104" t="s">
        <v>22</v>
      </c>
      <c r="E261" s="97" t="s">
        <v>25</v>
      </c>
      <c r="F261" s="97" t="str">
        <f>VLOOKUP(E261,Emp_Data!$B$2:$C$9,2,)</f>
        <v>Jeff</v>
      </c>
      <c r="G261" s="97" t="s">
        <v>9</v>
      </c>
      <c r="H261" s="97" t="s">
        <v>39</v>
      </c>
      <c r="I261" s="97">
        <v>399</v>
      </c>
      <c r="J261" s="97">
        <v>9</v>
      </c>
      <c r="K261" s="97">
        <f t="shared" si="4"/>
        <v>3591</v>
      </c>
      <c r="L261" s="97">
        <f>_xlfn.XLOOKUP(E261,Emp_Data!$B$2:$B$9,Emp_Data!$A$2:$A$9)</f>
        <v>5</v>
      </c>
    </row>
    <row r="262" spans="1:12">
      <c r="A262" s="99">
        <v>1325</v>
      </c>
      <c r="B262" s="101">
        <v>44621</v>
      </c>
      <c r="C262" s="96">
        <v>8</v>
      </c>
      <c r="D262" s="104" t="s">
        <v>36</v>
      </c>
      <c r="E262" s="97" t="s">
        <v>27</v>
      </c>
      <c r="F262" s="97" t="str">
        <f>VLOOKUP(E262,Emp_Data!$B$2:$C$9,2,)</f>
        <v>Philip</v>
      </c>
      <c r="G262" s="97" t="s">
        <v>12</v>
      </c>
      <c r="H262" s="97" t="s">
        <v>39</v>
      </c>
      <c r="I262" s="97">
        <v>399</v>
      </c>
      <c r="J262" s="97">
        <v>3</v>
      </c>
      <c r="K262" s="97">
        <f t="shared" si="4"/>
        <v>1197</v>
      </c>
      <c r="L262" s="97">
        <f>_xlfn.XLOOKUP(E262,Emp_Data!$B$2:$B$9,Emp_Data!$A$2:$A$9)</f>
        <v>8</v>
      </c>
    </row>
    <row r="263" spans="1:12">
      <c r="A263" s="99">
        <v>1330</v>
      </c>
      <c r="B263" s="101">
        <v>44622</v>
      </c>
      <c r="C263" s="96">
        <v>7</v>
      </c>
      <c r="D263" s="104" t="s">
        <v>28</v>
      </c>
      <c r="E263" s="97" t="s">
        <v>27</v>
      </c>
      <c r="F263" s="97" t="str">
        <f>VLOOKUP(E263,Emp_Data!$B$2:$C$9,2,)</f>
        <v>Philip</v>
      </c>
      <c r="G263" s="97" t="s">
        <v>12</v>
      </c>
      <c r="H263" s="97" t="s">
        <v>39</v>
      </c>
      <c r="I263" s="97">
        <v>399</v>
      </c>
      <c r="J263" s="97">
        <v>7</v>
      </c>
      <c r="K263" s="97">
        <f t="shared" si="4"/>
        <v>2793</v>
      </c>
      <c r="L263" s="97">
        <f>_xlfn.XLOOKUP(E263,Emp_Data!$B$2:$B$9,Emp_Data!$A$2:$A$9)</f>
        <v>8</v>
      </c>
    </row>
    <row r="264" spans="1:12">
      <c r="A264" s="99">
        <v>1334</v>
      </c>
      <c r="B264" s="101">
        <v>44625</v>
      </c>
      <c r="C264" s="96">
        <v>12</v>
      </c>
      <c r="D264" s="104" t="s">
        <v>17</v>
      </c>
      <c r="E264" s="97" t="s">
        <v>18</v>
      </c>
      <c r="F264" s="97" t="str">
        <f>VLOOKUP(E264,Emp_Data!$B$2:$C$9,2,)</f>
        <v>Sara</v>
      </c>
      <c r="G264" s="97" t="s">
        <v>19</v>
      </c>
      <c r="H264" s="97" t="s">
        <v>39</v>
      </c>
      <c r="I264" s="97">
        <v>399</v>
      </c>
      <c r="J264" s="97">
        <v>1</v>
      </c>
      <c r="K264" s="97">
        <f t="shared" si="4"/>
        <v>399</v>
      </c>
      <c r="L264" s="97">
        <f>_xlfn.XLOOKUP(E264,Emp_Data!$B$2:$B$9,Emp_Data!$A$2:$A$9)</f>
        <v>5</v>
      </c>
    </row>
    <row r="265" spans="1:12">
      <c r="A265" s="99">
        <v>1338</v>
      </c>
      <c r="B265" s="101">
        <v>44627</v>
      </c>
      <c r="C265" s="96">
        <v>9</v>
      </c>
      <c r="D265" s="104" t="s">
        <v>26</v>
      </c>
      <c r="E265" s="97" t="s">
        <v>11</v>
      </c>
      <c r="F265" s="97" t="str">
        <f>VLOOKUP(E265,Emp_Data!$B$2:$C$9,2,)</f>
        <v>Steve</v>
      </c>
      <c r="G265" s="97" t="s">
        <v>12</v>
      </c>
      <c r="H265" s="97" t="s">
        <v>39</v>
      </c>
      <c r="I265" s="97">
        <v>399</v>
      </c>
      <c r="J265" s="97">
        <v>0</v>
      </c>
      <c r="K265" s="97">
        <f t="shared" si="4"/>
        <v>0</v>
      </c>
      <c r="L265" s="97">
        <f>_xlfn.XLOOKUP(E265,Emp_Data!$B$2:$B$9,Emp_Data!$A$2:$A$9)</f>
        <v>4</v>
      </c>
    </row>
    <row r="266" spans="1:12">
      <c r="A266" s="99">
        <v>1354</v>
      </c>
      <c r="B266" s="101">
        <v>44630</v>
      </c>
      <c r="C266" s="96">
        <v>19</v>
      </c>
      <c r="D266" s="104" t="s">
        <v>22</v>
      </c>
      <c r="E266" s="97" t="s">
        <v>25</v>
      </c>
      <c r="F266" s="97" t="str">
        <f>VLOOKUP(E266,Emp_Data!$B$2:$C$9,2,)</f>
        <v>Jeff</v>
      </c>
      <c r="G266" s="97" t="s">
        <v>9</v>
      </c>
      <c r="H266" s="97" t="s">
        <v>39</v>
      </c>
      <c r="I266" s="97">
        <v>399</v>
      </c>
      <c r="J266" s="97">
        <v>3</v>
      </c>
      <c r="K266" s="97">
        <f t="shared" si="4"/>
        <v>1197</v>
      </c>
      <c r="L266" s="97">
        <f>_xlfn.XLOOKUP(E266,Emp_Data!$B$2:$B$9,Emp_Data!$A$2:$A$9)</f>
        <v>5</v>
      </c>
    </row>
    <row r="267" spans="1:12">
      <c r="A267" s="99">
        <v>1360</v>
      </c>
      <c r="B267" s="101">
        <v>44631</v>
      </c>
      <c r="C267" s="96">
        <v>17</v>
      </c>
      <c r="D267" s="104" t="s">
        <v>32</v>
      </c>
      <c r="E267" s="97" t="s">
        <v>25</v>
      </c>
      <c r="F267" s="97" t="str">
        <f>VLOOKUP(E267,Emp_Data!$B$2:$C$9,2,)</f>
        <v>Jeff</v>
      </c>
      <c r="G267" s="97" t="s">
        <v>9</v>
      </c>
      <c r="H267" s="97" t="s">
        <v>39</v>
      </c>
      <c r="I267" s="97">
        <v>399</v>
      </c>
      <c r="J267" s="97">
        <v>6</v>
      </c>
      <c r="K267" s="97">
        <f t="shared" si="4"/>
        <v>2394</v>
      </c>
      <c r="L267" s="97">
        <f>_xlfn.XLOOKUP(E267,Emp_Data!$B$2:$B$9,Emp_Data!$A$2:$A$9)</f>
        <v>5</v>
      </c>
    </row>
    <row r="268" spans="1:12">
      <c r="A268" s="99">
        <v>1362</v>
      </c>
      <c r="B268" s="101">
        <v>44631</v>
      </c>
      <c r="C268" s="96">
        <v>9</v>
      </c>
      <c r="D268" s="104" t="s">
        <v>26</v>
      </c>
      <c r="E268" s="97" t="s">
        <v>27</v>
      </c>
      <c r="F268" s="97" t="str">
        <f>VLOOKUP(E268,Emp_Data!$B$2:$C$9,2,)</f>
        <v>Philip</v>
      </c>
      <c r="G268" s="97" t="s">
        <v>12</v>
      </c>
      <c r="H268" s="97" t="s">
        <v>39</v>
      </c>
      <c r="I268" s="97">
        <v>399</v>
      </c>
      <c r="J268" s="97">
        <v>5</v>
      </c>
      <c r="K268" s="97">
        <f t="shared" si="4"/>
        <v>1995</v>
      </c>
      <c r="L268" s="97">
        <f>_xlfn.XLOOKUP(E268,Emp_Data!$B$2:$B$9,Emp_Data!$A$2:$A$9)</f>
        <v>8</v>
      </c>
    </row>
    <row r="269" spans="1:12">
      <c r="A269" s="99">
        <v>1368</v>
      </c>
      <c r="B269" s="101">
        <v>44632</v>
      </c>
      <c r="C269" s="96">
        <v>19</v>
      </c>
      <c r="D269" s="104" t="s">
        <v>22</v>
      </c>
      <c r="E269" s="97" t="s">
        <v>8</v>
      </c>
      <c r="F269" s="97" t="str">
        <f>VLOOKUP(E269,Emp_Data!$B$2:$C$9,2,)</f>
        <v>Jeff</v>
      </c>
      <c r="G269" s="97" t="s">
        <v>9</v>
      </c>
      <c r="H269" s="97" t="s">
        <v>39</v>
      </c>
      <c r="I269" s="97">
        <v>399</v>
      </c>
      <c r="J269" s="97">
        <v>9</v>
      </c>
      <c r="K269" s="97">
        <f t="shared" si="4"/>
        <v>3591</v>
      </c>
      <c r="L269" s="97">
        <f>_xlfn.XLOOKUP(E269,Emp_Data!$B$2:$B$9,Emp_Data!$A$2:$A$9)</f>
        <v>3</v>
      </c>
    </row>
    <row r="270" spans="1:12">
      <c r="A270" s="99">
        <v>1370</v>
      </c>
      <c r="B270" s="101">
        <v>44633</v>
      </c>
      <c r="C270" s="96">
        <v>19</v>
      </c>
      <c r="D270" s="104" t="s">
        <v>22</v>
      </c>
      <c r="E270" s="97" t="s">
        <v>25</v>
      </c>
      <c r="F270" s="97" t="str">
        <f>VLOOKUP(E270,Emp_Data!$B$2:$C$9,2,)</f>
        <v>Jeff</v>
      </c>
      <c r="G270" s="97" t="s">
        <v>9</v>
      </c>
      <c r="H270" s="97" t="s">
        <v>39</v>
      </c>
      <c r="I270" s="97">
        <v>399</v>
      </c>
      <c r="J270" s="97">
        <v>2</v>
      </c>
      <c r="K270" s="97">
        <f t="shared" si="4"/>
        <v>798</v>
      </c>
      <c r="L270" s="97">
        <f>_xlfn.XLOOKUP(E270,Emp_Data!$B$2:$B$9,Emp_Data!$A$2:$A$9)</f>
        <v>5</v>
      </c>
    </row>
    <row r="271" spans="1:12">
      <c r="A271" s="99">
        <v>1371</v>
      </c>
      <c r="B271" s="101">
        <v>44633</v>
      </c>
      <c r="C271" s="96">
        <v>15</v>
      </c>
      <c r="D271" s="104" t="s">
        <v>29</v>
      </c>
      <c r="E271" s="97" t="s">
        <v>18</v>
      </c>
      <c r="F271" s="97" t="str">
        <f>VLOOKUP(E271,Emp_Data!$B$2:$C$9,2,)</f>
        <v>Sara</v>
      </c>
      <c r="G271" s="97" t="s">
        <v>19</v>
      </c>
      <c r="H271" s="97" t="s">
        <v>39</v>
      </c>
      <c r="I271" s="97">
        <v>399</v>
      </c>
      <c r="J271" s="97">
        <v>9</v>
      </c>
      <c r="K271" s="97">
        <f t="shared" si="4"/>
        <v>3591</v>
      </c>
      <c r="L271" s="97">
        <f>_xlfn.XLOOKUP(E271,Emp_Data!$B$2:$B$9,Emp_Data!$A$2:$A$9)</f>
        <v>5</v>
      </c>
    </row>
    <row r="272" spans="1:12">
      <c r="A272" s="99">
        <v>1376</v>
      </c>
      <c r="B272" s="101">
        <v>44637</v>
      </c>
      <c r="C272" s="96">
        <v>7</v>
      </c>
      <c r="D272" s="104" t="s">
        <v>28</v>
      </c>
      <c r="E272" s="97" t="s">
        <v>11</v>
      </c>
      <c r="F272" s="97" t="str">
        <f>VLOOKUP(E272,Emp_Data!$B$2:$C$9,2,)</f>
        <v>Steve</v>
      </c>
      <c r="G272" s="97" t="s">
        <v>12</v>
      </c>
      <c r="H272" s="97" t="s">
        <v>39</v>
      </c>
      <c r="I272" s="97">
        <v>399</v>
      </c>
      <c r="J272" s="97">
        <v>6</v>
      </c>
      <c r="K272" s="97">
        <f t="shared" si="4"/>
        <v>2394</v>
      </c>
      <c r="L272" s="97">
        <f>_xlfn.XLOOKUP(E272,Emp_Data!$B$2:$B$9,Emp_Data!$A$2:$A$9)</f>
        <v>4</v>
      </c>
    </row>
    <row r="273" spans="1:12">
      <c r="A273" s="99">
        <v>1378</v>
      </c>
      <c r="B273" s="101">
        <v>44637</v>
      </c>
      <c r="C273" s="96">
        <v>14</v>
      </c>
      <c r="D273" s="104" t="s">
        <v>33</v>
      </c>
      <c r="E273" s="97" t="s">
        <v>18</v>
      </c>
      <c r="F273" s="97" t="str">
        <f>VLOOKUP(E273,Emp_Data!$B$2:$C$9,2,)</f>
        <v>Sara</v>
      </c>
      <c r="G273" s="97" t="s">
        <v>19</v>
      </c>
      <c r="H273" s="97" t="s">
        <v>39</v>
      </c>
      <c r="I273" s="97">
        <v>399</v>
      </c>
      <c r="J273" s="97">
        <v>7</v>
      </c>
      <c r="K273" s="97">
        <f t="shared" si="4"/>
        <v>2793</v>
      </c>
      <c r="L273" s="97">
        <f>_xlfn.XLOOKUP(E273,Emp_Data!$B$2:$B$9,Emp_Data!$A$2:$A$9)</f>
        <v>5</v>
      </c>
    </row>
    <row r="274" spans="1:12">
      <c r="A274" s="99">
        <v>1383</v>
      </c>
      <c r="B274" s="101">
        <v>44639</v>
      </c>
      <c r="C274" s="96">
        <v>14</v>
      </c>
      <c r="D274" s="104" t="s">
        <v>33</v>
      </c>
      <c r="E274" s="97" t="s">
        <v>24</v>
      </c>
      <c r="F274" s="97" t="str">
        <f>VLOOKUP(E274,Emp_Data!$B$2:$C$9,2,)</f>
        <v>Steve</v>
      </c>
      <c r="G274" s="97" t="s">
        <v>19</v>
      </c>
      <c r="H274" s="97" t="s">
        <v>39</v>
      </c>
      <c r="I274" s="97">
        <v>399</v>
      </c>
      <c r="J274" s="97">
        <v>8</v>
      </c>
      <c r="K274" s="97">
        <f t="shared" si="4"/>
        <v>3192</v>
      </c>
      <c r="L274" s="97">
        <f>_xlfn.XLOOKUP(E274,Emp_Data!$B$2:$B$9,Emp_Data!$A$2:$A$9)</f>
        <v>6</v>
      </c>
    </row>
    <row r="275" spans="1:12">
      <c r="A275" s="99">
        <v>1385</v>
      </c>
      <c r="B275" s="101">
        <v>44639</v>
      </c>
      <c r="C275" s="96">
        <v>17</v>
      </c>
      <c r="D275" s="104" t="s">
        <v>32</v>
      </c>
      <c r="E275" s="97" t="s">
        <v>25</v>
      </c>
      <c r="F275" s="97" t="str">
        <f>VLOOKUP(E275,Emp_Data!$B$2:$C$9,2,)</f>
        <v>Jeff</v>
      </c>
      <c r="G275" s="97" t="s">
        <v>9</v>
      </c>
      <c r="H275" s="97" t="s">
        <v>39</v>
      </c>
      <c r="I275" s="97">
        <v>399</v>
      </c>
      <c r="J275" s="97">
        <v>5</v>
      </c>
      <c r="K275" s="97">
        <f t="shared" si="4"/>
        <v>1995</v>
      </c>
      <c r="L275" s="97">
        <f>_xlfn.XLOOKUP(E275,Emp_Data!$B$2:$B$9,Emp_Data!$A$2:$A$9)</f>
        <v>5</v>
      </c>
    </row>
    <row r="276" spans="1:12">
      <c r="A276" s="99">
        <v>1388</v>
      </c>
      <c r="B276" s="101">
        <v>44639</v>
      </c>
      <c r="C276" s="96">
        <v>9</v>
      </c>
      <c r="D276" s="104" t="s">
        <v>26</v>
      </c>
      <c r="E276" s="97" t="s">
        <v>11</v>
      </c>
      <c r="F276" s="97" t="str">
        <f>VLOOKUP(E276,Emp_Data!$B$2:$C$9,2,)</f>
        <v>Steve</v>
      </c>
      <c r="G276" s="97" t="s">
        <v>12</v>
      </c>
      <c r="H276" s="97" t="s">
        <v>39</v>
      </c>
      <c r="I276" s="97">
        <v>399</v>
      </c>
      <c r="J276" s="97">
        <v>9</v>
      </c>
      <c r="K276" s="97">
        <f t="shared" si="4"/>
        <v>3591</v>
      </c>
      <c r="L276" s="97">
        <f>_xlfn.XLOOKUP(E276,Emp_Data!$B$2:$B$9,Emp_Data!$A$2:$A$9)</f>
        <v>4</v>
      </c>
    </row>
    <row r="277" spans="1:12">
      <c r="A277" s="99">
        <v>1391</v>
      </c>
      <c r="B277" s="101">
        <v>44639</v>
      </c>
      <c r="C277" s="96">
        <v>10</v>
      </c>
      <c r="D277" s="104" t="s">
        <v>34</v>
      </c>
      <c r="E277" s="97" t="s">
        <v>11</v>
      </c>
      <c r="F277" s="97" t="str">
        <f>VLOOKUP(E277,Emp_Data!$B$2:$C$9,2,)</f>
        <v>Steve</v>
      </c>
      <c r="G277" s="97" t="s">
        <v>12</v>
      </c>
      <c r="H277" s="97" t="s">
        <v>39</v>
      </c>
      <c r="I277" s="97">
        <v>399</v>
      </c>
      <c r="J277" s="97">
        <v>0</v>
      </c>
      <c r="K277" s="97">
        <f t="shared" si="4"/>
        <v>0</v>
      </c>
      <c r="L277" s="97">
        <f>_xlfn.XLOOKUP(E277,Emp_Data!$B$2:$B$9,Emp_Data!$A$2:$A$9)</f>
        <v>4</v>
      </c>
    </row>
    <row r="278" spans="1:12">
      <c r="A278" s="99">
        <v>1396</v>
      </c>
      <c r="B278" s="101">
        <v>44642</v>
      </c>
      <c r="C278" s="96">
        <v>11</v>
      </c>
      <c r="D278" s="104" t="s">
        <v>38</v>
      </c>
      <c r="E278" s="97" t="s">
        <v>18</v>
      </c>
      <c r="F278" s="97" t="str">
        <f>VLOOKUP(E278,Emp_Data!$B$2:$C$9,2,)</f>
        <v>Sara</v>
      </c>
      <c r="G278" s="97" t="s">
        <v>19</v>
      </c>
      <c r="H278" s="97" t="s">
        <v>39</v>
      </c>
      <c r="I278" s="97">
        <v>399</v>
      </c>
      <c r="J278" s="97">
        <v>9</v>
      </c>
      <c r="K278" s="97">
        <f t="shared" si="4"/>
        <v>3591</v>
      </c>
      <c r="L278" s="97">
        <f>_xlfn.XLOOKUP(E278,Emp_Data!$B$2:$B$9,Emp_Data!$A$2:$A$9)</f>
        <v>5</v>
      </c>
    </row>
    <row r="279" spans="1:12">
      <c r="A279" s="99">
        <v>1400</v>
      </c>
      <c r="B279" s="101">
        <v>44643</v>
      </c>
      <c r="C279" s="96">
        <v>5</v>
      </c>
      <c r="D279" s="104" t="s">
        <v>16</v>
      </c>
      <c r="E279" s="97" t="s">
        <v>21</v>
      </c>
      <c r="F279" s="97" t="str">
        <f>VLOOKUP(E279,Emp_Data!$B$2:$C$9,2,)</f>
        <v>Sara</v>
      </c>
      <c r="G279" s="97" t="s">
        <v>15</v>
      </c>
      <c r="H279" s="97" t="s">
        <v>39</v>
      </c>
      <c r="I279" s="97">
        <v>399</v>
      </c>
      <c r="J279" s="97">
        <v>1</v>
      </c>
      <c r="K279" s="97">
        <f t="shared" si="4"/>
        <v>399</v>
      </c>
      <c r="L279" s="97">
        <f>_xlfn.XLOOKUP(E279,Emp_Data!$B$2:$B$9,Emp_Data!$A$2:$A$9)</f>
        <v>2</v>
      </c>
    </row>
    <row r="280" spans="1:12">
      <c r="A280" s="99">
        <v>1403</v>
      </c>
      <c r="B280" s="101">
        <v>44643</v>
      </c>
      <c r="C280" s="96">
        <v>9</v>
      </c>
      <c r="D280" s="104" t="s">
        <v>26</v>
      </c>
      <c r="E280" s="97" t="s">
        <v>27</v>
      </c>
      <c r="F280" s="97" t="str">
        <f>VLOOKUP(E280,Emp_Data!$B$2:$C$9,2,)</f>
        <v>Philip</v>
      </c>
      <c r="G280" s="97" t="s">
        <v>12</v>
      </c>
      <c r="H280" s="97" t="s">
        <v>39</v>
      </c>
      <c r="I280" s="97">
        <v>399</v>
      </c>
      <c r="J280" s="97">
        <v>9</v>
      </c>
      <c r="K280" s="97">
        <f t="shared" si="4"/>
        <v>3591</v>
      </c>
      <c r="L280" s="97">
        <f>_xlfn.XLOOKUP(E280,Emp_Data!$B$2:$B$9,Emp_Data!$A$2:$A$9)</f>
        <v>8</v>
      </c>
    </row>
    <row r="281" spans="1:12">
      <c r="A281" s="99">
        <v>1407</v>
      </c>
      <c r="B281" s="101">
        <v>44644</v>
      </c>
      <c r="C281" s="96">
        <v>12</v>
      </c>
      <c r="D281" s="104" t="s">
        <v>17</v>
      </c>
      <c r="E281" s="97" t="s">
        <v>24</v>
      </c>
      <c r="F281" s="97" t="str">
        <f>VLOOKUP(E281,Emp_Data!$B$2:$C$9,2,)</f>
        <v>Steve</v>
      </c>
      <c r="G281" s="97" t="s">
        <v>19</v>
      </c>
      <c r="H281" s="97" t="s">
        <v>39</v>
      </c>
      <c r="I281" s="97">
        <v>399</v>
      </c>
      <c r="J281" s="97">
        <v>8</v>
      </c>
      <c r="K281" s="97">
        <f t="shared" si="4"/>
        <v>3192</v>
      </c>
      <c r="L281" s="97">
        <f>_xlfn.XLOOKUP(E281,Emp_Data!$B$2:$B$9,Emp_Data!$A$2:$A$9)</f>
        <v>6</v>
      </c>
    </row>
    <row r="282" spans="1:12">
      <c r="A282" s="99">
        <v>1408</v>
      </c>
      <c r="B282" s="101">
        <v>44645</v>
      </c>
      <c r="C282" s="96">
        <v>3</v>
      </c>
      <c r="D282" s="104" t="s">
        <v>20</v>
      </c>
      <c r="E282" s="97" t="s">
        <v>14</v>
      </c>
      <c r="F282" s="97" t="str">
        <f>VLOOKUP(E282,Emp_Data!$B$2:$C$9,2,)</f>
        <v>Jeff</v>
      </c>
      <c r="G282" s="97" t="s">
        <v>15</v>
      </c>
      <c r="H282" s="97" t="s">
        <v>39</v>
      </c>
      <c r="I282" s="97">
        <v>399</v>
      </c>
      <c r="J282" s="97">
        <v>9</v>
      </c>
      <c r="K282" s="97">
        <f t="shared" si="4"/>
        <v>3591</v>
      </c>
      <c r="L282" s="97">
        <f>_xlfn.XLOOKUP(E282,Emp_Data!$B$2:$B$9,Emp_Data!$A$2:$A$9)</f>
        <v>2</v>
      </c>
    </row>
    <row r="283" spans="1:12">
      <c r="A283" s="99">
        <v>1409</v>
      </c>
      <c r="B283" s="101">
        <v>44645</v>
      </c>
      <c r="C283" s="96">
        <v>18</v>
      </c>
      <c r="D283" s="104" t="s">
        <v>30</v>
      </c>
      <c r="E283" s="97" t="s">
        <v>8</v>
      </c>
      <c r="F283" s="97" t="str">
        <f>VLOOKUP(E283,Emp_Data!$B$2:$C$9,2,)</f>
        <v>Jeff</v>
      </c>
      <c r="G283" s="97" t="s">
        <v>9</v>
      </c>
      <c r="H283" s="97" t="s">
        <v>39</v>
      </c>
      <c r="I283" s="97">
        <v>399</v>
      </c>
      <c r="J283" s="97">
        <v>3</v>
      </c>
      <c r="K283" s="97">
        <f t="shared" si="4"/>
        <v>1197</v>
      </c>
      <c r="L283" s="97">
        <f>_xlfn.XLOOKUP(E283,Emp_Data!$B$2:$B$9,Emp_Data!$A$2:$A$9)</f>
        <v>3</v>
      </c>
    </row>
    <row r="284" spans="1:12">
      <c r="A284" s="99">
        <v>1413</v>
      </c>
      <c r="B284" s="101">
        <v>44647</v>
      </c>
      <c r="C284" s="96">
        <v>4</v>
      </c>
      <c r="D284" s="104" t="s">
        <v>13</v>
      </c>
      <c r="E284" s="97" t="s">
        <v>14</v>
      </c>
      <c r="F284" s="97" t="str">
        <f>VLOOKUP(E284,Emp_Data!$B$2:$C$9,2,)</f>
        <v>Jeff</v>
      </c>
      <c r="G284" s="97" t="s">
        <v>15</v>
      </c>
      <c r="H284" s="97" t="s">
        <v>39</v>
      </c>
      <c r="I284" s="97">
        <v>399</v>
      </c>
      <c r="J284" s="97">
        <v>6</v>
      </c>
      <c r="K284" s="97">
        <f t="shared" si="4"/>
        <v>2394</v>
      </c>
      <c r="L284" s="97">
        <f>_xlfn.XLOOKUP(E284,Emp_Data!$B$2:$B$9,Emp_Data!$A$2:$A$9)</f>
        <v>2</v>
      </c>
    </row>
    <row r="285" spans="1:12">
      <c r="A285" s="99">
        <v>1423</v>
      </c>
      <c r="B285" s="101">
        <v>44650</v>
      </c>
      <c r="C285" s="96">
        <v>7</v>
      </c>
      <c r="D285" s="104" t="s">
        <v>28</v>
      </c>
      <c r="E285" s="97" t="s">
        <v>27</v>
      </c>
      <c r="F285" s="97" t="str">
        <f>VLOOKUP(E285,Emp_Data!$B$2:$C$9,2,)</f>
        <v>Philip</v>
      </c>
      <c r="G285" s="97" t="s">
        <v>12</v>
      </c>
      <c r="H285" s="97" t="s">
        <v>39</v>
      </c>
      <c r="I285" s="97">
        <v>399</v>
      </c>
      <c r="J285" s="97">
        <v>2</v>
      </c>
      <c r="K285" s="97">
        <f t="shared" si="4"/>
        <v>798</v>
      </c>
      <c r="L285" s="97">
        <f>_xlfn.XLOOKUP(E285,Emp_Data!$B$2:$B$9,Emp_Data!$A$2:$A$9)</f>
        <v>8</v>
      </c>
    </row>
    <row r="286" spans="1:12">
      <c r="A286" s="99">
        <v>1426</v>
      </c>
      <c r="B286" s="101">
        <v>44651</v>
      </c>
      <c r="C286" s="96">
        <v>13</v>
      </c>
      <c r="D286" s="104" t="s">
        <v>23</v>
      </c>
      <c r="E286" s="97" t="s">
        <v>24</v>
      </c>
      <c r="F286" s="97" t="str">
        <f>VLOOKUP(E286,Emp_Data!$B$2:$C$9,2,)</f>
        <v>Steve</v>
      </c>
      <c r="G286" s="97" t="s">
        <v>19</v>
      </c>
      <c r="H286" s="97" t="s">
        <v>39</v>
      </c>
      <c r="I286" s="97">
        <v>399</v>
      </c>
      <c r="J286" s="97">
        <v>0</v>
      </c>
      <c r="K286" s="97">
        <f t="shared" si="4"/>
        <v>0</v>
      </c>
      <c r="L286" s="97">
        <f>_xlfn.XLOOKUP(E286,Emp_Data!$B$2:$B$9,Emp_Data!$A$2:$A$9)</f>
        <v>6</v>
      </c>
    </row>
    <row r="287" spans="1:12">
      <c r="A287" s="99">
        <v>1427</v>
      </c>
      <c r="B287" s="101">
        <v>44651</v>
      </c>
      <c r="C287" s="96">
        <v>10</v>
      </c>
      <c r="D287" s="104" t="s">
        <v>34</v>
      </c>
      <c r="E287" s="97" t="s">
        <v>11</v>
      </c>
      <c r="F287" s="97" t="str">
        <f>VLOOKUP(E287,Emp_Data!$B$2:$C$9,2,)</f>
        <v>Steve</v>
      </c>
      <c r="G287" s="97" t="s">
        <v>12</v>
      </c>
      <c r="H287" s="97" t="s">
        <v>39</v>
      </c>
      <c r="I287" s="97">
        <v>399</v>
      </c>
      <c r="J287" s="97">
        <v>8</v>
      </c>
      <c r="K287" s="97">
        <f t="shared" si="4"/>
        <v>3192</v>
      </c>
      <c r="L287" s="97">
        <f>_xlfn.XLOOKUP(E287,Emp_Data!$B$2:$B$9,Emp_Data!$A$2:$A$9)</f>
        <v>4</v>
      </c>
    </row>
    <row r="288" spans="1:12">
      <c r="A288" s="99">
        <v>1429</v>
      </c>
      <c r="B288" s="101">
        <v>44652</v>
      </c>
      <c r="C288" s="96">
        <v>1</v>
      </c>
      <c r="D288" s="104" t="s">
        <v>31</v>
      </c>
      <c r="E288" s="97" t="s">
        <v>21</v>
      </c>
      <c r="F288" s="97" t="str">
        <f>VLOOKUP(E288,Emp_Data!$B$2:$C$9,2,)</f>
        <v>Sara</v>
      </c>
      <c r="G288" s="97" t="s">
        <v>15</v>
      </c>
      <c r="H288" s="97" t="s">
        <v>39</v>
      </c>
      <c r="I288" s="97">
        <v>399</v>
      </c>
      <c r="J288" s="97">
        <v>4</v>
      </c>
      <c r="K288" s="97">
        <f t="shared" si="4"/>
        <v>1596</v>
      </c>
      <c r="L288" s="97">
        <f>_xlfn.XLOOKUP(E288,Emp_Data!$B$2:$B$9,Emp_Data!$A$2:$A$9)</f>
        <v>2</v>
      </c>
    </row>
    <row r="289" spans="1:12">
      <c r="A289" s="99">
        <v>1431</v>
      </c>
      <c r="B289" s="101">
        <v>44653</v>
      </c>
      <c r="C289" s="96">
        <v>8</v>
      </c>
      <c r="D289" s="104" t="s">
        <v>36</v>
      </c>
      <c r="E289" s="97" t="s">
        <v>27</v>
      </c>
      <c r="F289" s="97" t="str">
        <f>VLOOKUP(E289,Emp_Data!$B$2:$C$9,2,)</f>
        <v>Philip</v>
      </c>
      <c r="G289" s="97" t="s">
        <v>12</v>
      </c>
      <c r="H289" s="97" t="s">
        <v>39</v>
      </c>
      <c r="I289" s="97">
        <v>399</v>
      </c>
      <c r="J289" s="97">
        <v>0</v>
      </c>
      <c r="K289" s="97">
        <f t="shared" si="4"/>
        <v>0</v>
      </c>
      <c r="L289" s="97">
        <f>_xlfn.XLOOKUP(E289,Emp_Data!$B$2:$B$9,Emp_Data!$A$2:$A$9)</f>
        <v>8</v>
      </c>
    </row>
    <row r="290" spans="1:12">
      <c r="A290" s="99">
        <v>1446</v>
      </c>
      <c r="B290" s="101">
        <v>44658</v>
      </c>
      <c r="C290" s="96">
        <v>12</v>
      </c>
      <c r="D290" s="104" t="s">
        <v>17</v>
      </c>
      <c r="E290" s="97" t="s">
        <v>24</v>
      </c>
      <c r="F290" s="97" t="str">
        <f>VLOOKUP(E290,Emp_Data!$B$2:$C$9,2,)</f>
        <v>Steve</v>
      </c>
      <c r="G290" s="97" t="s">
        <v>19</v>
      </c>
      <c r="H290" s="97" t="s">
        <v>39</v>
      </c>
      <c r="I290" s="97">
        <v>399</v>
      </c>
      <c r="J290" s="97">
        <v>5</v>
      </c>
      <c r="K290" s="97">
        <f t="shared" si="4"/>
        <v>1995</v>
      </c>
      <c r="L290" s="97">
        <f>_xlfn.XLOOKUP(E290,Emp_Data!$B$2:$B$9,Emp_Data!$A$2:$A$9)</f>
        <v>6</v>
      </c>
    </row>
    <row r="291" spans="1:12">
      <c r="A291" s="99">
        <v>1452</v>
      </c>
      <c r="B291" s="101">
        <v>44660</v>
      </c>
      <c r="C291" s="96">
        <v>9</v>
      </c>
      <c r="D291" s="104" t="s">
        <v>26</v>
      </c>
      <c r="E291" s="97" t="s">
        <v>11</v>
      </c>
      <c r="F291" s="97" t="str">
        <f>VLOOKUP(E291,Emp_Data!$B$2:$C$9,2,)</f>
        <v>Steve</v>
      </c>
      <c r="G291" s="97" t="s">
        <v>12</v>
      </c>
      <c r="H291" s="97" t="s">
        <v>39</v>
      </c>
      <c r="I291" s="97">
        <v>399</v>
      </c>
      <c r="J291" s="97">
        <v>5</v>
      </c>
      <c r="K291" s="97">
        <f t="shared" si="4"/>
        <v>1995</v>
      </c>
      <c r="L291" s="97">
        <f>_xlfn.XLOOKUP(E291,Emp_Data!$B$2:$B$9,Emp_Data!$A$2:$A$9)</f>
        <v>4</v>
      </c>
    </row>
    <row r="292" spans="1:12">
      <c r="A292" s="99">
        <v>1465</v>
      </c>
      <c r="B292" s="101">
        <v>44664</v>
      </c>
      <c r="C292" s="96">
        <v>13</v>
      </c>
      <c r="D292" s="104" t="s">
        <v>23</v>
      </c>
      <c r="E292" s="97" t="s">
        <v>24</v>
      </c>
      <c r="F292" s="97" t="str">
        <f>VLOOKUP(E292,Emp_Data!$B$2:$C$9,2,)</f>
        <v>Steve</v>
      </c>
      <c r="G292" s="97" t="s">
        <v>19</v>
      </c>
      <c r="H292" s="97" t="s">
        <v>39</v>
      </c>
      <c r="I292" s="97">
        <v>399</v>
      </c>
      <c r="J292" s="97">
        <v>0</v>
      </c>
      <c r="K292" s="97">
        <f t="shared" si="4"/>
        <v>0</v>
      </c>
      <c r="L292" s="97">
        <f>_xlfn.XLOOKUP(E292,Emp_Data!$B$2:$B$9,Emp_Data!$A$2:$A$9)</f>
        <v>6</v>
      </c>
    </row>
    <row r="293" spans="1:12">
      <c r="A293" s="99">
        <v>1466</v>
      </c>
      <c r="B293" s="101">
        <v>44665</v>
      </c>
      <c r="C293" s="96">
        <v>9</v>
      </c>
      <c r="D293" s="104" t="s">
        <v>26</v>
      </c>
      <c r="E293" s="97" t="s">
        <v>27</v>
      </c>
      <c r="F293" s="97" t="str">
        <f>VLOOKUP(E293,Emp_Data!$B$2:$C$9,2,)</f>
        <v>Philip</v>
      </c>
      <c r="G293" s="97" t="s">
        <v>12</v>
      </c>
      <c r="H293" s="97" t="s">
        <v>39</v>
      </c>
      <c r="I293" s="97">
        <v>399</v>
      </c>
      <c r="J293" s="97">
        <v>7</v>
      </c>
      <c r="K293" s="97">
        <f t="shared" si="4"/>
        <v>2793</v>
      </c>
      <c r="L293" s="97">
        <f>_xlfn.XLOOKUP(E293,Emp_Data!$B$2:$B$9,Emp_Data!$A$2:$A$9)</f>
        <v>8</v>
      </c>
    </row>
    <row r="294" spans="1:12">
      <c r="A294" s="99">
        <v>1468</v>
      </c>
      <c r="B294" s="101">
        <v>44666</v>
      </c>
      <c r="C294" s="96">
        <v>6</v>
      </c>
      <c r="D294" s="104" t="s">
        <v>10</v>
      </c>
      <c r="E294" s="97" t="s">
        <v>27</v>
      </c>
      <c r="F294" s="97" t="str">
        <f>VLOOKUP(E294,Emp_Data!$B$2:$C$9,2,)</f>
        <v>Philip</v>
      </c>
      <c r="G294" s="97" t="s">
        <v>12</v>
      </c>
      <c r="H294" s="97" t="s">
        <v>39</v>
      </c>
      <c r="I294" s="97">
        <v>399</v>
      </c>
      <c r="J294" s="97">
        <v>0</v>
      </c>
      <c r="K294" s="97">
        <f t="shared" si="4"/>
        <v>0</v>
      </c>
      <c r="L294" s="97">
        <f>_xlfn.XLOOKUP(E294,Emp_Data!$B$2:$B$9,Emp_Data!$A$2:$A$9)</f>
        <v>8</v>
      </c>
    </row>
    <row r="295" spans="1:12">
      <c r="A295" s="99">
        <v>1471</v>
      </c>
      <c r="B295" s="101">
        <v>44669</v>
      </c>
      <c r="C295" s="96">
        <v>5</v>
      </c>
      <c r="D295" s="104" t="s">
        <v>16</v>
      </c>
      <c r="E295" s="97" t="s">
        <v>21</v>
      </c>
      <c r="F295" s="97" t="str">
        <f>VLOOKUP(E295,Emp_Data!$B$2:$C$9,2,)</f>
        <v>Sara</v>
      </c>
      <c r="G295" s="97" t="s">
        <v>15</v>
      </c>
      <c r="H295" s="97" t="s">
        <v>39</v>
      </c>
      <c r="I295" s="97">
        <v>399</v>
      </c>
      <c r="J295" s="97">
        <v>8</v>
      </c>
      <c r="K295" s="97">
        <f t="shared" si="4"/>
        <v>3192</v>
      </c>
      <c r="L295" s="97">
        <f>_xlfn.XLOOKUP(E295,Emp_Data!$B$2:$B$9,Emp_Data!$A$2:$A$9)</f>
        <v>2</v>
      </c>
    </row>
    <row r="296" spans="1:12">
      <c r="A296" s="99">
        <v>1475</v>
      </c>
      <c r="B296" s="101">
        <v>44669</v>
      </c>
      <c r="C296" s="96">
        <v>13</v>
      </c>
      <c r="D296" s="104" t="s">
        <v>23</v>
      </c>
      <c r="E296" s="97" t="s">
        <v>18</v>
      </c>
      <c r="F296" s="97" t="str">
        <f>VLOOKUP(E296,Emp_Data!$B$2:$C$9,2,)</f>
        <v>Sara</v>
      </c>
      <c r="G296" s="97" t="s">
        <v>19</v>
      </c>
      <c r="H296" s="97" t="s">
        <v>39</v>
      </c>
      <c r="I296" s="97">
        <v>399</v>
      </c>
      <c r="J296" s="97">
        <v>5</v>
      </c>
      <c r="K296" s="97">
        <f t="shared" si="4"/>
        <v>1995</v>
      </c>
      <c r="L296" s="97">
        <f>_xlfn.XLOOKUP(E296,Emp_Data!$B$2:$B$9,Emp_Data!$A$2:$A$9)</f>
        <v>5</v>
      </c>
    </row>
    <row r="297" spans="1:12">
      <c r="A297" s="99">
        <v>1477</v>
      </c>
      <c r="B297" s="101">
        <v>44670</v>
      </c>
      <c r="C297" s="96">
        <v>4</v>
      </c>
      <c r="D297" s="104" t="s">
        <v>13</v>
      </c>
      <c r="E297" s="97" t="s">
        <v>14</v>
      </c>
      <c r="F297" s="97" t="str">
        <f>VLOOKUP(E297,Emp_Data!$B$2:$C$9,2,)</f>
        <v>Jeff</v>
      </c>
      <c r="G297" s="97" t="s">
        <v>15</v>
      </c>
      <c r="H297" s="97" t="s">
        <v>39</v>
      </c>
      <c r="I297" s="97">
        <v>399</v>
      </c>
      <c r="J297" s="97">
        <v>7</v>
      </c>
      <c r="K297" s="97">
        <f t="shared" si="4"/>
        <v>2793</v>
      </c>
      <c r="L297" s="97">
        <f>_xlfn.XLOOKUP(E297,Emp_Data!$B$2:$B$9,Emp_Data!$A$2:$A$9)</f>
        <v>2</v>
      </c>
    </row>
    <row r="298" spans="1:12">
      <c r="A298" s="99">
        <v>1478</v>
      </c>
      <c r="B298" s="101">
        <v>44670</v>
      </c>
      <c r="C298" s="96">
        <v>4</v>
      </c>
      <c r="D298" s="104" t="s">
        <v>13</v>
      </c>
      <c r="E298" s="97" t="s">
        <v>21</v>
      </c>
      <c r="F298" s="97" t="str">
        <f>VLOOKUP(E298,Emp_Data!$B$2:$C$9,2,)</f>
        <v>Sara</v>
      </c>
      <c r="G298" s="97" t="s">
        <v>15</v>
      </c>
      <c r="H298" s="97" t="s">
        <v>39</v>
      </c>
      <c r="I298" s="97">
        <v>399</v>
      </c>
      <c r="J298" s="97">
        <v>9</v>
      </c>
      <c r="K298" s="97">
        <f t="shared" si="4"/>
        <v>3591</v>
      </c>
      <c r="L298" s="97">
        <f>_xlfn.XLOOKUP(E298,Emp_Data!$B$2:$B$9,Emp_Data!$A$2:$A$9)</f>
        <v>2</v>
      </c>
    </row>
    <row r="299" spans="1:12">
      <c r="A299" s="99">
        <v>1479</v>
      </c>
      <c r="B299" s="101">
        <v>44670</v>
      </c>
      <c r="C299" s="96">
        <v>10</v>
      </c>
      <c r="D299" s="104" t="s">
        <v>34</v>
      </c>
      <c r="E299" s="97" t="s">
        <v>27</v>
      </c>
      <c r="F299" s="97" t="str">
        <f>VLOOKUP(E299,Emp_Data!$B$2:$C$9,2,)</f>
        <v>Philip</v>
      </c>
      <c r="G299" s="97" t="s">
        <v>12</v>
      </c>
      <c r="H299" s="97" t="s">
        <v>39</v>
      </c>
      <c r="I299" s="97">
        <v>399</v>
      </c>
      <c r="J299" s="97">
        <v>4</v>
      </c>
      <c r="K299" s="97">
        <f t="shared" si="4"/>
        <v>1596</v>
      </c>
      <c r="L299" s="97">
        <f>_xlfn.XLOOKUP(E299,Emp_Data!$B$2:$B$9,Emp_Data!$A$2:$A$9)</f>
        <v>8</v>
      </c>
    </row>
    <row r="300" spans="1:12">
      <c r="A300" s="99">
        <v>1480</v>
      </c>
      <c r="B300" s="101">
        <v>44671</v>
      </c>
      <c r="C300" s="96">
        <v>6</v>
      </c>
      <c r="D300" s="104" t="s">
        <v>10</v>
      </c>
      <c r="E300" s="97" t="s">
        <v>27</v>
      </c>
      <c r="F300" s="97" t="str">
        <f>VLOOKUP(E300,Emp_Data!$B$2:$C$9,2,)</f>
        <v>Philip</v>
      </c>
      <c r="G300" s="97" t="s">
        <v>12</v>
      </c>
      <c r="H300" s="97" t="s">
        <v>39</v>
      </c>
      <c r="I300" s="97">
        <v>399</v>
      </c>
      <c r="J300" s="97">
        <v>6</v>
      </c>
      <c r="K300" s="97">
        <f t="shared" si="4"/>
        <v>2394</v>
      </c>
      <c r="L300" s="97">
        <f>_xlfn.XLOOKUP(E300,Emp_Data!$B$2:$B$9,Emp_Data!$A$2:$A$9)</f>
        <v>8</v>
      </c>
    </row>
    <row r="301" spans="1:12">
      <c r="A301" s="99">
        <v>1483</v>
      </c>
      <c r="B301" s="101">
        <v>44671</v>
      </c>
      <c r="C301" s="96">
        <v>20</v>
      </c>
      <c r="D301" s="104" t="s">
        <v>7</v>
      </c>
      <c r="E301" s="97" t="s">
        <v>8</v>
      </c>
      <c r="F301" s="97" t="str">
        <f>VLOOKUP(E301,Emp_Data!$B$2:$C$9,2,)</f>
        <v>Jeff</v>
      </c>
      <c r="G301" s="97" t="s">
        <v>9</v>
      </c>
      <c r="H301" s="97" t="s">
        <v>39</v>
      </c>
      <c r="I301" s="97">
        <v>399</v>
      </c>
      <c r="J301" s="97">
        <v>9</v>
      </c>
      <c r="K301" s="97">
        <f t="shared" si="4"/>
        <v>3591</v>
      </c>
      <c r="L301" s="97">
        <f>_xlfn.XLOOKUP(E301,Emp_Data!$B$2:$B$9,Emp_Data!$A$2:$A$9)</f>
        <v>3</v>
      </c>
    </row>
    <row r="302" spans="1:12">
      <c r="A302" s="99">
        <v>1490</v>
      </c>
      <c r="B302" s="101">
        <v>44674</v>
      </c>
      <c r="C302" s="96">
        <v>19</v>
      </c>
      <c r="D302" s="104" t="s">
        <v>22</v>
      </c>
      <c r="E302" s="97" t="s">
        <v>25</v>
      </c>
      <c r="F302" s="97" t="str">
        <f>VLOOKUP(E302,Emp_Data!$B$2:$C$9,2,)</f>
        <v>Jeff</v>
      </c>
      <c r="G302" s="97" t="s">
        <v>9</v>
      </c>
      <c r="H302" s="97" t="s">
        <v>39</v>
      </c>
      <c r="I302" s="97">
        <v>399</v>
      </c>
      <c r="J302" s="97">
        <v>1</v>
      </c>
      <c r="K302" s="97">
        <f t="shared" si="4"/>
        <v>399</v>
      </c>
      <c r="L302" s="97">
        <f>_xlfn.XLOOKUP(E302,Emp_Data!$B$2:$B$9,Emp_Data!$A$2:$A$9)</f>
        <v>5</v>
      </c>
    </row>
    <row r="303" spans="1:12">
      <c r="A303" s="99">
        <v>1491</v>
      </c>
      <c r="B303" s="101">
        <v>44674</v>
      </c>
      <c r="C303" s="96">
        <v>5</v>
      </c>
      <c r="D303" s="104" t="s">
        <v>16</v>
      </c>
      <c r="E303" s="97" t="s">
        <v>14</v>
      </c>
      <c r="F303" s="97" t="str">
        <f>VLOOKUP(E303,Emp_Data!$B$2:$C$9,2,)</f>
        <v>Jeff</v>
      </c>
      <c r="G303" s="97" t="s">
        <v>15</v>
      </c>
      <c r="H303" s="97" t="s">
        <v>39</v>
      </c>
      <c r="I303" s="97">
        <v>399</v>
      </c>
      <c r="J303" s="97">
        <v>8</v>
      </c>
      <c r="K303" s="97">
        <f t="shared" si="4"/>
        <v>3192</v>
      </c>
      <c r="L303" s="97">
        <f>_xlfn.XLOOKUP(E303,Emp_Data!$B$2:$B$9,Emp_Data!$A$2:$A$9)</f>
        <v>2</v>
      </c>
    </row>
    <row r="304" spans="1:12">
      <c r="A304" s="99">
        <v>1492</v>
      </c>
      <c r="B304" s="101">
        <v>44674</v>
      </c>
      <c r="C304" s="96">
        <v>11</v>
      </c>
      <c r="D304" s="104" t="s">
        <v>38</v>
      </c>
      <c r="E304" s="97" t="s">
        <v>24</v>
      </c>
      <c r="F304" s="97" t="str">
        <f>VLOOKUP(E304,Emp_Data!$B$2:$C$9,2,)</f>
        <v>Steve</v>
      </c>
      <c r="G304" s="97" t="s">
        <v>19</v>
      </c>
      <c r="H304" s="97" t="s">
        <v>39</v>
      </c>
      <c r="I304" s="97">
        <v>399</v>
      </c>
      <c r="J304" s="97">
        <v>6</v>
      </c>
      <c r="K304" s="97">
        <f t="shared" si="4"/>
        <v>2394</v>
      </c>
      <c r="L304" s="97">
        <f>_xlfn.XLOOKUP(E304,Emp_Data!$B$2:$B$9,Emp_Data!$A$2:$A$9)</f>
        <v>6</v>
      </c>
    </row>
    <row r="305" spans="1:12">
      <c r="A305" s="99">
        <v>1493</v>
      </c>
      <c r="B305" s="101">
        <v>44674</v>
      </c>
      <c r="C305" s="96">
        <v>8</v>
      </c>
      <c r="D305" s="104" t="s">
        <v>36</v>
      </c>
      <c r="E305" s="97" t="s">
        <v>11</v>
      </c>
      <c r="F305" s="97" t="str">
        <f>VLOOKUP(E305,Emp_Data!$B$2:$C$9,2,)</f>
        <v>Steve</v>
      </c>
      <c r="G305" s="97" t="s">
        <v>12</v>
      </c>
      <c r="H305" s="97" t="s">
        <v>39</v>
      </c>
      <c r="I305" s="97">
        <v>399</v>
      </c>
      <c r="J305" s="97">
        <v>2</v>
      </c>
      <c r="K305" s="97">
        <f t="shared" si="4"/>
        <v>798</v>
      </c>
      <c r="L305" s="97">
        <f>_xlfn.XLOOKUP(E305,Emp_Data!$B$2:$B$9,Emp_Data!$A$2:$A$9)</f>
        <v>4</v>
      </c>
    </row>
    <row r="306" spans="1:12">
      <c r="A306" s="99">
        <v>1496</v>
      </c>
      <c r="B306" s="101">
        <v>44676</v>
      </c>
      <c r="C306" s="96">
        <v>10</v>
      </c>
      <c r="D306" s="104" t="s">
        <v>34</v>
      </c>
      <c r="E306" s="97" t="s">
        <v>27</v>
      </c>
      <c r="F306" s="97" t="str">
        <f>VLOOKUP(E306,Emp_Data!$B$2:$C$9,2,)</f>
        <v>Philip</v>
      </c>
      <c r="G306" s="97" t="s">
        <v>12</v>
      </c>
      <c r="H306" s="97" t="s">
        <v>39</v>
      </c>
      <c r="I306" s="97">
        <v>399</v>
      </c>
      <c r="J306" s="97">
        <v>5</v>
      </c>
      <c r="K306" s="97">
        <f t="shared" si="4"/>
        <v>1995</v>
      </c>
      <c r="L306" s="97">
        <f>_xlfn.XLOOKUP(E306,Emp_Data!$B$2:$B$9,Emp_Data!$A$2:$A$9)</f>
        <v>8</v>
      </c>
    </row>
    <row r="307" spans="1:12">
      <c r="A307" s="99">
        <v>1504</v>
      </c>
      <c r="B307" s="101">
        <v>44681</v>
      </c>
      <c r="C307" s="96">
        <v>11</v>
      </c>
      <c r="D307" s="104" t="s">
        <v>38</v>
      </c>
      <c r="E307" s="97" t="s">
        <v>18</v>
      </c>
      <c r="F307" s="97" t="str">
        <f>VLOOKUP(E307,Emp_Data!$B$2:$C$9,2,)</f>
        <v>Sara</v>
      </c>
      <c r="G307" s="97" t="s">
        <v>19</v>
      </c>
      <c r="H307" s="97" t="s">
        <v>39</v>
      </c>
      <c r="I307" s="97">
        <v>399</v>
      </c>
      <c r="J307" s="97">
        <v>5</v>
      </c>
      <c r="K307" s="97">
        <f t="shared" si="4"/>
        <v>1995</v>
      </c>
      <c r="L307" s="97">
        <f>_xlfn.XLOOKUP(E307,Emp_Data!$B$2:$B$9,Emp_Data!$A$2:$A$9)</f>
        <v>5</v>
      </c>
    </row>
    <row r="308" spans="1:12">
      <c r="A308" s="99">
        <v>1511</v>
      </c>
      <c r="B308" s="101">
        <v>44684</v>
      </c>
      <c r="C308" s="96">
        <v>16</v>
      </c>
      <c r="D308" s="104" t="s">
        <v>37</v>
      </c>
      <c r="E308" s="97" t="s">
        <v>8</v>
      </c>
      <c r="F308" s="97" t="str">
        <f>VLOOKUP(E308,Emp_Data!$B$2:$C$9,2,)</f>
        <v>Jeff</v>
      </c>
      <c r="G308" s="97" t="s">
        <v>9</v>
      </c>
      <c r="H308" s="97" t="s">
        <v>39</v>
      </c>
      <c r="I308" s="97">
        <v>399</v>
      </c>
      <c r="J308" s="97">
        <v>3</v>
      </c>
      <c r="K308" s="97">
        <f t="shared" si="4"/>
        <v>1197</v>
      </c>
      <c r="L308" s="97">
        <f>_xlfn.XLOOKUP(E308,Emp_Data!$B$2:$B$9,Emp_Data!$A$2:$A$9)</f>
        <v>3</v>
      </c>
    </row>
    <row r="309" spans="1:12">
      <c r="A309" s="99">
        <v>1515</v>
      </c>
      <c r="B309" s="101">
        <v>44684</v>
      </c>
      <c r="C309" s="96">
        <v>18</v>
      </c>
      <c r="D309" s="104" t="s">
        <v>30</v>
      </c>
      <c r="E309" s="97" t="s">
        <v>25</v>
      </c>
      <c r="F309" s="97" t="str">
        <f>VLOOKUP(E309,Emp_Data!$B$2:$C$9,2,)</f>
        <v>Jeff</v>
      </c>
      <c r="G309" s="97" t="s">
        <v>9</v>
      </c>
      <c r="H309" s="97" t="s">
        <v>39</v>
      </c>
      <c r="I309" s="97">
        <v>399</v>
      </c>
      <c r="J309" s="97">
        <v>6</v>
      </c>
      <c r="K309" s="97">
        <f t="shared" si="4"/>
        <v>2394</v>
      </c>
      <c r="L309" s="97">
        <f>_xlfn.XLOOKUP(E309,Emp_Data!$B$2:$B$9,Emp_Data!$A$2:$A$9)</f>
        <v>5</v>
      </c>
    </row>
    <row r="310" spans="1:12">
      <c r="A310" s="99">
        <v>1521</v>
      </c>
      <c r="B310" s="101">
        <v>44686</v>
      </c>
      <c r="C310" s="96">
        <v>19</v>
      </c>
      <c r="D310" s="104" t="s">
        <v>22</v>
      </c>
      <c r="E310" s="97" t="s">
        <v>25</v>
      </c>
      <c r="F310" s="97" t="str">
        <f>VLOOKUP(E310,Emp_Data!$B$2:$C$9,2,)</f>
        <v>Jeff</v>
      </c>
      <c r="G310" s="97" t="s">
        <v>9</v>
      </c>
      <c r="H310" s="97" t="s">
        <v>39</v>
      </c>
      <c r="I310" s="97">
        <v>399</v>
      </c>
      <c r="J310" s="97">
        <v>5</v>
      </c>
      <c r="K310" s="97">
        <f t="shared" si="4"/>
        <v>1995</v>
      </c>
      <c r="L310" s="97">
        <f>_xlfn.XLOOKUP(E310,Emp_Data!$B$2:$B$9,Emp_Data!$A$2:$A$9)</f>
        <v>5</v>
      </c>
    </row>
    <row r="311" spans="1:12">
      <c r="A311" s="99">
        <v>1530</v>
      </c>
      <c r="B311" s="101">
        <v>44688</v>
      </c>
      <c r="C311" s="96">
        <v>15</v>
      </c>
      <c r="D311" s="104" t="s">
        <v>29</v>
      </c>
      <c r="E311" s="97" t="s">
        <v>18</v>
      </c>
      <c r="F311" s="97" t="str">
        <f>VLOOKUP(E311,Emp_Data!$B$2:$C$9,2,)</f>
        <v>Sara</v>
      </c>
      <c r="G311" s="97" t="s">
        <v>19</v>
      </c>
      <c r="H311" s="97" t="s">
        <v>39</v>
      </c>
      <c r="I311" s="97">
        <v>399</v>
      </c>
      <c r="J311" s="97">
        <v>0</v>
      </c>
      <c r="K311" s="97">
        <f t="shared" si="4"/>
        <v>0</v>
      </c>
      <c r="L311" s="97">
        <f>_xlfn.XLOOKUP(E311,Emp_Data!$B$2:$B$9,Emp_Data!$A$2:$A$9)</f>
        <v>5</v>
      </c>
    </row>
    <row r="312" spans="1:12">
      <c r="A312" s="99">
        <v>1537</v>
      </c>
      <c r="B312" s="101">
        <v>44691</v>
      </c>
      <c r="C312" s="96">
        <v>17</v>
      </c>
      <c r="D312" s="104" t="s">
        <v>32</v>
      </c>
      <c r="E312" s="97" t="s">
        <v>25</v>
      </c>
      <c r="F312" s="97" t="str">
        <f>VLOOKUP(E312,Emp_Data!$B$2:$C$9,2,)</f>
        <v>Jeff</v>
      </c>
      <c r="G312" s="97" t="s">
        <v>9</v>
      </c>
      <c r="H312" s="97" t="s">
        <v>39</v>
      </c>
      <c r="I312" s="97">
        <v>399</v>
      </c>
      <c r="J312" s="97">
        <v>1</v>
      </c>
      <c r="K312" s="97">
        <f t="shared" si="4"/>
        <v>399</v>
      </c>
      <c r="L312" s="97">
        <f>_xlfn.XLOOKUP(E312,Emp_Data!$B$2:$B$9,Emp_Data!$A$2:$A$9)</f>
        <v>5</v>
      </c>
    </row>
    <row r="313" spans="1:12">
      <c r="A313" s="99">
        <v>1543</v>
      </c>
      <c r="B313" s="101">
        <v>44694</v>
      </c>
      <c r="C313" s="96">
        <v>11</v>
      </c>
      <c r="D313" s="104" t="s">
        <v>38</v>
      </c>
      <c r="E313" s="97" t="s">
        <v>24</v>
      </c>
      <c r="F313" s="97" t="str">
        <f>VLOOKUP(E313,Emp_Data!$B$2:$C$9,2,)</f>
        <v>Steve</v>
      </c>
      <c r="G313" s="97" t="s">
        <v>19</v>
      </c>
      <c r="H313" s="97" t="s">
        <v>39</v>
      </c>
      <c r="I313" s="97">
        <v>399</v>
      </c>
      <c r="J313" s="97">
        <v>2</v>
      </c>
      <c r="K313" s="97">
        <f t="shared" si="4"/>
        <v>798</v>
      </c>
      <c r="L313" s="97">
        <f>_xlfn.XLOOKUP(E313,Emp_Data!$B$2:$B$9,Emp_Data!$A$2:$A$9)</f>
        <v>6</v>
      </c>
    </row>
    <row r="314" spans="1:12">
      <c r="A314" s="99">
        <v>1545</v>
      </c>
      <c r="B314" s="101">
        <v>44695</v>
      </c>
      <c r="C314" s="96">
        <v>11</v>
      </c>
      <c r="D314" s="104" t="s">
        <v>38</v>
      </c>
      <c r="E314" s="97" t="s">
        <v>18</v>
      </c>
      <c r="F314" s="97" t="str">
        <f>VLOOKUP(E314,Emp_Data!$B$2:$C$9,2,)</f>
        <v>Sara</v>
      </c>
      <c r="G314" s="97" t="s">
        <v>19</v>
      </c>
      <c r="H314" s="97" t="s">
        <v>39</v>
      </c>
      <c r="I314" s="97">
        <v>399</v>
      </c>
      <c r="J314" s="97">
        <v>6</v>
      </c>
      <c r="K314" s="97">
        <f t="shared" si="4"/>
        <v>2394</v>
      </c>
      <c r="L314" s="97">
        <f>_xlfn.XLOOKUP(E314,Emp_Data!$B$2:$B$9,Emp_Data!$A$2:$A$9)</f>
        <v>5</v>
      </c>
    </row>
    <row r="315" spans="1:12">
      <c r="A315" s="99">
        <v>1551</v>
      </c>
      <c r="B315" s="101">
        <v>44698</v>
      </c>
      <c r="C315" s="96">
        <v>1</v>
      </c>
      <c r="D315" s="104" t="s">
        <v>31</v>
      </c>
      <c r="E315" s="97" t="s">
        <v>21</v>
      </c>
      <c r="F315" s="97" t="str">
        <f>VLOOKUP(E315,Emp_Data!$B$2:$C$9,2,)</f>
        <v>Sara</v>
      </c>
      <c r="G315" s="97" t="s">
        <v>15</v>
      </c>
      <c r="H315" s="97" t="s">
        <v>39</v>
      </c>
      <c r="I315" s="97">
        <v>399</v>
      </c>
      <c r="J315" s="97">
        <v>7</v>
      </c>
      <c r="K315" s="97">
        <f t="shared" si="4"/>
        <v>2793</v>
      </c>
      <c r="L315" s="97">
        <f>_xlfn.XLOOKUP(E315,Emp_Data!$B$2:$B$9,Emp_Data!$A$2:$A$9)</f>
        <v>2</v>
      </c>
    </row>
    <row r="316" spans="1:12">
      <c r="A316" s="99">
        <v>1558</v>
      </c>
      <c r="B316" s="101">
        <v>44699</v>
      </c>
      <c r="C316" s="96">
        <v>2</v>
      </c>
      <c r="D316" s="104" t="s">
        <v>35</v>
      </c>
      <c r="E316" s="97" t="s">
        <v>21</v>
      </c>
      <c r="F316" s="97" t="str">
        <f>VLOOKUP(E316,Emp_Data!$B$2:$C$9,2,)</f>
        <v>Sara</v>
      </c>
      <c r="G316" s="97" t="s">
        <v>15</v>
      </c>
      <c r="H316" s="97" t="s">
        <v>39</v>
      </c>
      <c r="I316" s="97">
        <v>399</v>
      </c>
      <c r="J316" s="97">
        <v>4</v>
      </c>
      <c r="K316" s="97">
        <f t="shared" si="4"/>
        <v>1596</v>
      </c>
      <c r="L316" s="97">
        <f>_xlfn.XLOOKUP(E316,Emp_Data!$B$2:$B$9,Emp_Data!$A$2:$A$9)</f>
        <v>2</v>
      </c>
    </row>
    <row r="317" spans="1:12">
      <c r="A317" s="99">
        <v>1559</v>
      </c>
      <c r="B317" s="101">
        <v>44700</v>
      </c>
      <c r="C317" s="96">
        <v>10</v>
      </c>
      <c r="D317" s="104" t="s">
        <v>34</v>
      </c>
      <c r="E317" s="97" t="s">
        <v>27</v>
      </c>
      <c r="F317" s="97" t="str">
        <f>VLOOKUP(E317,Emp_Data!$B$2:$C$9,2,)</f>
        <v>Philip</v>
      </c>
      <c r="G317" s="97" t="s">
        <v>12</v>
      </c>
      <c r="H317" s="97" t="s">
        <v>39</v>
      </c>
      <c r="I317" s="97">
        <v>399</v>
      </c>
      <c r="J317" s="97">
        <v>1</v>
      </c>
      <c r="K317" s="97">
        <f t="shared" si="4"/>
        <v>399</v>
      </c>
      <c r="L317" s="97">
        <f>_xlfn.XLOOKUP(E317,Emp_Data!$B$2:$B$9,Emp_Data!$A$2:$A$9)</f>
        <v>8</v>
      </c>
    </row>
    <row r="318" spans="1:12">
      <c r="A318" s="99">
        <v>1563</v>
      </c>
      <c r="B318" s="101">
        <v>44701</v>
      </c>
      <c r="C318" s="96">
        <v>19</v>
      </c>
      <c r="D318" s="104" t="s">
        <v>22</v>
      </c>
      <c r="E318" s="97" t="s">
        <v>8</v>
      </c>
      <c r="F318" s="97" t="str">
        <f>VLOOKUP(E318,Emp_Data!$B$2:$C$9,2,)</f>
        <v>Jeff</v>
      </c>
      <c r="G318" s="97" t="s">
        <v>9</v>
      </c>
      <c r="H318" s="97" t="s">
        <v>39</v>
      </c>
      <c r="I318" s="97">
        <v>399</v>
      </c>
      <c r="J318" s="97">
        <v>8</v>
      </c>
      <c r="K318" s="97">
        <f t="shared" si="4"/>
        <v>3192</v>
      </c>
      <c r="L318" s="97">
        <f>_xlfn.XLOOKUP(E318,Emp_Data!$B$2:$B$9,Emp_Data!$A$2:$A$9)</f>
        <v>3</v>
      </c>
    </row>
    <row r="319" spans="1:12">
      <c r="A319" s="99">
        <v>1572</v>
      </c>
      <c r="B319" s="101">
        <v>44705</v>
      </c>
      <c r="C319" s="96">
        <v>14</v>
      </c>
      <c r="D319" s="104" t="s">
        <v>33</v>
      </c>
      <c r="E319" s="97" t="s">
        <v>24</v>
      </c>
      <c r="F319" s="97" t="str">
        <f>VLOOKUP(E319,Emp_Data!$B$2:$C$9,2,)</f>
        <v>Steve</v>
      </c>
      <c r="G319" s="97" t="s">
        <v>19</v>
      </c>
      <c r="H319" s="97" t="s">
        <v>39</v>
      </c>
      <c r="I319" s="97">
        <v>399</v>
      </c>
      <c r="J319" s="97">
        <v>4</v>
      </c>
      <c r="K319" s="97">
        <f t="shared" si="4"/>
        <v>1596</v>
      </c>
      <c r="L319" s="97">
        <f>_xlfn.XLOOKUP(E319,Emp_Data!$B$2:$B$9,Emp_Data!$A$2:$A$9)</f>
        <v>6</v>
      </c>
    </row>
    <row r="320" spans="1:12">
      <c r="A320" s="99">
        <v>1576</v>
      </c>
      <c r="B320" s="101">
        <v>44706</v>
      </c>
      <c r="C320" s="96">
        <v>12</v>
      </c>
      <c r="D320" s="104" t="s">
        <v>17</v>
      </c>
      <c r="E320" s="97" t="s">
        <v>24</v>
      </c>
      <c r="F320" s="97" t="str">
        <f>VLOOKUP(E320,Emp_Data!$B$2:$C$9,2,)</f>
        <v>Steve</v>
      </c>
      <c r="G320" s="97" t="s">
        <v>19</v>
      </c>
      <c r="H320" s="97" t="s">
        <v>39</v>
      </c>
      <c r="I320" s="97">
        <v>399</v>
      </c>
      <c r="J320" s="97">
        <v>2</v>
      </c>
      <c r="K320" s="97">
        <f t="shared" si="4"/>
        <v>798</v>
      </c>
      <c r="L320" s="97">
        <f>_xlfn.XLOOKUP(E320,Emp_Data!$B$2:$B$9,Emp_Data!$A$2:$A$9)</f>
        <v>6</v>
      </c>
    </row>
    <row r="321" spans="1:12">
      <c r="A321" s="99">
        <v>1594</v>
      </c>
      <c r="B321" s="101">
        <v>44708</v>
      </c>
      <c r="C321" s="96">
        <v>11</v>
      </c>
      <c r="D321" s="104" t="s">
        <v>38</v>
      </c>
      <c r="E321" s="97" t="s">
        <v>24</v>
      </c>
      <c r="F321" s="97" t="str">
        <f>VLOOKUP(E321,Emp_Data!$B$2:$C$9,2,)</f>
        <v>Steve</v>
      </c>
      <c r="G321" s="97" t="s">
        <v>19</v>
      </c>
      <c r="H321" s="97" t="s">
        <v>39</v>
      </c>
      <c r="I321" s="97">
        <v>399</v>
      </c>
      <c r="J321" s="97">
        <v>0</v>
      </c>
      <c r="K321" s="97">
        <f t="shared" si="4"/>
        <v>0</v>
      </c>
      <c r="L321" s="97">
        <f>_xlfn.XLOOKUP(E321,Emp_Data!$B$2:$B$9,Emp_Data!$A$2:$A$9)</f>
        <v>6</v>
      </c>
    </row>
    <row r="322" spans="1:12">
      <c r="A322" s="99">
        <v>1601</v>
      </c>
      <c r="B322" s="101">
        <v>44710</v>
      </c>
      <c r="C322" s="96">
        <v>17</v>
      </c>
      <c r="D322" s="104" t="s">
        <v>32</v>
      </c>
      <c r="E322" s="97" t="s">
        <v>25</v>
      </c>
      <c r="F322" s="97" t="str">
        <f>VLOOKUP(E322,Emp_Data!$B$2:$C$9,2,)</f>
        <v>Jeff</v>
      </c>
      <c r="G322" s="97" t="s">
        <v>9</v>
      </c>
      <c r="H322" s="97" t="s">
        <v>39</v>
      </c>
      <c r="I322" s="97">
        <v>399</v>
      </c>
      <c r="J322" s="97">
        <v>2</v>
      </c>
      <c r="K322" s="97">
        <f t="shared" si="4"/>
        <v>798</v>
      </c>
      <c r="L322" s="97">
        <f>_xlfn.XLOOKUP(E322,Emp_Data!$B$2:$B$9,Emp_Data!$A$2:$A$9)</f>
        <v>5</v>
      </c>
    </row>
    <row r="323" spans="1:12">
      <c r="A323" s="99">
        <v>1620</v>
      </c>
      <c r="B323" s="101">
        <v>44717</v>
      </c>
      <c r="C323" s="96">
        <v>9</v>
      </c>
      <c r="D323" s="104" t="s">
        <v>26</v>
      </c>
      <c r="E323" s="97" t="s">
        <v>11</v>
      </c>
      <c r="F323" s="97" t="str">
        <f>VLOOKUP(E323,Emp_Data!$B$2:$C$9,2,)</f>
        <v>Steve</v>
      </c>
      <c r="G323" s="97" t="s">
        <v>12</v>
      </c>
      <c r="H323" s="97" t="s">
        <v>39</v>
      </c>
      <c r="I323" s="97">
        <v>399</v>
      </c>
      <c r="J323" s="97">
        <v>0</v>
      </c>
      <c r="K323" s="97">
        <f t="shared" ref="K323:K386" si="5">SUMPRODUCT(I323,J323)</f>
        <v>0</v>
      </c>
      <c r="L323" s="97">
        <f>_xlfn.XLOOKUP(E323,Emp_Data!$B$2:$B$9,Emp_Data!$A$2:$A$9)</f>
        <v>4</v>
      </c>
    </row>
    <row r="324" spans="1:12">
      <c r="A324" s="99">
        <v>1627</v>
      </c>
      <c r="B324" s="101">
        <v>44718</v>
      </c>
      <c r="C324" s="96">
        <v>5</v>
      </c>
      <c r="D324" s="104" t="s">
        <v>16</v>
      </c>
      <c r="E324" s="97" t="s">
        <v>21</v>
      </c>
      <c r="F324" s="97" t="str">
        <f>VLOOKUP(E324,Emp_Data!$B$2:$C$9,2,)</f>
        <v>Sara</v>
      </c>
      <c r="G324" s="97" t="s">
        <v>15</v>
      </c>
      <c r="H324" s="97" t="s">
        <v>39</v>
      </c>
      <c r="I324" s="97">
        <v>399</v>
      </c>
      <c r="J324" s="97">
        <v>6</v>
      </c>
      <c r="K324" s="97">
        <f t="shared" si="5"/>
        <v>2394</v>
      </c>
      <c r="L324" s="97">
        <f>_xlfn.XLOOKUP(E324,Emp_Data!$B$2:$B$9,Emp_Data!$A$2:$A$9)</f>
        <v>2</v>
      </c>
    </row>
    <row r="325" spans="1:12">
      <c r="A325" s="99">
        <v>1629</v>
      </c>
      <c r="B325" s="101">
        <v>44718</v>
      </c>
      <c r="C325" s="96">
        <v>9</v>
      </c>
      <c r="D325" s="104" t="s">
        <v>26</v>
      </c>
      <c r="E325" s="97" t="s">
        <v>11</v>
      </c>
      <c r="F325" s="97" t="str">
        <f>VLOOKUP(E325,Emp_Data!$B$2:$C$9,2,)</f>
        <v>Steve</v>
      </c>
      <c r="G325" s="97" t="s">
        <v>12</v>
      </c>
      <c r="H325" s="97" t="s">
        <v>39</v>
      </c>
      <c r="I325" s="97">
        <v>399</v>
      </c>
      <c r="J325" s="97">
        <v>0</v>
      </c>
      <c r="K325" s="97">
        <f t="shared" si="5"/>
        <v>0</v>
      </c>
      <c r="L325" s="97">
        <f>_xlfn.XLOOKUP(E325,Emp_Data!$B$2:$B$9,Emp_Data!$A$2:$A$9)</f>
        <v>4</v>
      </c>
    </row>
    <row r="326" spans="1:12">
      <c r="A326" s="99">
        <v>1632</v>
      </c>
      <c r="B326" s="101">
        <v>44718</v>
      </c>
      <c r="C326" s="96">
        <v>1</v>
      </c>
      <c r="D326" s="104" t="s">
        <v>31</v>
      </c>
      <c r="E326" s="97" t="s">
        <v>21</v>
      </c>
      <c r="F326" s="97" t="str">
        <f>VLOOKUP(E326,Emp_Data!$B$2:$C$9,2,)</f>
        <v>Sara</v>
      </c>
      <c r="G326" s="97" t="s">
        <v>15</v>
      </c>
      <c r="H326" s="97" t="s">
        <v>39</v>
      </c>
      <c r="I326" s="97">
        <v>399</v>
      </c>
      <c r="J326" s="97">
        <v>0</v>
      </c>
      <c r="K326" s="97">
        <f t="shared" si="5"/>
        <v>0</v>
      </c>
      <c r="L326" s="97">
        <f>_xlfn.XLOOKUP(E326,Emp_Data!$B$2:$B$9,Emp_Data!$A$2:$A$9)</f>
        <v>2</v>
      </c>
    </row>
    <row r="327" spans="1:12">
      <c r="A327" s="99">
        <v>1637</v>
      </c>
      <c r="B327" s="101">
        <v>44720</v>
      </c>
      <c r="C327" s="96">
        <v>10</v>
      </c>
      <c r="D327" s="104" t="s">
        <v>34</v>
      </c>
      <c r="E327" s="97" t="s">
        <v>11</v>
      </c>
      <c r="F327" s="97" t="str">
        <f>VLOOKUP(E327,Emp_Data!$B$2:$C$9,2,)</f>
        <v>Steve</v>
      </c>
      <c r="G327" s="97" t="s">
        <v>12</v>
      </c>
      <c r="H327" s="97" t="s">
        <v>39</v>
      </c>
      <c r="I327" s="97">
        <v>399</v>
      </c>
      <c r="J327" s="97">
        <v>5</v>
      </c>
      <c r="K327" s="97">
        <f t="shared" si="5"/>
        <v>1995</v>
      </c>
      <c r="L327" s="97">
        <f>_xlfn.XLOOKUP(E327,Emp_Data!$B$2:$B$9,Emp_Data!$A$2:$A$9)</f>
        <v>4</v>
      </c>
    </row>
    <row r="328" spans="1:12">
      <c r="A328" s="99">
        <v>1639</v>
      </c>
      <c r="B328" s="101">
        <v>44720</v>
      </c>
      <c r="C328" s="96">
        <v>20</v>
      </c>
      <c r="D328" s="104" t="s">
        <v>7</v>
      </c>
      <c r="E328" s="97" t="s">
        <v>25</v>
      </c>
      <c r="F328" s="97" t="str">
        <f>VLOOKUP(E328,Emp_Data!$B$2:$C$9,2,)</f>
        <v>Jeff</v>
      </c>
      <c r="G328" s="97" t="s">
        <v>9</v>
      </c>
      <c r="H328" s="97" t="s">
        <v>39</v>
      </c>
      <c r="I328" s="97">
        <v>399</v>
      </c>
      <c r="J328" s="97">
        <v>6</v>
      </c>
      <c r="K328" s="97">
        <f t="shared" si="5"/>
        <v>2394</v>
      </c>
      <c r="L328" s="97">
        <f>_xlfn.XLOOKUP(E328,Emp_Data!$B$2:$B$9,Emp_Data!$A$2:$A$9)</f>
        <v>5</v>
      </c>
    </row>
    <row r="329" spans="1:12">
      <c r="A329" s="99">
        <v>1642</v>
      </c>
      <c r="B329" s="101">
        <v>44720</v>
      </c>
      <c r="C329" s="96">
        <v>17</v>
      </c>
      <c r="D329" s="104" t="s">
        <v>32</v>
      </c>
      <c r="E329" s="97" t="s">
        <v>25</v>
      </c>
      <c r="F329" s="97" t="str">
        <f>VLOOKUP(E329,Emp_Data!$B$2:$C$9,2,)</f>
        <v>Jeff</v>
      </c>
      <c r="G329" s="97" t="s">
        <v>9</v>
      </c>
      <c r="H329" s="97" t="s">
        <v>39</v>
      </c>
      <c r="I329" s="97">
        <v>399</v>
      </c>
      <c r="J329" s="97">
        <v>9</v>
      </c>
      <c r="K329" s="97">
        <f t="shared" si="5"/>
        <v>3591</v>
      </c>
      <c r="L329" s="97">
        <f>_xlfn.XLOOKUP(E329,Emp_Data!$B$2:$B$9,Emp_Data!$A$2:$A$9)</f>
        <v>5</v>
      </c>
    </row>
    <row r="330" spans="1:12">
      <c r="A330" s="99">
        <v>1644</v>
      </c>
      <c r="B330" s="101">
        <v>44721</v>
      </c>
      <c r="C330" s="96">
        <v>4</v>
      </c>
      <c r="D330" s="104" t="s">
        <v>13</v>
      </c>
      <c r="E330" s="97" t="s">
        <v>14</v>
      </c>
      <c r="F330" s="97" t="str">
        <f>VLOOKUP(E330,Emp_Data!$B$2:$C$9,2,)</f>
        <v>Jeff</v>
      </c>
      <c r="G330" s="97" t="s">
        <v>15</v>
      </c>
      <c r="H330" s="97" t="s">
        <v>39</v>
      </c>
      <c r="I330" s="97">
        <v>399</v>
      </c>
      <c r="J330" s="97">
        <v>6</v>
      </c>
      <c r="K330" s="97">
        <f t="shared" si="5"/>
        <v>2394</v>
      </c>
      <c r="L330" s="97">
        <f>_xlfn.XLOOKUP(E330,Emp_Data!$B$2:$B$9,Emp_Data!$A$2:$A$9)</f>
        <v>2</v>
      </c>
    </row>
    <row r="331" spans="1:12">
      <c r="A331" s="99">
        <v>1645</v>
      </c>
      <c r="B331" s="101">
        <v>44721</v>
      </c>
      <c r="C331" s="96">
        <v>11</v>
      </c>
      <c r="D331" s="104" t="s">
        <v>38</v>
      </c>
      <c r="E331" s="97" t="s">
        <v>18</v>
      </c>
      <c r="F331" s="97" t="str">
        <f>VLOOKUP(E331,Emp_Data!$B$2:$C$9,2,)</f>
        <v>Sara</v>
      </c>
      <c r="G331" s="97" t="s">
        <v>19</v>
      </c>
      <c r="H331" s="97" t="s">
        <v>39</v>
      </c>
      <c r="I331" s="97">
        <v>399</v>
      </c>
      <c r="J331" s="97">
        <v>3</v>
      </c>
      <c r="K331" s="97">
        <f t="shared" si="5"/>
        <v>1197</v>
      </c>
      <c r="L331" s="97">
        <f>_xlfn.XLOOKUP(E331,Emp_Data!$B$2:$B$9,Emp_Data!$A$2:$A$9)</f>
        <v>5</v>
      </c>
    </row>
    <row r="332" spans="1:12">
      <c r="A332" s="99">
        <v>1648</v>
      </c>
      <c r="B332" s="101">
        <v>44722</v>
      </c>
      <c r="C332" s="96">
        <v>1</v>
      </c>
      <c r="D332" s="104" t="s">
        <v>31</v>
      </c>
      <c r="E332" s="97" t="s">
        <v>21</v>
      </c>
      <c r="F332" s="97" t="str">
        <f>VLOOKUP(E332,Emp_Data!$B$2:$C$9,2,)</f>
        <v>Sara</v>
      </c>
      <c r="G332" s="97" t="s">
        <v>15</v>
      </c>
      <c r="H332" s="97" t="s">
        <v>39</v>
      </c>
      <c r="I332" s="97">
        <v>399</v>
      </c>
      <c r="J332" s="97">
        <v>2</v>
      </c>
      <c r="K332" s="97">
        <f t="shared" si="5"/>
        <v>798</v>
      </c>
      <c r="L332" s="97">
        <f>_xlfn.XLOOKUP(E332,Emp_Data!$B$2:$B$9,Emp_Data!$A$2:$A$9)</f>
        <v>2</v>
      </c>
    </row>
    <row r="333" spans="1:12">
      <c r="A333" s="99">
        <v>1650</v>
      </c>
      <c r="B333" s="101">
        <v>44723</v>
      </c>
      <c r="C333" s="96">
        <v>9</v>
      </c>
      <c r="D333" s="104" t="s">
        <v>26</v>
      </c>
      <c r="E333" s="97" t="s">
        <v>27</v>
      </c>
      <c r="F333" s="97" t="str">
        <f>VLOOKUP(E333,Emp_Data!$B$2:$C$9,2,)</f>
        <v>Philip</v>
      </c>
      <c r="G333" s="97" t="s">
        <v>12</v>
      </c>
      <c r="H333" s="97" t="s">
        <v>39</v>
      </c>
      <c r="I333" s="97">
        <v>399</v>
      </c>
      <c r="J333" s="97">
        <v>3</v>
      </c>
      <c r="K333" s="97">
        <f t="shared" si="5"/>
        <v>1197</v>
      </c>
      <c r="L333" s="97">
        <f>_xlfn.XLOOKUP(E333,Emp_Data!$B$2:$B$9,Emp_Data!$A$2:$A$9)</f>
        <v>8</v>
      </c>
    </row>
    <row r="334" spans="1:12">
      <c r="A334" s="99">
        <v>1654</v>
      </c>
      <c r="B334" s="101">
        <v>44725</v>
      </c>
      <c r="C334" s="96">
        <v>3</v>
      </c>
      <c r="D334" s="104" t="s">
        <v>20</v>
      </c>
      <c r="E334" s="97" t="s">
        <v>14</v>
      </c>
      <c r="F334" s="97" t="str">
        <f>VLOOKUP(E334,Emp_Data!$B$2:$C$9,2,)</f>
        <v>Jeff</v>
      </c>
      <c r="G334" s="97" t="s">
        <v>15</v>
      </c>
      <c r="H334" s="97" t="s">
        <v>39</v>
      </c>
      <c r="I334" s="97">
        <v>399</v>
      </c>
      <c r="J334" s="97">
        <v>5</v>
      </c>
      <c r="K334" s="97">
        <f t="shared" si="5"/>
        <v>1995</v>
      </c>
      <c r="L334" s="97">
        <f>_xlfn.XLOOKUP(E334,Emp_Data!$B$2:$B$9,Emp_Data!$A$2:$A$9)</f>
        <v>2</v>
      </c>
    </row>
    <row r="335" spans="1:12">
      <c r="A335" s="99">
        <v>1657</v>
      </c>
      <c r="B335" s="101">
        <v>44726</v>
      </c>
      <c r="C335" s="96">
        <v>10</v>
      </c>
      <c r="D335" s="104" t="s">
        <v>34</v>
      </c>
      <c r="E335" s="97" t="s">
        <v>11</v>
      </c>
      <c r="F335" s="97" t="str">
        <f>VLOOKUP(E335,Emp_Data!$B$2:$C$9,2,)</f>
        <v>Steve</v>
      </c>
      <c r="G335" s="97" t="s">
        <v>12</v>
      </c>
      <c r="H335" s="97" t="s">
        <v>39</v>
      </c>
      <c r="I335" s="97">
        <v>399</v>
      </c>
      <c r="J335" s="97">
        <v>8</v>
      </c>
      <c r="K335" s="97">
        <f t="shared" si="5"/>
        <v>3192</v>
      </c>
      <c r="L335" s="97">
        <f>_xlfn.XLOOKUP(E335,Emp_Data!$B$2:$B$9,Emp_Data!$A$2:$A$9)</f>
        <v>4</v>
      </c>
    </row>
    <row r="336" spans="1:12">
      <c r="A336" s="99">
        <v>1658</v>
      </c>
      <c r="B336" s="101">
        <v>44726</v>
      </c>
      <c r="C336" s="96">
        <v>3</v>
      </c>
      <c r="D336" s="104" t="s">
        <v>20</v>
      </c>
      <c r="E336" s="97" t="s">
        <v>14</v>
      </c>
      <c r="F336" s="97" t="str">
        <f>VLOOKUP(E336,Emp_Data!$B$2:$C$9,2,)</f>
        <v>Jeff</v>
      </c>
      <c r="G336" s="97" t="s">
        <v>15</v>
      </c>
      <c r="H336" s="97" t="s">
        <v>39</v>
      </c>
      <c r="I336" s="97">
        <v>399</v>
      </c>
      <c r="J336" s="97">
        <v>8</v>
      </c>
      <c r="K336" s="97">
        <f t="shared" si="5"/>
        <v>3192</v>
      </c>
      <c r="L336" s="97">
        <f>_xlfn.XLOOKUP(E336,Emp_Data!$B$2:$B$9,Emp_Data!$A$2:$A$9)</f>
        <v>2</v>
      </c>
    </row>
    <row r="337" spans="1:12">
      <c r="A337" s="99">
        <v>1664</v>
      </c>
      <c r="B337" s="101">
        <v>44727</v>
      </c>
      <c r="C337" s="96">
        <v>13</v>
      </c>
      <c r="D337" s="104" t="s">
        <v>23</v>
      </c>
      <c r="E337" s="97" t="s">
        <v>24</v>
      </c>
      <c r="F337" s="97" t="str">
        <f>VLOOKUP(E337,Emp_Data!$B$2:$C$9,2,)</f>
        <v>Steve</v>
      </c>
      <c r="G337" s="97" t="s">
        <v>19</v>
      </c>
      <c r="H337" s="97" t="s">
        <v>39</v>
      </c>
      <c r="I337" s="97">
        <v>399</v>
      </c>
      <c r="J337" s="97">
        <v>7</v>
      </c>
      <c r="K337" s="97">
        <f t="shared" si="5"/>
        <v>2793</v>
      </c>
      <c r="L337" s="97">
        <f>_xlfn.XLOOKUP(E337,Emp_Data!$B$2:$B$9,Emp_Data!$A$2:$A$9)</f>
        <v>6</v>
      </c>
    </row>
    <row r="338" spans="1:12">
      <c r="A338" s="99">
        <v>1667</v>
      </c>
      <c r="B338" s="101">
        <v>44728</v>
      </c>
      <c r="C338" s="96">
        <v>8</v>
      </c>
      <c r="D338" s="104" t="s">
        <v>36</v>
      </c>
      <c r="E338" s="97" t="s">
        <v>11</v>
      </c>
      <c r="F338" s="97" t="str">
        <f>VLOOKUP(E338,Emp_Data!$B$2:$C$9,2,)</f>
        <v>Steve</v>
      </c>
      <c r="G338" s="97" t="s">
        <v>12</v>
      </c>
      <c r="H338" s="97" t="s">
        <v>39</v>
      </c>
      <c r="I338" s="97">
        <v>399</v>
      </c>
      <c r="J338" s="97">
        <v>2</v>
      </c>
      <c r="K338" s="97">
        <f t="shared" si="5"/>
        <v>798</v>
      </c>
      <c r="L338" s="97">
        <f>_xlfn.XLOOKUP(E338,Emp_Data!$B$2:$B$9,Emp_Data!$A$2:$A$9)</f>
        <v>4</v>
      </c>
    </row>
    <row r="339" spans="1:12">
      <c r="A339" s="99">
        <v>1674</v>
      </c>
      <c r="B339" s="101">
        <v>44730</v>
      </c>
      <c r="C339" s="96">
        <v>17</v>
      </c>
      <c r="D339" s="104" t="s">
        <v>32</v>
      </c>
      <c r="E339" s="97" t="s">
        <v>8</v>
      </c>
      <c r="F339" s="97" t="str">
        <f>VLOOKUP(E339,Emp_Data!$B$2:$C$9,2,)</f>
        <v>Jeff</v>
      </c>
      <c r="G339" s="97" t="s">
        <v>9</v>
      </c>
      <c r="H339" s="97" t="s">
        <v>39</v>
      </c>
      <c r="I339" s="97">
        <v>399</v>
      </c>
      <c r="J339" s="97">
        <v>3</v>
      </c>
      <c r="K339" s="97">
        <f t="shared" si="5"/>
        <v>1197</v>
      </c>
      <c r="L339" s="97">
        <f>_xlfn.XLOOKUP(E339,Emp_Data!$B$2:$B$9,Emp_Data!$A$2:$A$9)</f>
        <v>3</v>
      </c>
    </row>
    <row r="340" spans="1:12">
      <c r="A340" s="99">
        <v>1688</v>
      </c>
      <c r="B340" s="101">
        <v>44736</v>
      </c>
      <c r="C340" s="96">
        <v>13</v>
      </c>
      <c r="D340" s="104" t="s">
        <v>23</v>
      </c>
      <c r="E340" s="97" t="s">
        <v>18</v>
      </c>
      <c r="F340" s="97" t="str">
        <f>VLOOKUP(E340,Emp_Data!$B$2:$C$9,2,)</f>
        <v>Sara</v>
      </c>
      <c r="G340" s="97" t="s">
        <v>19</v>
      </c>
      <c r="H340" s="97" t="s">
        <v>39</v>
      </c>
      <c r="I340" s="97">
        <v>399</v>
      </c>
      <c r="J340" s="97">
        <v>5</v>
      </c>
      <c r="K340" s="97">
        <f t="shared" si="5"/>
        <v>1995</v>
      </c>
      <c r="L340" s="97">
        <f>_xlfn.XLOOKUP(E340,Emp_Data!$B$2:$B$9,Emp_Data!$A$2:$A$9)</f>
        <v>5</v>
      </c>
    </row>
    <row r="341" spans="1:12">
      <c r="A341" s="99">
        <v>1689</v>
      </c>
      <c r="B341" s="101">
        <v>44737</v>
      </c>
      <c r="C341" s="96">
        <v>16</v>
      </c>
      <c r="D341" s="104" t="s">
        <v>37</v>
      </c>
      <c r="E341" s="97" t="s">
        <v>8</v>
      </c>
      <c r="F341" s="97" t="str">
        <f>VLOOKUP(E341,Emp_Data!$B$2:$C$9,2,)</f>
        <v>Jeff</v>
      </c>
      <c r="G341" s="97" t="s">
        <v>9</v>
      </c>
      <c r="H341" s="97" t="s">
        <v>39</v>
      </c>
      <c r="I341" s="97">
        <v>399</v>
      </c>
      <c r="J341" s="97">
        <v>6</v>
      </c>
      <c r="K341" s="97">
        <f t="shared" si="5"/>
        <v>2394</v>
      </c>
      <c r="L341" s="97">
        <f>_xlfn.XLOOKUP(E341,Emp_Data!$B$2:$B$9,Emp_Data!$A$2:$A$9)</f>
        <v>3</v>
      </c>
    </row>
    <row r="342" spans="1:12">
      <c r="A342" s="99">
        <v>1690</v>
      </c>
      <c r="B342" s="101">
        <v>44738</v>
      </c>
      <c r="C342" s="96">
        <v>7</v>
      </c>
      <c r="D342" s="104" t="s">
        <v>28</v>
      </c>
      <c r="E342" s="97" t="s">
        <v>11</v>
      </c>
      <c r="F342" s="97" t="str">
        <f>VLOOKUP(E342,Emp_Data!$B$2:$C$9,2,)</f>
        <v>Steve</v>
      </c>
      <c r="G342" s="97" t="s">
        <v>12</v>
      </c>
      <c r="H342" s="97" t="s">
        <v>39</v>
      </c>
      <c r="I342" s="97">
        <v>399</v>
      </c>
      <c r="J342" s="97">
        <v>4</v>
      </c>
      <c r="K342" s="97">
        <f t="shared" si="5"/>
        <v>1596</v>
      </c>
      <c r="L342" s="97">
        <f>_xlfn.XLOOKUP(E342,Emp_Data!$B$2:$B$9,Emp_Data!$A$2:$A$9)</f>
        <v>4</v>
      </c>
    </row>
    <row r="343" spans="1:12">
      <c r="A343" s="99">
        <v>1694</v>
      </c>
      <c r="B343" s="101">
        <v>44741</v>
      </c>
      <c r="C343" s="96">
        <v>9</v>
      </c>
      <c r="D343" s="104" t="s">
        <v>26</v>
      </c>
      <c r="E343" s="97" t="s">
        <v>27</v>
      </c>
      <c r="F343" s="97" t="str">
        <f>VLOOKUP(E343,Emp_Data!$B$2:$C$9,2,)</f>
        <v>Philip</v>
      </c>
      <c r="G343" s="97" t="s">
        <v>12</v>
      </c>
      <c r="H343" s="97" t="s">
        <v>39</v>
      </c>
      <c r="I343" s="97">
        <v>399</v>
      </c>
      <c r="J343" s="97">
        <v>5</v>
      </c>
      <c r="K343" s="97">
        <f t="shared" si="5"/>
        <v>1995</v>
      </c>
      <c r="L343" s="97">
        <f>_xlfn.XLOOKUP(E343,Emp_Data!$B$2:$B$9,Emp_Data!$A$2:$A$9)</f>
        <v>8</v>
      </c>
    </row>
    <row r="344" spans="1:12">
      <c r="A344" s="99">
        <v>1701</v>
      </c>
      <c r="B344" s="101">
        <v>44746</v>
      </c>
      <c r="C344" s="96">
        <v>16</v>
      </c>
      <c r="D344" s="104" t="s">
        <v>37</v>
      </c>
      <c r="E344" s="97" t="s">
        <v>8</v>
      </c>
      <c r="F344" s="97" t="str">
        <f>VLOOKUP(E344,Emp_Data!$B$2:$C$9,2,)</f>
        <v>Jeff</v>
      </c>
      <c r="G344" s="97" t="s">
        <v>9</v>
      </c>
      <c r="H344" s="97" t="s">
        <v>39</v>
      </c>
      <c r="I344" s="97">
        <v>399</v>
      </c>
      <c r="J344" s="97">
        <v>4</v>
      </c>
      <c r="K344" s="97">
        <f t="shared" si="5"/>
        <v>1596</v>
      </c>
      <c r="L344" s="97">
        <f>_xlfn.XLOOKUP(E344,Emp_Data!$B$2:$B$9,Emp_Data!$A$2:$A$9)</f>
        <v>3</v>
      </c>
    </row>
    <row r="345" spans="1:12">
      <c r="A345" s="99">
        <v>1703</v>
      </c>
      <c r="B345" s="101">
        <v>44747</v>
      </c>
      <c r="C345" s="96">
        <v>5</v>
      </c>
      <c r="D345" s="104" t="s">
        <v>16</v>
      </c>
      <c r="E345" s="97" t="s">
        <v>14</v>
      </c>
      <c r="F345" s="97" t="str">
        <f>VLOOKUP(E345,Emp_Data!$B$2:$C$9,2,)</f>
        <v>Jeff</v>
      </c>
      <c r="G345" s="97" t="s">
        <v>15</v>
      </c>
      <c r="H345" s="97" t="s">
        <v>39</v>
      </c>
      <c r="I345" s="97">
        <v>399</v>
      </c>
      <c r="J345" s="97">
        <v>7</v>
      </c>
      <c r="K345" s="97">
        <f t="shared" si="5"/>
        <v>2793</v>
      </c>
      <c r="L345" s="97">
        <f>_xlfn.XLOOKUP(E345,Emp_Data!$B$2:$B$9,Emp_Data!$A$2:$A$9)</f>
        <v>2</v>
      </c>
    </row>
    <row r="346" spans="1:12">
      <c r="A346" s="99">
        <v>1710</v>
      </c>
      <c r="B346" s="101">
        <v>44752</v>
      </c>
      <c r="C346" s="96">
        <v>14</v>
      </c>
      <c r="D346" s="104" t="s">
        <v>33</v>
      </c>
      <c r="E346" s="97" t="s">
        <v>18</v>
      </c>
      <c r="F346" s="97" t="str">
        <f>VLOOKUP(E346,Emp_Data!$B$2:$C$9,2,)</f>
        <v>Sara</v>
      </c>
      <c r="G346" s="97" t="s">
        <v>19</v>
      </c>
      <c r="H346" s="97" t="s">
        <v>39</v>
      </c>
      <c r="I346" s="97">
        <v>399</v>
      </c>
      <c r="J346" s="97">
        <v>0</v>
      </c>
      <c r="K346" s="97">
        <f t="shared" si="5"/>
        <v>0</v>
      </c>
      <c r="L346" s="97">
        <f>_xlfn.XLOOKUP(E346,Emp_Data!$B$2:$B$9,Emp_Data!$A$2:$A$9)</f>
        <v>5</v>
      </c>
    </row>
    <row r="347" spans="1:12">
      <c r="A347" s="99">
        <v>1713</v>
      </c>
      <c r="B347" s="101">
        <v>44753</v>
      </c>
      <c r="C347" s="96">
        <v>19</v>
      </c>
      <c r="D347" s="104" t="s">
        <v>22</v>
      </c>
      <c r="E347" s="97" t="s">
        <v>25</v>
      </c>
      <c r="F347" s="97" t="str">
        <f>VLOOKUP(E347,Emp_Data!$B$2:$C$9,2,)</f>
        <v>Jeff</v>
      </c>
      <c r="G347" s="97" t="s">
        <v>9</v>
      </c>
      <c r="H347" s="97" t="s">
        <v>39</v>
      </c>
      <c r="I347" s="97">
        <v>399</v>
      </c>
      <c r="J347" s="97">
        <v>9</v>
      </c>
      <c r="K347" s="97">
        <f t="shared" si="5"/>
        <v>3591</v>
      </c>
      <c r="L347" s="97">
        <f>_xlfn.XLOOKUP(E347,Emp_Data!$B$2:$B$9,Emp_Data!$A$2:$A$9)</f>
        <v>5</v>
      </c>
    </row>
    <row r="348" spans="1:12">
      <c r="A348" s="99">
        <v>1716</v>
      </c>
      <c r="B348" s="101">
        <v>44754</v>
      </c>
      <c r="C348" s="96">
        <v>14</v>
      </c>
      <c r="D348" s="104" t="s">
        <v>33</v>
      </c>
      <c r="E348" s="97" t="s">
        <v>18</v>
      </c>
      <c r="F348" s="97" t="str">
        <f>VLOOKUP(E348,Emp_Data!$B$2:$C$9,2,)</f>
        <v>Sara</v>
      </c>
      <c r="G348" s="97" t="s">
        <v>19</v>
      </c>
      <c r="H348" s="97" t="s">
        <v>39</v>
      </c>
      <c r="I348" s="97">
        <v>399</v>
      </c>
      <c r="J348" s="97">
        <v>1</v>
      </c>
      <c r="K348" s="97">
        <f t="shared" si="5"/>
        <v>399</v>
      </c>
      <c r="L348" s="97">
        <f>_xlfn.XLOOKUP(E348,Emp_Data!$B$2:$B$9,Emp_Data!$A$2:$A$9)</f>
        <v>5</v>
      </c>
    </row>
    <row r="349" spans="1:12">
      <c r="A349" s="99">
        <v>1726</v>
      </c>
      <c r="B349" s="101">
        <v>44756</v>
      </c>
      <c r="C349" s="96">
        <v>10</v>
      </c>
      <c r="D349" s="104" t="s">
        <v>34</v>
      </c>
      <c r="E349" s="97" t="s">
        <v>11</v>
      </c>
      <c r="F349" s="97" t="str">
        <f>VLOOKUP(E349,Emp_Data!$B$2:$C$9,2,)</f>
        <v>Steve</v>
      </c>
      <c r="G349" s="97" t="s">
        <v>12</v>
      </c>
      <c r="H349" s="97" t="s">
        <v>39</v>
      </c>
      <c r="I349" s="97">
        <v>399</v>
      </c>
      <c r="J349" s="97">
        <v>9</v>
      </c>
      <c r="K349" s="97">
        <f t="shared" si="5"/>
        <v>3591</v>
      </c>
      <c r="L349" s="97">
        <f>_xlfn.XLOOKUP(E349,Emp_Data!$B$2:$B$9,Emp_Data!$A$2:$A$9)</f>
        <v>4</v>
      </c>
    </row>
    <row r="350" spans="1:12">
      <c r="A350" s="99">
        <v>1730</v>
      </c>
      <c r="B350" s="101">
        <v>44757</v>
      </c>
      <c r="C350" s="96">
        <v>18</v>
      </c>
      <c r="D350" s="104" t="s">
        <v>30</v>
      </c>
      <c r="E350" s="97" t="s">
        <v>8</v>
      </c>
      <c r="F350" s="97" t="str">
        <f>VLOOKUP(E350,Emp_Data!$B$2:$C$9,2,)</f>
        <v>Jeff</v>
      </c>
      <c r="G350" s="97" t="s">
        <v>9</v>
      </c>
      <c r="H350" s="97" t="s">
        <v>39</v>
      </c>
      <c r="I350" s="97">
        <v>399</v>
      </c>
      <c r="J350" s="97">
        <v>5</v>
      </c>
      <c r="K350" s="97">
        <f t="shared" si="5"/>
        <v>1995</v>
      </c>
      <c r="L350" s="97">
        <f>_xlfn.XLOOKUP(E350,Emp_Data!$B$2:$B$9,Emp_Data!$A$2:$A$9)</f>
        <v>3</v>
      </c>
    </row>
    <row r="351" spans="1:12">
      <c r="A351" s="99">
        <v>1731</v>
      </c>
      <c r="B351" s="101">
        <v>44758</v>
      </c>
      <c r="C351" s="96">
        <v>9</v>
      </c>
      <c r="D351" s="104" t="s">
        <v>26</v>
      </c>
      <c r="E351" s="97" t="s">
        <v>11</v>
      </c>
      <c r="F351" s="97" t="str">
        <f>VLOOKUP(E351,Emp_Data!$B$2:$C$9,2,)</f>
        <v>Steve</v>
      </c>
      <c r="G351" s="97" t="s">
        <v>12</v>
      </c>
      <c r="H351" s="97" t="s">
        <v>39</v>
      </c>
      <c r="I351" s="97">
        <v>399</v>
      </c>
      <c r="J351" s="97">
        <v>0</v>
      </c>
      <c r="K351" s="97">
        <f t="shared" si="5"/>
        <v>0</v>
      </c>
      <c r="L351" s="97">
        <f>_xlfn.XLOOKUP(E351,Emp_Data!$B$2:$B$9,Emp_Data!$A$2:$A$9)</f>
        <v>4</v>
      </c>
    </row>
    <row r="352" spans="1:12">
      <c r="A352" s="99">
        <v>1732</v>
      </c>
      <c r="B352" s="101">
        <v>44759</v>
      </c>
      <c r="C352" s="96">
        <v>4</v>
      </c>
      <c r="D352" s="104" t="s">
        <v>13</v>
      </c>
      <c r="E352" s="97" t="s">
        <v>14</v>
      </c>
      <c r="F352" s="97" t="str">
        <f>VLOOKUP(E352,Emp_Data!$B$2:$C$9,2,)</f>
        <v>Jeff</v>
      </c>
      <c r="G352" s="97" t="s">
        <v>15</v>
      </c>
      <c r="H352" s="97" t="s">
        <v>39</v>
      </c>
      <c r="I352" s="97">
        <v>399</v>
      </c>
      <c r="J352" s="97">
        <v>8</v>
      </c>
      <c r="K352" s="97">
        <f t="shared" si="5"/>
        <v>3192</v>
      </c>
      <c r="L352" s="97">
        <f>_xlfn.XLOOKUP(E352,Emp_Data!$B$2:$B$9,Emp_Data!$A$2:$A$9)</f>
        <v>2</v>
      </c>
    </row>
    <row r="353" spans="1:12">
      <c r="A353" s="99">
        <v>1734</v>
      </c>
      <c r="B353" s="101">
        <v>44760</v>
      </c>
      <c r="C353" s="96">
        <v>5</v>
      </c>
      <c r="D353" s="104" t="s">
        <v>16</v>
      </c>
      <c r="E353" s="97" t="s">
        <v>14</v>
      </c>
      <c r="F353" s="97" t="str">
        <f>VLOOKUP(E353,Emp_Data!$B$2:$C$9,2,)</f>
        <v>Jeff</v>
      </c>
      <c r="G353" s="97" t="s">
        <v>15</v>
      </c>
      <c r="H353" s="97" t="s">
        <v>39</v>
      </c>
      <c r="I353" s="97">
        <v>399</v>
      </c>
      <c r="J353" s="97">
        <v>2</v>
      </c>
      <c r="K353" s="97">
        <f t="shared" si="5"/>
        <v>798</v>
      </c>
      <c r="L353" s="97">
        <f>_xlfn.XLOOKUP(E353,Emp_Data!$B$2:$B$9,Emp_Data!$A$2:$A$9)</f>
        <v>2</v>
      </c>
    </row>
    <row r="354" spans="1:12">
      <c r="A354" s="99">
        <v>1735</v>
      </c>
      <c r="B354" s="101">
        <v>44760</v>
      </c>
      <c r="C354" s="96">
        <v>12</v>
      </c>
      <c r="D354" s="104" t="s">
        <v>17</v>
      </c>
      <c r="E354" s="97" t="s">
        <v>24</v>
      </c>
      <c r="F354" s="97" t="str">
        <f>VLOOKUP(E354,Emp_Data!$B$2:$C$9,2,)</f>
        <v>Steve</v>
      </c>
      <c r="G354" s="97" t="s">
        <v>19</v>
      </c>
      <c r="H354" s="97" t="s">
        <v>39</v>
      </c>
      <c r="I354" s="97">
        <v>399</v>
      </c>
      <c r="J354" s="97">
        <v>7</v>
      </c>
      <c r="K354" s="97">
        <f t="shared" si="5"/>
        <v>2793</v>
      </c>
      <c r="L354" s="97">
        <f>_xlfn.XLOOKUP(E354,Emp_Data!$B$2:$B$9,Emp_Data!$A$2:$A$9)</f>
        <v>6</v>
      </c>
    </row>
    <row r="355" spans="1:12">
      <c r="A355" s="99">
        <v>1749</v>
      </c>
      <c r="B355" s="101">
        <v>44765</v>
      </c>
      <c r="C355" s="96">
        <v>2</v>
      </c>
      <c r="D355" s="104" t="s">
        <v>35</v>
      </c>
      <c r="E355" s="97" t="s">
        <v>21</v>
      </c>
      <c r="F355" s="97" t="str">
        <f>VLOOKUP(E355,Emp_Data!$B$2:$C$9,2,)</f>
        <v>Sara</v>
      </c>
      <c r="G355" s="97" t="s">
        <v>15</v>
      </c>
      <c r="H355" s="97" t="s">
        <v>39</v>
      </c>
      <c r="I355" s="97">
        <v>399</v>
      </c>
      <c r="J355" s="97">
        <v>9</v>
      </c>
      <c r="K355" s="97">
        <f t="shared" si="5"/>
        <v>3591</v>
      </c>
      <c r="L355" s="97">
        <f>_xlfn.XLOOKUP(E355,Emp_Data!$B$2:$B$9,Emp_Data!$A$2:$A$9)</f>
        <v>2</v>
      </c>
    </row>
    <row r="356" spans="1:12">
      <c r="A356" s="99">
        <v>1756</v>
      </c>
      <c r="B356" s="101">
        <v>44767</v>
      </c>
      <c r="C356" s="96">
        <v>2</v>
      </c>
      <c r="D356" s="104" t="s">
        <v>35</v>
      </c>
      <c r="E356" s="97" t="s">
        <v>14</v>
      </c>
      <c r="F356" s="97" t="str">
        <f>VLOOKUP(E356,Emp_Data!$B$2:$C$9,2,)</f>
        <v>Jeff</v>
      </c>
      <c r="G356" s="97" t="s">
        <v>15</v>
      </c>
      <c r="H356" s="97" t="s">
        <v>39</v>
      </c>
      <c r="I356" s="97">
        <v>399</v>
      </c>
      <c r="J356" s="97">
        <v>9</v>
      </c>
      <c r="K356" s="97">
        <f t="shared" si="5"/>
        <v>3591</v>
      </c>
      <c r="L356" s="97">
        <f>_xlfn.XLOOKUP(E356,Emp_Data!$B$2:$B$9,Emp_Data!$A$2:$A$9)</f>
        <v>2</v>
      </c>
    </row>
    <row r="357" spans="1:12">
      <c r="A357" s="99">
        <v>1766</v>
      </c>
      <c r="B357" s="101">
        <v>44773</v>
      </c>
      <c r="C357" s="96">
        <v>13</v>
      </c>
      <c r="D357" s="104" t="s">
        <v>23</v>
      </c>
      <c r="E357" s="97" t="s">
        <v>18</v>
      </c>
      <c r="F357" s="97" t="str">
        <f>VLOOKUP(E357,Emp_Data!$B$2:$C$9,2,)</f>
        <v>Sara</v>
      </c>
      <c r="G357" s="97" t="s">
        <v>19</v>
      </c>
      <c r="H357" s="97" t="s">
        <v>39</v>
      </c>
      <c r="I357" s="97">
        <v>399</v>
      </c>
      <c r="J357" s="97">
        <v>8</v>
      </c>
      <c r="K357" s="97">
        <f t="shared" si="5"/>
        <v>3192</v>
      </c>
      <c r="L357" s="97">
        <f>_xlfn.XLOOKUP(E357,Emp_Data!$B$2:$B$9,Emp_Data!$A$2:$A$9)</f>
        <v>5</v>
      </c>
    </row>
    <row r="358" spans="1:12">
      <c r="A358" s="99">
        <v>1767</v>
      </c>
      <c r="B358" s="101">
        <v>44773</v>
      </c>
      <c r="C358" s="96">
        <v>6</v>
      </c>
      <c r="D358" s="104" t="s">
        <v>10</v>
      </c>
      <c r="E358" s="97" t="s">
        <v>27</v>
      </c>
      <c r="F358" s="97" t="str">
        <f>VLOOKUP(E358,Emp_Data!$B$2:$C$9,2,)</f>
        <v>Philip</v>
      </c>
      <c r="G358" s="97" t="s">
        <v>12</v>
      </c>
      <c r="H358" s="97" t="s">
        <v>39</v>
      </c>
      <c r="I358" s="97">
        <v>399</v>
      </c>
      <c r="J358" s="97">
        <v>9</v>
      </c>
      <c r="K358" s="97">
        <f t="shared" si="5"/>
        <v>3591</v>
      </c>
      <c r="L358" s="97">
        <f>_xlfn.XLOOKUP(E358,Emp_Data!$B$2:$B$9,Emp_Data!$A$2:$A$9)</f>
        <v>8</v>
      </c>
    </row>
    <row r="359" spans="1:12">
      <c r="A359" s="99">
        <v>1769</v>
      </c>
      <c r="B359" s="101">
        <v>44775</v>
      </c>
      <c r="C359" s="96">
        <v>6</v>
      </c>
      <c r="D359" s="104" t="s">
        <v>10</v>
      </c>
      <c r="E359" s="97" t="s">
        <v>11</v>
      </c>
      <c r="F359" s="97" t="str">
        <f>VLOOKUP(E359,Emp_Data!$B$2:$C$9,2,)</f>
        <v>Steve</v>
      </c>
      <c r="G359" s="97" t="s">
        <v>12</v>
      </c>
      <c r="H359" s="97" t="s">
        <v>39</v>
      </c>
      <c r="I359" s="97">
        <v>399</v>
      </c>
      <c r="J359" s="97">
        <v>2</v>
      </c>
      <c r="K359" s="97">
        <f t="shared" si="5"/>
        <v>798</v>
      </c>
      <c r="L359" s="97">
        <f>_xlfn.XLOOKUP(E359,Emp_Data!$B$2:$B$9,Emp_Data!$A$2:$A$9)</f>
        <v>4</v>
      </c>
    </row>
    <row r="360" spans="1:12">
      <c r="A360" s="99">
        <v>1777</v>
      </c>
      <c r="B360" s="101">
        <v>44779</v>
      </c>
      <c r="C360" s="96">
        <v>7</v>
      </c>
      <c r="D360" s="104" t="s">
        <v>28</v>
      </c>
      <c r="E360" s="97" t="s">
        <v>27</v>
      </c>
      <c r="F360" s="97" t="str">
        <f>VLOOKUP(E360,Emp_Data!$B$2:$C$9,2,)</f>
        <v>Philip</v>
      </c>
      <c r="G360" s="97" t="s">
        <v>12</v>
      </c>
      <c r="H360" s="97" t="s">
        <v>39</v>
      </c>
      <c r="I360" s="97">
        <v>399</v>
      </c>
      <c r="J360" s="97">
        <v>6</v>
      </c>
      <c r="K360" s="97">
        <f t="shared" si="5"/>
        <v>2394</v>
      </c>
      <c r="L360" s="97">
        <f>_xlfn.XLOOKUP(E360,Emp_Data!$B$2:$B$9,Emp_Data!$A$2:$A$9)</f>
        <v>8</v>
      </c>
    </row>
    <row r="361" spans="1:12">
      <c r="A361" s="99">
        <v>1783</v>
      </c>
      <c r="B361" s="101">
        <v>44781</v>
      </c>
      <c r="C361" s="96">
        <v>5</v>
      </c>
      <c r="D361" s="104" t="s">
        <v>16</v>
      </c>
      <c r="E361" s="97" t="s">
        <v>14</v>
      </c>
      <c r="F361" s="97" t="str">
        <f>VLOOKUP(E361,Emp_Data!$B$2:$C$9,2,)</f>
        <v>Jeff</v>
      </c>
      <c r="G361" s="97" t="s">
        <v>15</v>
      </c>
      <c r="H361" s="97" t="s">
        <v>39</v>
      </c>
      <c r="I361" s="97">
        <v>399</v>
      </c>
      <c r="J361" s="97">
        <v>1</v>
      </c>
      <c r="K361" s="97">
        <f t="shared" si="5"/>
        <v>399</v>
      </c>
      <c r="L361" s="97">
        <f>_xlfn.XLOOKUP(E361,Emp_Data!$B$2:$B$9,Emp_Data!$A$2:$A$9)</f>
        <v>2</v>
      </c>
    </row>
    <row r="362" spans="1:12">
      <c r="A362" s="99">
        <v>1786</v>
      </c>
      <c r="B362" s="101">
        <v>44781</v>
      </c>
      <c r="C362" s="96">
        <v>15</v>
      </c>
      <c r="D362" s="104" t="s">
        <v>29</v>
      </c>
      <c r="E362" s="97" t="s">
        <v>18</v>
      </c>
      <c r="F362" s="97" t="str">
        <f>VLOOKUP(E362,Emp_Data!$B$2:$C$9,2,)</f>
        <v>Sara</v>
      </c>
      <c r="G362" s="97" t="s">
        <v>19</v>
      </c>
      <c r="H362" s="97" t="s">
        <v>39</v>
      </c>
      <c r="I362" s="97">
        <v>399</v>
      </c>
      <c r="J362" s="97">
        <v>2</v>
      </c>
      <c r="K362" s="97">
        <f t="shared" si="5"/>
        <v>798</v>
      </c>
      <c r="L362" s="97">
        <f>_xlfn.XLOOKUP(E362,Emp_Data!$B$2:$B$9,Emp_Data!$A$2:$A$9)</f>
        <v>5</v>
      </c>
    </row>
    <row r="363" spans="1:12">
      <c r="A363" s="99">
        <v>1788</v>
      </c>
      <c r="B363" s="101">
        <v>44782</v>
      </c>
      <c r="C363" s="96">
        <v>11</v>
      </c>
      <c r="D363" s="104" t="s">
        <v>38</v>
      </c>
      <c r="E363" s="97" t="s">
        <v>24</v>
      </c>
      <c r="F363" s="97" t="str">
        <f>VLOOKUP(E363,Emp_Data!$B$2:$C$9,2,)</f>
        <v>Steve</v>
      </c>
      <c r="G363" s="97" t="s">
        <v>19</v>
      </c>
      <c r="H363" s="97" t="s">
        <v>39</v>
      </c>
      <c r="I363" s="97">
        <v>399</v>
      </c>
      <c r="J363" s="97">
        <v>5</v>
      </c>
      <c r="K363" s="97">
        <f t="shared" si="5"/>
        <v>1995</v>
      </c>
      <c r="L363" s="97">
        <f>_xlfn.XLOOKUP(E363,Emp_Data!$B$2:$B$9,Emp_Data!$A$2:$A$9)</f>
        <v>6</v>
      </c>
    </row>
    <row r="364" spans="1:12">
      <c r="A364" s="99">
        <v>1791</v>
      </c>
      <c r="B364" s="101">
        <v>44784</v>
      </c>
      <c r="C364" s="96">
        <v>17</v>
      </c>
      <c r="D364" s="104" t="s">
        <v>32</v>
      </c>
      <c r="E364" s="97" t="s">
        <v>25</v>
      </c>
      <c r="F364" s="97" t="str">
        <f>VLOOKUP(E364,Emp_Data!$B$2:$C$9,2,)</f>
        <v>Jeff</v>
      </c>
      <c r="G364" s="97" t="s">
        <v>9</v>
      </c>
      <c r="H364" s="97" t="s">
        <v>39</v>
      </c>
      <c r="I364" s="97">
        <v>399</v>
      </c>
      <c r="J364" s="97">
        <v>8</v>
      </c>
      <c r="K364" s="97">
        <f t="shared" si="5"/>
        <v>3192</v>
      </c>
      <c r="L364" s="97">
        <f>_xlfn.XLOOKUP(E364,Emp_Data!$B$2:$B$9,Emp_Data!$A$2:$A$9)</f>
        <v>5</v>
      </c>
    </row>
    <row r="365" spans="1:12">
      <c r="A365" s="99">
        <v>1792</v>
      </c>
      <c r="B365" s="101">
        <v>44784</v>
      </c>
      <c r="C365" s="96">
        <v>3</v>
      </c>
      <c r="D365" s="104" t="s">
        <v>20</v>
      </c>
      <c r="E365" s="97" t="s">
        <v>14</v>
      </c>
      <c r="F365" s="97" t="str">
        <f>VLOOKUP(E365,Emp_Data!$B$2:$C$9,2,)</f>
        <v>Jeff</v>
      </c>
      <c r="G365" s="97" t="s">
        <v>15</v>
      </c>
      <c r="H365" s="97" t="s">
        <v>39</v>
      </c>
      <c r="I365" s="97">
        <v>399</v>
      </c>
      <c r="J365" s="97">
        <v>2</v>
      </c>
      <c r="K365" s="97">
        <f t="shared" si="5"/>
        <v>798</v>
      </c>
      <c r="L365" s="97">
        <f>_xlfn.XLOOKUP(E365,Emp_Data!$B$2:$B$9,Emp_Data!$A$2:$A$9)</f>
        <v>2</v>
      </c>
    </row>
    <row r="366" spans="1:12">
      <c r="A366" s="99">
        <v>1799</v>
      </c>
      <c r="B366" s="101">
        <v>44785</v>
      </c>
      <c r="C366" s="96">
        <v>15</v>
      </c>
      <c r="D366" s="104" t="s">
        <v>29</v>
      </c>
      <c r="E366" s="97" t="s">
        <v>18</v>
      </c>
      <c r="F366" s="97" t="str">
        <f>VLOOKUP(E366,Emp_Data!$B$2:$C$9,2,)</f>
        <v>Sara</v>
      </c>
      <c r="G366" s="97" t="s">
        <v>19</v>
      </c>
      <c r="H366" s="97" t="s">
        <v>39</v>
      </c>
      <c r="I366" s="97">
        <v>399</v>
      </c>
      <c r="J366" s="97">
        <v>4</v>
      </c>
      <c r="K366" s="97">
        <f t="shared" si="5"/>
        <v>1596</v>
      </c>
      <c r="L366" s="97">
        <f>_xlfn.XLOOKUP(E366,Emp_Data!$B$2:$B$9,Emp_Data!$A$2:$A$9)</f>
        <v>5</v>
      </c>
    </row>
    <row r="367" spans="1:12">
      <c r="A367" s="99">
        <v>1801</v>
      </c>
      <c r="B367" s="101">
        <v>44785</v>
      </c>
      <c r="C367" s="96">
        <v>17</v>
      </c>
      <c r="D367" s="104" t="s">
        <v>32</v>
      </c>
      <c r="E367" s="97" t="s">
        <v>8</v>
      </c>
      <c r="F367" s="97" t="str">
        <f>VLOOKUP(E367,Emp_Data!$B$2:$C$9,2,)</f>
        <v>Jeff</v>
      </c>
      <c r="G367" s="97" t="s">
        <v>9</v>
      </c>
      <c r="H367" s="97" t="s">
        <v>39</v>
      </c>
      <c r="I367" s="97">
        <v>399</v>
      </c>
      <c r="J367" s="97">
        <v>1</v>
      </c>
      <c r="K367" s="97">
        <f t="shared" si="5"/>
        <v>399</v>
      </c>
      <c r="L367" s="97">
        <f>_xlfn.XLOOKUP(E367,Emp_Data!$B$2:$B$9,Emp_Data!$A$2:$A$9)</f>
        <v>3</v>
      </c>
    </row>
    <row r="368" spans="1:12">
      <c r="A368" s="99">
        <v>1803</v>
      </c>
      <c r="B368" s="101">
        <v>44785</v>
      </c>
      <c r="C368" s="96">
        <v>18</v>
      </c>
      <c r="D368" s="104" t="s">
        <v>30</v>
      </c>
      <c r="E368" s="97" t="s">
        <v>25</v>
      </c>
      <c r="F368" s="97" t="str">
        <f>VLOOKUP(E368,Emp_Data!$B$2:$C$9,2,)</f>
        <v>Jeff</v>
      </c>
      <c r="G368" s="97" t="s">
        <v>9</v>
      </c>
      <c r="H368" s="97" t="s">
        <v>39</v>
      </c>
      <c r="I368" s="97">
        <v>399</v>
      </c>
      <c r="J368" s="97">
        <v>5</v>
      </c>
      <c r="K368" s="97">
        <f t="shared" si="5"/>
        <v>1995</v>
      </c>
      <c r="L368" s="97">
        <f>_xlfn.XLOOKUP(E368,Emp_Data!$B$2:$B$9,Emp_Data!$A$2:$A$9)</f>
        <v>5</v>
      </c>
    </row>
    <row r="369" spans="1:12">
      <c r="A369" s="99">
        <v>1838</v>
      </c>
      <c r="B369" s="101">
        <v>44795</v>
      </c>
      <c r="C369" s="96">
        <v>20</v>
      </c>
      <c r="D369" s="104" t="s">
        <v>7</v>
      </c>
      <c r="E369" s="97" t="s">
        <v>8</v>
      </c>
      <c r="F369" s="97" t="str">
        <f>VLOOKUP(E369,Emp_Data!$B$2:$C$9,2,)</f>
        <v>Jeff</v>
      </c>
      <c r="G369" s="97" t="s">
        <v>9</v>
      </c>
      <c r="H369" s="97" t="s">
        <v>39</v>
      </c>
      <c r="I369" s="97">
        <v>399</v>
      </c>
      <c r="J369" s="97">
        <v>9</v>
      </c>
      <c r="K369" s="97">
        <f t="shared" si="5"/>
        <v>3591</v>
      </c>
      <c r="L369" s="97">
        <f>_xlfn.XLOOKUP(E369,Emp_Data!$B$2:$B$9,Emp_Data!$A$2:$A$9)</f>
        <v>3</v>
      </c>
    </row>
    <row r="370" spans="1:12">
      <c r="A370" s="99">
        <v>1849</v>
      </c>
      <c r="B370" s="101">
        <v>44797</v>
      </c>
      <c r="C370" s="96">
        <v>4</v>
      </c>
      <c r="D370" s="104" t="s">
        <v>13</v>
      </c>
      <c r="E370" s="97" t="s">
        <v>14</v>
      </c>
      <c r="F370" s="97" t="str">
        <f>VLOOKUP(E370,Emp_Data!$B$2:$C$9,2,)</f>
        <v>Jeff</v>
      </c>
      <c r="G370" s="97" t="s">
        <v>15</v>
      </c>
      <c r="H370" s="97" t="s">
        <v>39</v>
      </c>
      <c r="I370" s="97">
        <v>399</v>
      </c>
      <c r="J370" s="97">
        <v>7</v>
      </c>
      <c r="K370" s="97">
        <f t="shared" si="5"/>
        <v>2793</v>
      </c>
      <c r="L370" s="97">
        <f>_xlfn.XLOOKUP(E370,Emp_Data!$B$2:$B$9,Emp_Data!$A$2:$A$9)</f>
        <v>2</v>
      </c>
    </row>
    <row r="371" spans="1:12">
      <c r="A371" s="99">
        <v>1858</v>
      </c>
      <c r="B371" s="101">
        <v>44803</v>
      </c>
      <c r="C371" s="96">
        <v>17</v>
      </c>
      <c r="D371" s="104" t="s">
        <v>32</v>
      </c>
      <c r="E371" s="97" t="s">
        <v>8</v>
      </c>
      <c r="F371" s="97" t="str">
        <f>VLOOKUP(E371,Emp_Data!$B$2:$C$9,2,)</f>
        <v>Jeff</v>
      </c>
      <c r="G371" s="97" t="s">
        <v>9</v>
      </c>
      <c r="H371" s="97" t="s">
        <v>39</v>
      </c>
      <c r="I371" s="97">
        <v>399</v>
      </c>
      <c r="J371" s="97">
        <v>1</v>
      </c>
      <c r="K371" s="97">
        <f t="shared" si="5"/>
        <v>399</v>
      </c>
      <c r="L371" s="97">
        <f>_xlfn.XLOOKUP(E371,Emp_Data!$B$2:$B$9,Emp_Data!$A$2:$A$9)</f>
        <v>3</v>
      </c>
    </row>
    <row r="372" spans="1:12">
      <c r="A372" s="99">
        <v>1860</v>
      </c>
      <c r="B372" s="101">
        <v>44803</v>
      </c>
      <c r="C372" s="96">
        <v>14</v>
      </c>
      <c r="D372" s="104" t="s">
        <v>33</v>
      </c>
      <c r="E372" s="97" t="s">
        <v>24</v>
      </c>
      <c r="F372" s="97" t="str">
        <f>VLOOKUP(E372,Emp_Data!$B$2:$C$9,2,)</f>
        <v>Steve</v>
      </c>
      <c r="G372" s="97" t="s">
        <v>19</v>
      </c>
      <c r="H372" s="97" t="s">
        <v>39</v>
      </c>
      <c r="I372" s="97">
        <v>399</v>
      </c>
      <c r="J372" s="97">
        <v>4</v>
      </c>
      <c r="K372" s="97">
        <f t="shared" si="5"/>
        <v>1596</v>
      </c>
      <c r="L372" s="97">
        <f>_xlfn.XLOOKUP(E372,Emp_Data!$B$2:$B$9,Emp_Data!$A$2:$A$9)</f>
        <v>6</v>
      </c>
    </row>
    <row r="373" spans="1:12">
      <c r="A373" s="99">
        <v>1861</v>
      </c>
      <c r="B373" s="101">
        <v>44803</v>
      </c>
      <c r="C373" s="96">
        <v>20</v>
      </c>
      <c r="D373" s="104" t="s">
        <v>7</v>
      </c>
      <c r="E373" s="97" t="s">
        <v>25</v>
      </c>
      <c r="F373" s="97" t="str">
        <f>VLOOKUP(E373,Emp_Data!$B$2:$C$9,2,)</f>
        <v>Jeff</v>
      </c>
      <c r="G373" s="97" t="s">
        <v>9</v>
      </c>
      <c r="H373" s="97" t="s">
        <v>39</v>
      </c>
      <c r="I373" s="97">
        <v>399</v>
      </c>
      <c r="J373" s="97">
        <v>8</v>
      </c>
      <c r="K373" s="97">
        <f t="shared" si="5"/>
        <v>3192</v>
      </c>
      <c r="L373" s="97">
        <f>_xlfn.XLOOKUP(E373,Emp_Data!$B$2:$B$9,Emp_Data!$A$2:$A$9)</f>
        <v>5</v>
      </c>
    </row>
    <row r="374" spans="1:12">
      <c r="A374" s="99">
        <v>1863</v>
      </c>
      <c r="B374" s="101">
        <v>44804</v>
      </c>
      <c r="C374" s="96">
        <v>11</v>
      </c>
      <c r="D374" s="104" t="s">
        <v>38</v>
      </c>
      <c r="E374" s="97" t="s">
        <v>18</v>
      </c>
      <c r="F374" s="97" t="str">
        <f>VLOOKUP(E374,Emp_Data!$B$2:$C$9,2,)</f>
        <v>Sara</v>
      </c>
      <c r="G374" s="97" t="s">
        <v>19</v>
      </c>
      <c r="H374" s="97" t="s">
        <v>39</v>
      </c>
      <c r="I374" s="97">
        <v>399</v>
      </c>
      <c r="J374" s="97">
        <v>5</v>
      </c>
      <c r="K374" s="97">
        <f t="shared" si="5"/>
        <v>1995</v>
      </c>
      <c r="L374" s="97">
        <f>_xlfn.XLOOKUP(E374,Emp_Data!$B$2:$B$9,Emp_Data!$A$2:$A$9)</f>
        <v>5</v>
      </c>
    </row>
    <row r="375" spans="1:12">
      <c r="A375" s="99">
        <v>1865</v>
      </c>
      <c r="B375" s="101">
        <v>44805</v>
      </c>
      <c r="C375" s="96">
        <v>11</v>
      </c>
      <c r="D375" s="104" t="s">
        <v>38</v>
      </c>
      <c r="E375" s="97" t="s">
        <v>24</v>
      </c>
      <c r="F375" s="97" t="str">
        <f>VLOOKUP(E375,Emp_Data!$B$2:$C$9,2,)</f>
        <v>Steve</v>
      </c>
      <c r="G375" s="97" t="s">
        <v>19</v>
      </c>
      <c r="H375" s="97" t="s">
        <v>39</v>
      </c>
      <c r="I375" s="97">
        <v>399</v>
      </c>
      <c r="J375" s="97">
        <v>4</v>
      </c>
      <c r="K375" s="97">
        <f t="shared" si="5"/>
        <v>1596</v>
      </c>
      <c r="L375" s="97">
        <f>_xlfn.XLOOKUP(E375,Emp_Data!$B$2:$B$9,Emp_Data!$A$2:$A$9)</f>
        <v>6</v>
      </c>
    </row>
    <row r="376" spans="1:12">
      <c r="A376" s="99">
        <v>1869</v>
      </c>
      <c r="B376" s="101">
        <v>44807</v>
      </c>
      <c r="C376" s="96">
        <v>7</v>
      </c>
      <c r="D376" s="104" t="s">
        <v>28</v>
      </c>
      <c r="E376" s="97" t="s">
        <v>27</v>
      </c>
      <c r="F376" s="97" t="str">
        <f>VLOOKUP(E376,Emp_Data!$B$2:$C$9,2,)</f>
        <v>Philip</v>
      </c>
      <c r="G376" s="97" t="s">
        <v>12</v>
      </c>
      <c r="H376" s="97" t="s">
        <v>39</v>
      </c>
      <c r="I376" s="97">
        <v>399</v>
      </c>
      <c r="J376" s="97">
        <v>1</v>
      </c>
      <c r="K376" s="97">
        <f t="shared" si="5"/>
        <v>399</v>
      </c>
      <c r="L376" s="97">
        <f>_xlfn.XLOOKUP(E376,Emp_Data!$B$2:$B$9,Emp_Data!$A$2:$A$9)</f>
        <v>8</v>
      </c>
    </row>
    <row r="377" spans="1:12">
      <c r="A377" s="99">
        <v>1870</v>
      </c>
      <c r="B377" s="101">
        <v>44808</v>
      </c>
      <c r="C377" s="96">
        <v>19</v>
      </c>
      <c r="D377" s="104" t="s">
        <v>22</v>
      </c>
      <c r="E377" s="97" t="s">
        <v>8</v>
      </c>
      <c r="F377" s="97" t="str">
        <f>VLOOKUP(E377,Emp_Data!$B$2:$C$9,2,)</f>
        <v>Jeff</v>
      </c>
      <c r="G377" s="97" t="s">
        <v>9</v>
      </c>
      <c r="H377" s="97" t="s">
        <v>39</v>
      </c>
      <c r="I377" s="97">
        <v>399</v>
      </c>
      <c r="J377" s="97">
        <v>9</v>
      </c>
      <c r="K377" s="97">
        <f t="shared" si="5"/>
        <v>3591</v>
      </c>
      <c r="L377" s="97">
        <f>_xlfn.XLOOKUP(E377,Emp_Data!$B$2:$B$9,Emp_Data!$A$2:$A$9)</f>
        <v>3</v>
      </c>
    </row>
    <row r="378" spans="1:12">
      <c r="A378" s="99">
        <v>1877</v>
      </c>
      <c r="B378" s="101">
        <v>44810</v>
      </c>
      <c r="C378" s="96">
        <v>1</v>
      </c>
      <c r="D378" s="104" t="s">
        <v>31</v>
      </c>
      <c r="E378" s="97" t="s">
        <v>14</v>
      </c>
      <c r="F378" s="97" t="str">
        <f>VLOOKUP(E378,Emp_Data!$B$2:$C$9,2,)</f>
        <v>Jeff</v>
      </c>
      <c r="G378" s="97" t="s">
        <v>15</v>
      </c>
      <c r="H378" s="97" t="s">
        <v>39</v>
      </c>
      <c r="I378" s="97">
        <v>399</v>
      </c>
      <c r="J378" s="97">
        <v>3</v>
      </c>
      <c r="K378" s="97">
        <f t="shared" si="5"/>
        <v>1197</v>
      </c>
      <c r="L378" s="97">
        <f>_xlfn.XLOOKUP(E378,Emp_Data!$B$2:$B$9,Emp_Data!$A$2:$A$9)</f>
        <v>2</v>
      </c>
    </row>
    <row r="379" spans="1:12">
      <c r="A379" s="99">
        <v>1879</v>
      </c>
      <c r="B379" s="101">
        <v>44810</v>
      </c>
      <c r="C379" s="96">
        <v>4</v>
      </c>
      <c r="D379" s="104" t="s">
        <v>13</v>
      </c>
      <c r="E379" s="97" t="s">
        <v>21</v>
      </c>
      <c r="F379" s="97" t="str">
        <f>VLOOKUP(E379,Emp_Data!$B$2:$C$9,2,)</f>
        <v>Sara</v>
      </c>
      <c r="G379" s="97" t="s">
        <v>15</v>
      </c>
      <c r="H379" s="97" t="s">
        <v>39</v>
      </c>
      <c r="I379" s="97">
        <v>399</v>
      </c>
      <c r="J379" s="97">
        <v>4</v>
      </c>
      <c r="K379" s="97">
        <f t="shared" si="5"/>
        <v>1596</v>
      </c>
      <c r="L379" s="97">
        <f>_xlfn.XLOOKUP(E379,Emp_Data!$B$2:$B$9,Emp_Data!$A$2:$A$9)</f>
        <v>2</v>
      </c>
    </row>
    <row r="380" spans="1:12">
      <c r="A380" s="99">
        <v>1884</v>
      </c>
      <c r="B380" s="101">
        <v>44812</v>
      </c>
      <c r="C380" s="96">
        <v>13</v>
      </c>
      <c r="D380" s="104" t="s">
        <v>23</v>
      </c>
      <c r="E380" s="97" t="s">
        <v>18</v>
      </c>
      <c r="F380" s="97" t="str">
        <f>VLOOKUP(E380,Emp_Data!$B$2:$C$9,2,)</f>
        <v>Sara</v>
      </c>
      <c r="G380" s="97" t="s">
        <v>19</v>
      </c>
      <c r="H380" s="97" t="s">
        <v>39</v>
      </c>
      <c r="I380" s="97">
        <v>399</v>
      </c>
      <c r="J380" s="97">
        <v>4</v>
      </c>
      <c r="K380" s="97">
        <f t="shared" si="5"/>
        <v>1596</v>
      </c>
      <c r="L380" s="97">
        <f>_xlfn.XLOOKUP(E380,Emp_Data!$B$2:$B$9,Emp_Data!$A$2:$A$9)</f>
        <v>5</v>
      </c>
    </row>
    <row r="381" spans="1:12">
      <c r="A381" s="99">
        <v>1887</v>
      </c>
      <c r="B381" s="101">
        <v>44812</v>
      </c>
      <c r="C381" s="96">
        <v>8</v>
      </c>
      <c r="D381" s="104" t="s">
        <v>36</v>
      </c>
      <c r="E381" s="97" t="s">
        <v>11</v>
      </c>
      <c r="F381" s="97" t="str">
        <f>VLOOKUP(E381,Emp_Data!$B$2:$C$9,2,)</f>
        <v>Steve</v>
      </c>
      <c r="G381" s="97" t="s">
        <v>12</v>
      </c>
      <c r="H381" s="97" t="s">
        <v>39</v>
      </c>
      <c r="I381" s="97">
        <v>399</v>
      </c>
      <c r="J381" s="97">
        <v>1</v>
      </c>
      <c r="K381" s="97">
        <f t="shared" si="5"/>
        <v>399</v>
      </c>
      <c r="L381" s="97">
        <f>_xlfn.XLOOKUP(E381,Emp_Data!$B$2:$B$9,Emp_Data!$A$2:$A$9)</f>
        <v>4</v>
      </c>
    </row>
    <row r="382" spans="1:12">
      <c r="A382" s="99">
        <v>1892</v>
      </c>
      <c r="B382" s="101">
        <v>44815</v>
      </c>
      <c r="C382" s="96">
        <v>5</v>
      </c>
      <c r="D382" s="104" t="s">
        <v>16</v>
      </c>
      <c r="E382" s="97" t="s">
        <v>14</v>
      </c>
      <c r="F382" s="97" t="str">
        <f>VLOOKUP(E382,Emp_Data!$B$2:$C$9,2,)</f>
        <v>Jeff</v>
      </c>
      <c r="G382" s="97" t="s">
        <v>15</v>
      </c>
      <c r="H382" s="97" t="s">
        <v>39</v>
      </c>
      <c r="I382" s="97">
        <v>399</v>
      </c>
      <c r="J382" s="97">
        <v>9</v>
      </c>
      <c r="K382" s="97">
        <f t="shared" si="5"/>
        <v>3591</v>
      </c>
      <c r="L382" s="97">
        <f>_xlfn.XLOOKUP(E382,Emp_Data!$B$2:$B$9,Emp_Data!$A$2:$A$9)</f>
        <v>2</v>
      </c>
    </row>
    <row r="383" spans="1:12">
      <c r="A383" s="99">
        <v>1895</v>
      </c>
      <c r="B383" s="101">
        <v>44816</v>
      </c>
      <c r="C383" s="96">
        <v>15</v>
      </c>
      <c r="D383" s="104" t="s">
        <v>29</v>
      </c>
      <c r="E383" s="97" t="s">
        <v>24</v>
      </c>
      <c r="F383" s="97" t="str">
        <f>VLOOKUP(E383,Emp_Data!$B$2:$C$9,2,)</f>
        <v>Steve</v>
      </c>
      <c r="G383" s="97" t="s">
        <v>19</v>
      </c>
      <c r="H383" s="97" t="s">
        <v>39</v>
      </c>
      <c r="I383" s="97">
        <v>399</v>
      </c>
      <c r="J383" s="97">
        <v>1</v>
      </c>
      <c r="K383" s="97">
        <f t="shared" si="5"/>
        <v>399</v>
      </c>
      <c r="L383" s="97">
        <f>_xlfn.XLOOKUP(E383,Emp_Data!$B$2:$B$9,Emp_Data!$A$2:$A$9)</f>
        <v>6</v>
      </c>
    </row>
    <row r="384" spans="1:12">
      <c r="A384" s="99">
        <v>1901</v>
      </c>
      <c r="B384" s="101">
        <v>44820</v>
      </c>
      <c r="C384" s="96">
        <v>18</v>
      </c>
      <c r="D384" s="104" t="s">
        <v>30</v>
      </c>
      <c r="E384" s="97" t="s">
        <v>8</v>
      </c>
      <c r="F384" s="97" t="str">
        <f>VLOOKUP(E384,Emp_Data!$B$2:$C$9,2,)</f>
        <v>Jeff</v>
      </c>
      <c r="G384" s="97" t="s">
        <v>9</v>
      </c>
      <c r="H384" s="97" t="s">
        <v>39</v>
      </c>
      <c r="I384" s="97">
        <v>399</v>
      </c>
      <c r="J384" s="97">
        <v>3</v>
      </c>
      <c r="K384" s="97">
        <f t="shared" si="5"/>
        <v>1197</v>
      </c>
      <c r="L384" s="97">
        <f>_xlfn.XLOOKUP(E384,Emp_Data!$B$2:$B$9,Emp_Data!$A$2:$A$9)</f>
        <v>3</v>
      </c>
    </row>
    <row r="385" spans="1:12">
      <c r="A385" s="99">
        <v>1902</v>
      </c>
      <c r="B385" s="101">
        <v>44820</v>
      </c>
      <c r="C385" s="96">
        <v>14</v>
      </c>
      <c r="D385" s="104" t="s">
        <v>33</v>
      </c>
      <c r="E385" s="97" t="s">
        <v>18</v>
      </c>
      <c r="F385" s="97" t="str">
        <f>VLOOKUP(E385,Emp_Data!$B$2:$C$9,2,)</f>
        <v>Sara</v>
      </c>
      <c r="G385" s="97" t="s">
        <v>19</v>
      </c>
      <c r="H385" s="97" t="s">
        <v>39</v>
      </c>
      <c r="I385" s="97">
        <v>399</v>
      </c>
      <c r="J385" s="97">
        <v>8</v>
      </c>
      <c r="K385" s="97">
        <f t="shared" si="5"/>
        <v>3192</v>
      </c>
      <c r="L385" s="97">
        <f>_xlfn.XLOOKUP(E385,Emp_Data!$B$2:$B$9,Emp_Data!$A$2:$A$9)</f>
        <v>5</v>
      </c>
    </row>
    <row r="386" spans="1:12">
      <c r="A386" s="99">
        <v>1903</v>
      </c>
      <c r="B386" s="101">
        <v>44820</v>
      </c>
      <c r="C386" s="96">
        <v>15</v>
      </c>
      <c r="D386" s="104" t="s">
        <v>29</v>
      </c>
      <c r="E386" s="97" t="s">
        <v>24</v>
      </c>
      <c r="F386" s="97" t="str">
        <f>VLOOKUP(E386,Emp_Data!$B$2:$C$9,2,)</f>
        <v>Steve</v>
      </c>
      <c r="G386" s="97" t="s">
        <v>19</v>
      </c>
      <c r="H386" s="97" t="s">
        <v>39</v>
      </c>
      <c r="I386" s="97">
        <v>399</v>
      </c>
      <c r="J386" s="97">
        <v>0</v>
      </c>
      <c r="K386" s="97">
        <f t="shared" si="5"/>
        <v>0</v>
      </c>
      <c r="L386" s="97">
        <f>_xlfn.XLOOKUP(E386,Emp_Data!$B$2:$B$9,Emp_Data!$A$2:$A$9)</f>
        <v>6</v>
      </c>
    </row>
    <row r="387" spans="1:12">
      <c r="A387" s="99">
        <v>1904</v>
      </c>
      <c r="B387" s="101">
        <v>44821</v>
      </c>
      <c r="C387" s="96">
        <v>15</v>
      </c>
      <c r="D387" s="104" t="s">
        <v>29</v>
      </c>
      <c r="E387" s="97" t="s">
        <v>24</v>
      </c>
      <c r="F387" s="97" t="str">
        <f>VLOOKUP(E387,Emp_Data!$B$2:$C$9,2,)</f>
        <v>Steve</v>
      </c>
      <c r="G387" s="97" t="s">
        <v>19</v>
      </c>
      <c r="H387" s="97" t="s">
        <v>39</v>
      </c>
      <c r="I387" s="97">
        <v>399</v>
      </c>
      <c r="J387" s="97">
        <v>2</v>
      </c>
      <c r="K387" s="97">
        <f t="shared" ref="K387:K450" si="6">SUMPRODUCT(I387,J387)</f>
        <v>798</v>
      </c>
      <c r="L387" s="97">
        <f>_xlfn.XLOOKUP(E387,Emp_Data!$B$2:$B$9,Emp_Data!$A$2:$A$9)</f>
        <v>6</v>
      </c>
    </row>
    <row r="388" spans="1:12">
      <c r="A388" s="99">
        <v>1911</v>
      </c>
      <c r="B388" s="101">
        <v>44822</v>
      </c>
      <c r="C388" s="96">
        <v>1</v>
      </c>
      <c r="D388" s="104" t="s">
        <v>31</v>
      </c>
      <c r="E388" s="97" t="s">
        <v>21</v>
      </c>
      <c r="F388" s="97" t="str">
        <f>VLOOKUP(E388,Emp_Data!$B$2:$C$9,2,)</f>
        <v>Sara</v>
      </c>
      <c r="G388" s="97" t="s">
        <v>15</v>
      </c>
      <c r="H388" s="97" t="s">
        <v>39</v>
      </c>
      <c r="I388" s="97">
        <v>399</v>
      </c>
      <c r="J388" s="97">
        <v>6</v>
      </c>
      <c r="K388" s="97">
        <f t="shared" si="6"/>
        <v>2394</v>
      </c>
      <c r="L388" s="97">
        <f>_xlfn.XLOOKUP(E388,Emp_Data!$B$2:$B$9,Emp_Data!$A$2:$A$9)</f>
        <v>2</v>
      </c>
    </row>
    <row r="389" spans="1:12">
      <c r="A389" s="99">
        <v>1916</v>
      </c>
      <c r="B389" s="101">
        <v>44824</v>
      </c>
      <c r="C389" s="96">
        <v>5</v>
      </c>
      <c r="D389" s="104" t="s">
        <v>16</v>
      </c>
      <c r="E389" s="97" t="s">
        <v>14</v>
      </c>
      <c r="F389" s="97" t="str">
        <f>VLOOKUP(E389,Emp_Data!$B$2:$C$9,2,)</f>
        <v>Jeff</v>
      </c>
      <c r="G389" s="97" t="s">
        <v>15</v>
      </c>
      <c r="H389" s="97" t="s">
        <v>39</v>
      </c>
      <c r="I389" s="97">
        <v>399</v>
      </c>
      <c r="J389" s="97">
        <v>4</v>
      </c>
      <c r="K389" s="97">
        <f t="shared" si="6"/>
        <v>1596</v>
      </c>
      <c r="L389" s="97">
        <f>_xlfn.XLOOKUP(E389,Emp_Data!$B$2:$B$9,Emp_Data!$A$2:$A$9)</f>
        <v>2</v>
      </c>
    </row>
    <row r="390" spans="1:12">
      <c r="A390" s="99">
        <v>1918</v>
      </c>
      <c r="B390" s="101">
        <v>44824</v>
      </c>
      <c r="C390" s="96">
        <v>1</v>
      </c>
      <c r="D390" s="104" t="s">
        <v>31</v>
      </c>
      <c r="E390" s="97" t="s">
        <v>14</v>
      </c>
      <c r="F390" s="97" t="str">
        <f>VLOOKUP(E390,Emp_Data!$B$2:$C$9,2,)</f>
        <v>Jeff</v>
      </c>
      <c r="G390" s="97" t="s">
        <v>15</v>
      </c>
      <c r="H390" s="97" t="s">
        <v>39</v>
      </c>
      <c r="I390" s="97">
        <v>399</v>
      </c>
      <c r="J390" s="97">
        <v>1</v>
      </c>
      <c r="K390" s="97">
        <f t="shared" si="6"/>
        <v>399</v>
      </c>
      <c r="L390" s="97">
        <f>_xlfn.XLOOKUP(E390,Emp_Data!$B$2:$B$9,Emp_Data!$A$2:$A$9)</f>
        <v>2</v>
      </c>
    </row>
    <row r="391" spans="1:12">
      <c r="A391" s="99">
        <v>1921</v>
      </c>
      <c r="B391" s="101">
        <v>44824</v>
      </c>
      <c r="C391" s="96">
        <v>17</v>
      </c>
      <c r="D391" s="104" t="s">
        <v>32</v>
      </c>
      <c r="E391" s="97" t="s">
        <v>25</v>
      </c>
      <c r="F391" s="97" t="str">
        <f>VLOOKUP(E391,Emp_Data!$B$2:$C$9,2,)</f>
        <v>Jeff</v>
      </c>
      <c r="G391" s="97" t="s">
        <v>9</v>
      </c>
      <c r="H391" s="97" t="s">
        <v>39</v>
      </c>
      <c r="I391" s="97">
        <v>399</v>
      </c>
      <c r="J391" s="97">
        <v>1</v>
      </c>
      <c r="K391" s="97">
        <f t="shared" si="6"/>
        <v>399</v>
      </c>
      <c r="L391" s="97">
        <f>_xlfn.XLOOKUP(E391,Emp_Data!$B$2:$B$9,Emp_Data!$A$2:$A$9)</f>
        <v>5</v>
      </c>
    </row>
    <row r="392" spans="1:12">
      <c r="A392" s="99">
        <v>1922</v>
      </c>
      <c r="B392" s="101">
        <v>44824</v>
      </c>
      <c r="C392" s="96">
        <v>8</v>
      </c>
      <c r="D392" s="104" t="s">
        <v>36</v>
      </c>
      <c r="E392" s="97" t="s">
        <v>27</v>
      </c>
      <c r="F392" s="97" t="str">
        <f>VLOOKUP(E392,Emp_Data!$B$2:$C$9,2,)</f>
        <v>Philip</v>
      </c>
      <c r="G392" s="97" t="s">
        <v>12</v>
      </c>
      <c r="H392" s="97" t="s">
        <v>39</v>
      </c>
      <c r="I392" s="97">
        <v>399</v>
      </c>
      <c r="J392" s="97">
        <v>3</v>
      </c>
      <c r="K392" s="97">
        <f t="shared" si="6"/>
        <v>1197</v>
      </c>
      <c r="L392" s="97">
        <f>_xlfn.XLOOKUP(E392,Emp_Data!$B$2:$B$9,Emp_Data!$A$2:$A$9)</f>
        <v>8</v>
      </c>
    </row>
    <row r="393" spans="1:12">
      <c r="A393" s="99">
        <v>1928</v>
      </c>
      <c r="B393" s="101">
        <v>44826</v>
      </c>
      <c r="C393" s="96">
        <v>13</v>
      </c>
      <c r="D393" s="104" t="s">
        <v>23</v>
      </c>
      <c r="E393" s="97" t="s">
        <v>24</v>
      </c>
      <c r="F393" s="97" t="str">
        <f>VLOOKUP(E393,Emp_Data!$B$2:$C$9,2,)</f>
        <v>Steve</v>
      </c>
      <c r="G393" s="97" t="s">
        <v>19</v>
      </c>
      <c r="H393" s="97" t="s">
        <v>39</v>
      </c>
      <c r="I393" s="97">
        <v>399</v>
      </c>
      <c r="J393" s="97">
        <v>6</v>
      </c>
      <c r="K393" s="97">
        <f t="shared" si="6"/>
        <v>2394</v>
      </c>
      <c r="L393" s="97">
        <f>_xlfn.XLOOKUP(E393,Emp_Data!$B$2:$B$9,Emp_Data!$A$2:$A$9)</f>
        <v>6</v>
      </c>
    </row>
    <row r="394" spans="1:12">
      <c r="A394" s="99">
        <v>1930</v>
      </c>
      <c r="B394" s="101">
        <v>44827</v>
      </c>
      <c r="C394" s="96">
        <v>4</v>
      </c>
      <c r="D394" s="104" t="s">
        <v>13</v>
      </c>
      <c r="E394" s="97" t="s">
        <v>14</v>
      </c>
      <c r="F394" s="97" t="str">
        <f>VLOOKUP(E394,Emp_Data!$B$2:$C$9,2,)</f>
        <v>Jeff</v>
      </c>
      <c r="G394" s="97" t="s">
        <v>15</v>
      </c>
      <c r="H394" s="97" t="s">
        <v>39</v>
      </c>
      <c r="I394" s="97">
        <v>399</v>
      </c>
      <c r="J394" s="97">
        <v>7</v>
      </c>
      <c r="K394" s="97">
        <f t="shared" si="6"/>
        <v>2793</v>
      </c>
      <c r="L394" s="97">
        <f>_xlfn.XLOOKUP(E394,Emp_Data!$B$2:$B$9,Emp_Data!$A$2:$A$9)</f>
        <v>2</v>
      </c>
    </row>
    <row r="395" spans="1:12">
      <c r="A395" s="99">
        <v>1931</v>
      </c>
      <c r="B395" s="101">
        <v>44827</v>
      </c>
      <c r="C395" s="96">
        <v>2</v>
      </c>
      <c r="D395" s="104" t="s">
        <v>35</v>
      </c>
      <c r="E395" s="97" t="s">
        <v>14</v>
      </c>
      <c r="F395" s="97" t="str">
        <f>VLOOKUP(E395,Emp_Data!$B$2:$C$9,2,)</f>
        <v>Jeff</v>
      </c>
      <c r="G395" s="97" t="s">
        <v>15</v>
      </c>
      <c r="H395" s="97" t="s">
        <v>39</v>
      </c>
      <c r="I395" s="97">
        <v>399</v>
      </c>
      <c r="J395" s="97">
        <v>0</v>
      </c>
      <c r="K395" s="97">
        <f t="shared" si="6"/>
        <v>0</v>
      </c>
      <c r="L395" s="97">
        <f>_xlfn.XLOOKUP(E395,Emp_Data!$B$2:$B$9,Emp_Data!$A$2:$A$9)</f>
        <v>2</v>
      </c>
    </row>
    <row r="396" spans="1:12">
      <c r="A396" s="99">
        <v>1939</v>
      </c>
      <c r="B396" s="101">
        <v>44831</v>
      </c>
      <c r="C396" s="96">
        <v>13</v>
      </c>
      <c r="D396" s="104" t="s">
        <v>23</v>
      </c>
      <c r="E396" s="97" t="s">
        <v>24</v>
      </c>
      <c r="F396" s="97" t="str">
        <f>VLOOKUP(E396,Emp_Data!$B$2:$C$9,2,)</f>
        <v>Steve</v>
      </c>
      <c r="G396" s="97" t="s">
        <v>19</v>
      </c>
      <c r="H396" s="97" t="s">
        <v>39</v>
      </c>
      <c r="I396" s="97">
        <v>399</v>
      </c>
      <c r="J396" s="97">
        <v>6</v>
      </c>
      <c r="K396" s="97">
        <f t="shared" si="6"/>
        <v>2394</v>
      </c>
      <c r="L396" s="97">
        <f>_xlfn.XLOOKUP(E396,Emp_Data!$B$2:$B$9,Emp_Data!$A$2:$A$9)</f>
        <v>6</v>
      </c>
    </row>
    <row r="397" spans="1:12">
      <c r="A397" s="99">
        <v>1949</v>
      </c>
      <c r="B397" s="101">
        <v>44833</v>
      </c>
      <c r="C397" s="96">
        <v>9</v>
      </c>
      <c r="D397" s="104" t="s">
        <v>26</v>
      </c>
      <c r="E397" s="97" t="s">
        <v>27</v>
      </c>
      <c r="F397" s="97" t="str">
        <f>VLOOKUP(E397,Emp_Data!$B$2:$C$9,2,)</f>
        <v>Philip</v>
      </c>
      <c r="G397" s="97" t="s">
        <v>12</v>
      </c>
      <c r="H397" s="97" t="s">
        <v>39</v>
      </c>
      <c r="I397" s="97">
        <v>399</v>
      </c>
      <c r="J397" s="97">
        <v>4</v>
      </c>
      <c r="K397" s="97">
        <f t="shared" si="6"/>
        <v>1596</v>
      </c>
      <c r="L397" s="97">
        <f>_xlfn.XLOOKUP(E397,Emp_Data!$B$2:$B$9,Emp_Data!$A$2:$A$9)</f>
        <v>8</v>
      </c>
    </row>
    <row r="398" spans="1:12">
      <c r="A398" s="99">
        <v>1954</v>
      </c>
      <c r="B398" s="101">
        <v>44835</v>
      </c>
      <c r="C398" s="96">
        <v>2</v>
      </c>
      <c r="D398" s="104" t="s">
        <v>35</v>
      </c>
      <c r="E398" s="97" t="s">
        <v>14</v>
      </c>
      <c r="F398" s="97" t="str">
        <f>VLOOKUP(E398,Emp_Data!$B$2:$C$9,2,)</f>
        <v>Jeff</v>
      </c>
      <c r="G398" s="97" t="s">
        <v>15</v>
      </c>
      <c r="H398" s="97" t="s">
        <v>39</v>
      </c>
      <c r="I398" s="97">
        <v>399</v>
      </c>
      <c r="J398" s="97">
        <v>2</v>
      </c>
      <c r="K398" s="97">
        <f t="shared" si="6"/>
        <v>798</v>
      </c>
      <c r="L398" s="97">
        <f>_xlfn.XLOOKUP(E398,Emp_Data!$B$2:$B$9,Emp_Data!$A$2:$A$9)</f>
        <v>2</v>
      </c>
    </row>
    <row r="399" spans="1:12">
      <c r="A399" s="99">
        <v>1958</v>
      </c>
      <c r="B399" s="101">
        <v>44837</v>
      </c>
      <c r="C399" s="96">
        <v>8</v>
      </c>
      <c r="D399" s="104" t="s">
        <v>36</v>
      </c>
      <c r="E399" s="97" t="s">
        <v>11</v>
      </c>
      <c r="F399" s="97" t="str">
        <f>VLOOKUP(E399,Emp_Data!$B$2:$C$9,2,)</f>
        <v>Steve</v>
      </c>
      <c r="G399" s="97" t="s">
        <v>12</v>
      </c>
      <c r="H399" s="97" t="s">
        <v>39</v>
      </c>
      <c r="I399" s="97">
        <v>399</v>
      </c>
      <c r="J399" s="97">
        <v>3</v>
      </c>
      <c r="K399" s="97">
        <f t="shared" si="6"/>
        <v>1197</v>
      </c>
      <c r="L399" s="97">
        <f>_xlfn.XLOOKUP(E399,Emp_Data!$B$2:$B$9,Emp_Data!$A$2:$A$9)</f>
        <v>4</v>
      </c>
    </row>
    <row r="400" spans="1:12">
      <c r="A400" s="99">
        <v>1962</v>
      </c>
      <c r="B400" s="101">
        <v>44838</v>
      </c>
      <c r="C400" s="96">
        <v>20</v>
      </c>
      <c r="D400" s="104" t="s">
        <v>7</v>
      </c>
      <c r="E400" s="97" t="s">
        <v>25</v>
      </c>
      <c r="F400" s="97" t="str">
        <f>VLOOKUP(E400,Emp_Data!$B$2:$C$9,2,)</f>
        <v>Jeff</v>
      </c>
      <c r="G400" s="97" t="s">
        <v>9</v>
      </c>
      <c r="H400" s="97" t="s">
        <v>39</v>
      </c>
      <c r="I400" s="97">
        <v>399</v>
      </c>
      <c r="J400" s="97">
        <v>3</v>
      </c>
      <c r="K400" s="97">
        <f t="shared" si="6"/>
        <v>1197</v>
      </c>
      <c r="L400" s="97">
        <f>_xlfn.XLOOKUP(E400,Emp_Data!$B$2:$B$9,Emp_Data!$A$2:$A$9)</f>
        <v>5</v>
      </c>
    </row>
    <row r="401" spans="1:12">
      <c r="A401" s="99">
        <v>1966</v>
      </c>
      <c r="B401" s="101">
        <v>44839</v>
      </c>
      <c r="C401" s="96">
        <v>15</v>
      </c>
      <c r="D401" s="104" t="s">
        <v>29</v>
      </c>
      <c r="E401" s="97" t="s">
        <v>18</v>
      </c>
      <c r="F401" s="97" t="str">
        <f>VLOOKUP(E401,Emp_Data!$B$2:$C$9,2,)</f>
        <v>Sara</v>
      </c>
      <c r="G401" s="97" t="s">
        <v>19</v>
      </c>
      <c r="H401" s="97" t="s">
        <v>39</v>
      </c>
      <c r="I401" s="97">
        <v>399</v>
      </c>
      <c r="J401" s="97">
        <v>0</v>
      </c>
      <c r="K401" s="97">
        <f t="shared" si="6"/>
        <v>0</v>
      </c>
      <c r="L401" s="97">
        <f>_xlfn.XLOOKUP(E401,Emp_Data!$B$2:$B$9,Emp_Data!$A$2:$A$9)</f>
        <v>5</v>
      </c>
    </row>
    <row r="402" spans="1:12">
      <c r="A402" s="99">
        <v>1967</v>
      </c>
      <c r="B402" s="101">
        <v>44839</v>
      </c>
      <c r="C402" s="96">
        <v>20</v>
      </c>
      <c r="D402" s="104" t="s">
        <v>7</v>
      </c>
      <c r="E402" s="97" t="s">
        <v>8</v>
      </c>
      <c r="F402" s="97" t="str">
        <f>VLOOKUP(E402,Emp_Data!$B$2:$C$9,2,)</f>
        <v>Jeff</v>
      </c>
      <c r="G402" s="97" t="s">
        <v>9</v>
      </c>
      <c r="H402" s="97" t="s">
        <v>39</v>
      </c>
      <c r="I402" s="97">
        <v>399</v>
      </c>
      <c r="J402" s="97">
        <v>9</v>
      </c>
      <c r="K402" s="97">
        <f t="shared" si="6"/>
        <v>3591</v>
      </c>
      <c r="L402" s="97">
        <f>_xlfn.XLOOKUP(E402,Emp_Data!$B$2:$B$9,Emp_Data!$A$2:$A$9)</f>
        <v>3</v>
      </c>
    </row>
    <row r="403" spans="1:12">
      <c r="A403" s="99">
        <v>1970</v>
      </c>
      <c r="B403" s="101">
        <v>44839</v>
      </c>
      <c r="C403" s="96">
        <v>11</v>
      </c>
      <c r="D403" s="104" t="s">
        <v>38</v>
      </c>
      <c r="E403" s="97" t="s">
        <v>24</v>
      </c>
      <c r="F403" s="97" t="str">
        <f>VLOOKUP(E403,Emp_Data!$B$2:$C$9,2,)</f>
        <v>Steve</v>
      </c>
      <c r="G403" s="97" t="s">
        <v>19</v>
      </c>
      <c r="H403" s="97" t="s">
        <v>39</v>
      </c>
      <c r="I403" s="97">
        <v>399</v>
      </c>
      <c r="J403" s="97">
        <v>2</v>
      </c>
      <c r="K403" s="97">
        <f t="shared" si="6"/>
        <v>798</v>
      </c>
      <c r="L403" s="97">
        <f>_xlfn.XLOOKUP(E403,Emp_Data!$B$2:$B$9,Emp_Data!$A$2:$A$9)</f>
        <v>6</v>
      </c>
    </row>
    <row r="404" spans="1:12">
      <c r="A404" s="99">
        <v>1973</v>
      </c>
      <c r="B404" s="101">
        <v>44839</v>
      </c>
      <c r="C404" s="96">
        <v>12</v>
      </c>
      <c r="D404" s="104" t="s">
        <v>17</v>
      </c>
      <c r="E404" s="97" t="s">
        <v>18</v>
      </c>
      <c r="F404" s="97" t="str">
        <f>VLOOKUP(E404,Emp_Data!$B$2:$C$9,2,)</f>
        <v>Sara</v>
      </c>
      <c r="G404" s="97" t="s">
        <v>19</v>
      </c>
      <c r="H404" s="97" t="s">
        <v>39</v>
      </c>
      <c r="I404" s="97">
        <v>399</v>
      </c>
      <c r="J404" s="97">
        <v>6</v>
      </c>
      <c r="K404" s="97">
        <f t="shared" si="6"/>
        <v>2394</v>
      </c>
      <c r="L404" s="97">
        <f>_xlfn.XLOOKUP(E404,Emp_Data!$B$2:$B$9,Emp_Data!$A$2:$A$9)</f>
        <v>5</v>
      </c>
    </row>
    <row r="405" spans="1:12">
      <c r="A405" s="99">
        <v>1983</v>
      </c>
      <c r="B405" s="101">
        <v>44844</v>
      </c>
      <c r="C405" s="96">
        <v>3</v>
      </c>
      <c r="D405" s="104" t="s">
        <v>20</v>
      </c>
      <c r="E405" s="97" t="s">
        <v>21</v>
      </c>
      <c r="F405" s="97" t="str">
        <f>VLOOKUP(E405,Emp_Data!$B$2:$C$9,2,)</f>
        <v>Sara</v>
      </c>
      <c r="G405" s="97" t="s">
        <v>15</v>
      </c>
      <c r="H405" s="97" t="s">
        <v>39</v>
      </c>
      <c r="I405" s="97">
        <v>399</v>
      </c>
      <c r="J405" s="97">
        <v>1</v>
      </c>
      <c r="K405" s="97">
        <f t="shared" si="6"/>
        <v>399</v>
      </c>
      <c r="L405" s="97">
        <f>_xlfn.XLOOKUP(E405,Emp_Data!$B$2:$B$9,Emp_Data!$A$2:$A$9)</f>
        <v>2</v>
      </c>
    </row>
    <row r="406" spans="1:12">
      <c r="A406" s="99">
        <v>1985</v>
      </c>
      <c r="B406" s="101">
        <v>44846</v>
      </c>
      <c r="C406" s="96">
        <v>13</v>
      </c>
      <c r="D406" s="104" t="s">
        <v>23</v>
      </c>
      <c r="E406" s="97" t="s">
        <v>18</v>
      </c>
      <c r="F406" s="97" t="str">
        <f>VLOOKUP(E406,Emp_Data!$B$2:$C$9,2,)</f>
        <v>Sara</v>
      </c>
      <c r="G406" s="97" t="s">
        <v>19</v>
      </c>
      <c r="H406" s="97" t="s">
        <v>39</v>
      </c>
      <c r="I406" s="97">
        <v>399</v>
      </c>
      <c r="J406" s="97">
        <v>3</v>
      </c>
      <c r="K406" s="97">
        <f t="shared" si="6"/>
        <v>1197</v>
      </c>
      <c r="L406" s="97">
        <f>_xlfn.XLOOKUP(E406,Emp_Data!$B$2:$B$9,Emp_Data!$A$2:$A$9)</f>
        <v>5</v>
      </c>
    </row>
    <row r="407" spans="1:12">
      <c r="A407" s="99">
        <v>1998</v>
      </c>
      <c r="B407" s="101">
        <v>44850</v>
      </c>
      <c r="C407" s="96">
        <v>3</v>
      </c>
      <c r="D407" s="104" t="s">
        <v>20</v>
      </c>
      <c r="E407" s="97" t="s">
        <v>21</v>
      </c>
      <c r="F407" s="97" t="str">
        <f>VLOOKUP(E407,Emp_Data!$B$2:$C$9,2,)</f>
        <v>Sara</v>
      </c>
      <c r="G407" s="97" t="s">
        <v>15</v>
      </c>
      <c r="H407" s="97" t="s">
        <v>39</v>
      </c>
      <c r="I407" s="97">
        <v>399</v>
      </c>
      <c r="J407" s="97">
        <v>6</v>
      </c>
      <c r="K407" s="97">
        <f t="shared" si="6"/>
        <v>2394</v>
      </c>
      <c r="L407" s="97">
        <f>_xlfn.XLOOKUP(E407,Emp_Data!$B$2:$B$9,Emp_Data!$A$2:$A$9)</f>
        <v>2</v>
      </c>
    </row>
    <row r="408" spans="1:12">
      <c r="A408" s="99">
        <v>2</v>
      </c>
      <c r="B408" s="101">
        <v>44198</v>
      </c>
      <c r="C408" s="96">
        <v>1</v>
      </c>
      <c r="D408" s="104" t="s">
        <v>31</v>
      </c>
      <c r="E408" s="97" t="s">
        <v>14</v>
      </c>
      <c r="F408" s="97" t="str">
        <f>VLOOKUP(E408,Emp_Data!$B$2:$C$9,2,)</f>
        <v>Jeff</v>
      </c>
      <c r="G408" s="97" t="s">
        <v>15</v>
      </c>
      <c r="H408" s="97" t="s">
        <v>40</v>
      </c>
      <c r="I408" s="97">
        <v>289</v>
      </c>
      <c r="J408" s="97">
        <v>7</v>
      </c>
      <c r="K408" s="97">
        <f t="shared" si="6"/>
        <v>2023</v>
      </c>
      <c r="L408" s="97">
        <f>_xlfn.XLOOKUP(E408,Emp_Data!$B$2:$B$9,Emp_Data!$A$2:$A$9)</f>
        <v>2</v>
      </c>
    </row>
    <row r="409" spans="1:12">
      <c r="A409" s="99">
        <v>4</v>
      </c>
      <c r="B409" s="101">
        <v>44199</v>
      </c>
      <c r="C409" s="96">
        <v>18</v>
      </c>
      <c r="D409" s="104" t="s">
        <v>30</v>
      </c>
      <c r="E409" s="97" t="s">
        <v>25</v>
      </c>
      <c r="F409" s="97" t="str">
        <f>VLOOKUP(E409,Emp_Data!$B$2:$C$9,2,)</f>
        <v>Jeff</v>
      </c>
      <c r="G409" s="97" t="s">
        <v>9</v>
      </c>
      <c r="H409" s="97" t="s">
        <v>40</v>
      </c>
      <c r="I409" s="97">
        <v>289</v>
      </c>
      <c r="J409" s="97">
        <v>3</v>
      </c>
      <c r="K409" s="97">
        <f t="shared" si="6"/>
        <v>867</v>
      </c>
      <c r="L409" s="97">
        <f>_xlfn.XLOOKUP(E409,Emp_Data!$B$2:$B$9,Emp_Data!$A$2:$A$9)</f>
        <v>5</v>
      </c>
    </row>
    <row r="410" spans="1:12">
      <c r="A410" s="99">
        <v>7</v>
      </c>
      <c r="B410" s="101">
        <v>44200</v>
      </c>
      <c r="C410" s="96">
        <v>17</v>
      </c>
      <c r="D410" s="104" t="s">
        <v>32</v>
      </c>
      <c r="E410" s="97" t="s">
        <v>8</v>
      </c>
      <c r="F410" s="97" t="str">
        <f>VLOOKUP(E410,Emp_Data!$B$2:$C$9,2,)</f>
        <v>Jeff</v>
      </c>
      <c r="G410" s="97" t="s">
        <v>9</v>
      </c>
      <c r="H410" s="97" t="s">
        <v>40</v>
      </c>
      <c r="I410" s="97">
        <v>289</v>
      </c>
      <c r="J410" s="97">
        <v>9</v>
      </c>
      <c r="K410" s="97">
        <f t="shared" si="6"/>
        <v>2601</v>
      </c>
      <c r="L410" s="97">
        <f>_xlfn.XLOOKUP(E410,Emp_Data!$B$2:$B$9,Emp_Data!$A$2:$A$9)</f>
        <v>3</v>
      </c>
    </row>
    <row r="411" spans="1:12">
      <c r="A411" s="99">
        <v>11</v>
      </c>
      <c r="B411" s="101">
        <v>44201</v>
      </c>
      <c r="C411" s="96">
        <v>8</v>
      </c>
      <c r="D411" s="104" t="s">
        <v>36</v>
      </c>
      <c r="E411" s="97" t="s">
        <v>11</v>
      </c>
      <c r="F411" s="97" t="str">
        <f>VLOOKUP(E411,Emp_Data!$B$2:$C$9,2,)</f>
        <v>Steve</v>
      </c>
      <c r="G411" s="97" t="s">
        <v>12</v>
      </c>
      <c r="H411" s="97" t="s">
        <v>40</v>
      </c>
      <c r="I411" s="97">
        <v>289</v>
      </c>
      <c r="J411" s="97">
        <v>9</v>
      </c>
      <c r="K411" s="97">
        <f t="shared" si="6"/>
        <v>2601</v>
      </c>
      <c r="L411" s="97">
        <f>_xlfn.XLOOKUP(E411,Emp_Data!$B$2:$B$9,Emp_Data!$A$2:$A$9)</f>
        <v>4</v>
      </c>
    </row>
    <row r="412" spans="1:12">
      <c r="A412" s="99">
        <v>17</v>
      </c>
      <c r="B412" s="101">
        <v>44203</v>
      </c>
      <c r="C412" s="96">
        <v>14</v>
      </c>
      <c r="D412" s="104" t="s">
        <v>33</v>
      </c>
      <c r="E412" s="97" t="s">
        <v>18</v>
      </c>
      <c r="F412" s="97" t="str">
        <f>VLOOKUP(E412,Emp_Data!$B$2:$C$9,2,)</f>
        <v>Sara</v>
      </c>
      <c r="G412" s="97" t="s">
        <v>19</v>
      </c>
      <c r="H412" s="97" t="s">
        <v>40</v>
      </c>
      <c r="I412" s="97">
        <v>289</v>
      </c>
      <c r="J412" s="97">
        <v>0</v>
      </c>
      <c r="K412" s="97">
        <f t="shared" si="6"/>
        <v>0</v>
      </c>
      <c r="L412" s="97">
        <f>_xlfn.XLOOKUP(E412,Emp_Data!$B$2:$B$9,Emp_Data!$A$2:$A$9)</f>
        <v>5</v>
      </c>
    </row>
    <row r="413" spans="1:12">
      <c r="A413" s="99">
        <v>22</v>
      </c>
      <c r="B413" s="101">
        <v>44203</v>
      </c>
      <c r="C413" s="96">
        <v>11</v>
      </c>
      <c r="D413" s="104" t="s">
        <v>38</v>
      </c>
      <c r="E413" s="97" t="s">
        <v>24</v>
      </c>
      <c r="F413" s="97" t="str">
        <f>VLOOKUP(E413,Emp_Data!$B$2:$C$9,2,)</f>
        <v>Steve</v>
      </c>
      <c r="G413" s="97" t="s">
        <v>19</v>
      </c>
      <c r="H413" s="97" t="s">
        <v>40</v>
      </c>
      <c r="I413" s="97">
        <v>289</v>
      </c>
      <c r="J413" s="97">
        <v>6</v>
      </c>
      <c r="K413" s="97">
        <f t="shared" si="6"/>
        <v>1734</v>
      </c>
      <c r="L413" s="97">
        <f>_xlfn.XLOOKUP(E413,Emp_Data!$B$2:$B$9,Emp_Data!$A$2:$A$9)</f>
        <v>6</v>
      </c>
    </row>
    <row r="414" spans="1:12">
      <c r="A414" s="99">
        <v>26</v>
      </c>
      <c r="B414" s="101">
        <v>44204</v>
      </c>
      <c r="C414" s="96">
        <v>14</v>
      </c>
      <c r="D414" s="104" t="s">
        <v>33</v>
      </c>
      <c r="E414" s="97" t="s">
        <v>18</v>
      </c>
      <c r="F414" s="97" t="str">
        <f>VLOOKUP(E414,Emp_Data!$B$2:$C$9,2,)</f>
        <v>Sara</v>
      </c>
      <c r="G414" s="97" t="s">
        <v>19</v>
      </c>
      <c r="H414" s="97" t="s">
        <v>40</v>
      </c>
      <c r="I414" s="97">
        <v>289</v>
      </c>
      <c r="J414" s="97">
        <v>0</v>
      </c>
      <c r="K414" s="97">
        <f t="shared" si="6"/>
        <v>0</v>
      </c>
      <c r="L414" s="97">
        <f>_xlfn.XLOOKUP(E414,Emp_Data!$B$2:$B$9,Emp_Data!$A$2:$A$9)</f>
        <v>5</v>
      </c>
    </row>
    <row r="415" spans="1:12">
      <c r="A415" s="99">
        <v>30</v>
      </c>
      <c r="B415" s="101">
        <v>44205</v>
      </c>
      <c r="C415" s="96">
        <v>12</v>
      </c>
      <c r="D415" s="104" t="s">
        <v>17</v>
      </c>
      <c r="E415" s="97" t="s">
        <v>24</v>
      </c>
      <c r="F415" s="97" t="str">
        <f>VLOOKUP(E415,Emp_Data!$B$2:$C$9,2,)</f>
        <v>Steve</v>
      </c>
      <c r="G415" s="97" t="s">
        <v>19</v>
      </c>
      <c r="H415" s="97" t="s">
        <v>40</v>
      </c>
      <c r="I415" s="97">
        <v>289</v>
      </c>
      <c r="J415" s="97">
        <v>0</v>
      </c>
      <c r="K415" s="97">
        <f t="shared" si="6"/>
        <v>0</v>
      </c>
      <c r="L415" s="97">
        <f>_xlfn.XLOOKUP(E415,Emp_Data!$B$2:$B$9,Emp_Data!$A$2:$A$9)</f>
        <v>6</v>
      </c>
    </row>
    <row r="416" spans="1:12">
      <c r="A416" s="99">
        <v>36</v>
      </c>
      <c r="B416" s="101">
        <v>44207</v>
      </c>
      <c r="C416" s="96">
        <v>13</v>
      </c>
      <c r="D416" s="104" t="s">
        <v>23</v>
      </c>
      <c r="E416" s="97" t="s">
        <v>24</v>
      </c>
      <c r="F416" s="97" t="str">
        <f>VLOOKUP(E416,Emp_Data!$B$2:$C$9,2,)</f>
        <v>Steve</v>
      </c>
      <c r="G416" s="97" t="s">
        <v>19</v>
      </c>
      <c r="H416" s="97" t="s">
        <v>40</v>
      </c>
      <c r="I416" s="97">
        <v>289</v>
      </c>
      <c r="J416" s="97">
        <v>1</v>
      </c>
      <c r="K416" s="97">
        <f t="shared" si="6"/>
        <v>289</v>
      </c>
      <c r="L416" s="97">
        <f>_xlfn.XLOOKUP(E416,Emp_Data!$B$2:$B$9,Emp_Data!$A$2:$A$9)</f>
        <v>6</v>
      </c>
    </row>
    <row r="417" spans="1:12">
      <c r="A417" s="99">
        <v>40</v>
      </c>
      <c r="B417" s="101">
        <v>44208</v>
      </c>
      <c r="C417" s="96">
        <v>14</v>
      </c>
      <c r="D417" s="104" t="s">
        <v>33</v>
      </c>
      <c r="E417" s="97" t="s">
        <v>18</v>
      </c>
      <c r="F417" s="97" t="str">
        <f>VLOOKUP(E417,Emp_Data!$B$2:$C$9,2,)</f>
        <v>Sara</v>
      </c>
      <c r="G417" s="97" t="s">
        <v>19</v>
      </c>
      <c r="H417" s="97" t="s">
        <v>40</v>
      </c>
      <c r="I417" s="97">
        <v>289</v>
      </c>
      <c r="J417" s="97">
        <v>3</v>
      </c>
      <c r="K417" s="97">
        <f t="shared" si="6"/>
        <v>867</v>
      </c>
      <c r="L417" s="97">
        <f>_xlfn.XLOOKUP(E417,Emp_Data!$B$2:$B$9,Emp_Data!$A$2:$A$9)</f>
        <v>5</v>
      </c>
    </row>
    <row r="418" spans="1:12">
      <c r="A418" s="99">
        <v>45</v>
      </c>
      <c r="B418" s="101">
        <v>44209</v>
      </c>
      <c r="C418" s="96">
        <v>12</v>
      </c>
      <c r="D418" s="104" t="s">
        <v>17</v>
      </c>
      <c r="E418" s="97" t="s">
        <v>24</v>
      </c>
      <c r="F418" s="97" t="str">
        <f>VLOOKUP(E418,Emp_Data!$B$2:$C$9,2,)</f>
        <v>Steve</v>
      </c>
      <c r="G418" s="97" t="s">
        <v>19</v>
      </c>
      <c r="H418" s="97" t="s">
        <v>40</v>
      </c>
      <c r="I418" s="97">
        <v>289</v>
      </c>
      <c r="J418" s="97">
        <v>4</v>
      </c>
      <c r="K418" s="97">
        <f t="shared" si="6"/>
        <v>1156</v>
      </c>
      <c r="L418" s="97">
        <f>_xlfn.XLOOKUP(E418,Emp_Data!$B$2:$B$9,Emp_Data!$A$2:$A$9)</f>
        <v>6</v>
      </c>
    </row>
    <row r="419" spans="1:12">
      <c r="A419" s="99">
        <v>47</v>
      </c>
      <c r="B419" s="101">
        <v>44209</v>
      </c>
      <c r="C419" s="96">
        <v>17</v>
      </c>
      <c r="D419" s="104" t="s">
        <v>32</v>
      </c>
      <c r="E419" s="97" t="s">
        <v>25</v>
      </c>
      <c r="F419" s="97" t="str">
        <f>VLOOKUP(E419,Emp_Data!$B$2:$C$9,2,)</f>
        <v>Jeff</v>
      </c>
      <c r="G419" s="97" t="s">
        <v>9</v>
      </c>
      <c r="H419" s="97" t="s">
        <v>40</v>
      </c>
      <c r="I419" s="97">
        <v>289</v>
      </c>
      <c r="J419" s="97">
        <v>0</v>
      </c>
      <c r="K419" s="97">
        <f t="shared" si="6"/>
        <v>0</v>
      </c>
      <c r="L419" s="97">
        <f>_xlfn.XLOOKUP(E419,Emp_Data!$B$2:$B$9,Emp_Data!$A$2:$A$9)</f>
        <v>5</v>
      </c>
    </row>
    <row r="420" spans="1:12">
      <c r="A420" s="99">
        <v>54</v>
      </c>
      <c r="B420" s="101">
        <v>44211</v>
      </c>
      <c r="C420" s="96">
        <v>8</v>
      </c>
      <c r="D420" s="104" t="s">
        <v>36</v>
      </c>
      <c r="E420" s="97" t="s">
        <v>11</v>
      </c>
      <c r="F420" s="97" t="str">
        <f>VLOOKUP(E420,Emp_Data!$B$2:$C$9,2,)</f>
        <v>Steve</v>
      </c>
      <c r="G420" s="97" t="s">
        <v>12</v>
      </c>
      <c r="H420" s="97" t="s">
        <v>40</v>
      </c>
      <c r="I420" s="97">
        <v>289</v>
      </c>
      <c r="J420" s="97">
        <v>1</v>
      </c>
      <c r="K420" s="97">
        <f t="shared" si="6"/>
        <v>289</v>
      </c>
      <c r="L420" s="97">
        <f>_xlfn.XLOOKUP(E420,Emp_Data!$B$2:$B$9,Emp_Data!$A$2:$A$9)</f>
        <v>4</v>
      </c>
    </row>
    <row r="421" spans="1:12">
      <c r="A421" s="99">
        <v>63</v>
      </c>
      <c r="B421" s="101">
        <v>44213</v>
      </c>
      <c r="C421" s="96">
        <v>9</v>
      </c>
      <c r="D421" s="104" t="s">
        <v>26</v>
      </c>
      <c r="E421" s="97" t="s">
        <v>11</v>
      </c>
      <c r="F421" s="97" t="str">
        <f>VLOOKUP(E421,Emp_Data!$B$2:$C$9,2,)</f>
        <v>Steve</v>
      </c>
      <c r="G421" s="97" t="s">
        <v>12</v>
      </c>
      <c r="H421" s="97" t="s">
        <v>40</v>
      </c>
      <c r="I421" s="97">
        <v>289</v>
      </c>
      <c r="J421" s="97">
        <v>7</v>
      </c>
      <c r="K421" s="97">
        <f t="shared" si="6"/>
        <v>2023</v>
      </c>
      <c r="L421" s="97">
        <f>_xlfn.XLOOKUP(E421,Emp_Data!$B$2:$B$9,Emp_Data!$A$2:$A$9)</f>
        <v>4</v>
      </c>
    </row>
    <row r="422" spans="1:12">
      <c r="A422" s="99">
        <v>66</v>
      </c>
      <c r="B422" s="101">
        <v>44215</v>
      </c>
      <c r="C422" s="96">
        <v>10</v>
      </c>
      <c r="D422" s="104" t="s">
        <v>34</v>
      </c>
      <c r="E422" s="97" t="s">
        <v>11</v>
      </c>
      <c r="F422" s="97" t="str">
        <f>VLOOKUP(E422,Emp_Data!$B$2:$C$9,2,)</f>
        <v>Steve</v>
      </c>
      <c r="G422" s="97" t="s">
        <v>12</v>
      </c>
      <c r="H422" s="97" t="s">
        <v>40</v>
      </c>
      <c r="I422" s="97">
        <v>289</v>
      </c>
      <c r="J422" s="97">
        <v>3</v>
      </c>
      <c r="K422" s="97">
        <f t="shared" si="6"/>
        <v>867</v>
      </c>
      <c r="L422" s="97">
        <f>_xlfn.XLOOKUP(E422,Emp_Data!$B$2:$B$9,Emp_Data!$A$2:$A$9)</f>
        <v>4</v>
      </c>
    </row>
    <row r="423" spans="1:12">
      <c r="A423" s="99">
        <v>74</v>
      </c>
      <c r="B423" s="101">
        <v>44219</v>
      </c>
      <c r="C423" s="96">
        <v>20</v>
      </c>
      <c r="D423" s="104" t="s">
        <v>7</v>
      </c>
      <c r="E423" s="97" t="s">
        <v>25</v>
      </c>
      <c r="F423" s="97" t="str">
        <f>VLOOKUP(E423,Emp_Data!$B$2:$C$9,2,)</f>
        <v>Jeff</v>
      </c>
      <c r="G423" s="97" t="s">
        <v>9</v>
      </c>
      <c r="H423" s="97" t="s">
        <v>40</v>
      </c>
      <c r="I423" s="97">
        <v>289</v>
      </c>
      <c r="J423" s="97">
        <v>1</v>
      </c>
      <c r="K423" s="97">
        <f t="shared" si="6"/>
        <v>289</v>
      </c>
      <c r="L423" s="97">
        <f>_xlfn.XLOOKUP(E423,Emp_Data!$B$2:$B$9,Emp_Data!$A$2:$A$9)</f>
        <v>5</v>
      </c>
    </row>
    <row r="424" spans="1:12">
      <c r="A424" s="99">
        <v>75</v>
      </c>
      <c r="B424" s="101">
        <v>44219</v>
      </c>
      <c r="C424" s="96">
        <v>13</v>
      </c>
      <c r="D424" s="104" t="s">
        <v>23</v>
      </c>
      <c r="E424" s="97" t="s">
        <v>18</v>
      </c>
      <c r="F424" s="97" t="str">
        <f>VLOOKUP(E424,Emp_Data!$B$2:$C$9,2,)</f>
        <v>Sara</v>
      </c>
      <c r="G424" s="97" t="s">
        <v>19</v>
      </c>
      <c r="H424" s="97" t="s">
        <v>40</v>
      </c>
      <c r="I424" s="97">
        <v>289</v>
      </c>
      <c r="J424" s="97">
        <v>5</v>
      </c>
      <c r="K424" s="97">
        <f t="shared" si="6"/>
        <v>1445</v>
      </c>
      <c r="L424" s="97">
        <f>_xlfn.XLOOKUP(E424,Emp_Data!$B$2:$B$9,Emp_Data!$A$2:$A$9)</f>
        <v>5</v>
      </c>
    </row>
    <row r="425" spans="1:12">
      <c r="A425" s="99">
        <v>78</v>
      </c>
      <c r="B425" s="101">
        <v>44220</v>
      </c>
      <c r="C425" s="96">
        <v>5</v>
      </c>
      <c r="D425" s="104" t="s">
        <v>16</v>
      </c>
      <c r="E425" s="97" t="s">
        <v>21</v>
      </c>
      <c r="F425" s="97" t="str">
        <f>VLOOKUP(E425,Emp_Data!$B$2:$C$9,2,)</f>
        <v>Sara</v>
      </c>
      <c r="G425" s="97" t="s">
        <v>15</v>
      </c>
      <c r="H425" s="97" t="s">
        <v>40</v>
      </c>
      <c r="I425" s="97">
        <v>289</v>
      </c>
      <c r="J425" s="97">
        <v>1</v>
      </c>
      <c r="K425" s="97">
        <f t="shared" si="6"/>
        <v>289</v>
      </c>
      <c r="L425" s="97">
        <f>_xlfn.XLOOKUP(E425,Emp_Data!$B$2:$B$9,Emp_Data!$A$2:$A$9)</f>
        <v>2</v>
      </c>
    </row>
    <row r="426" spans="1:12">
      <c r="A426" s="99">
        <v>79</v>
      </c>
      <c r="B426" s="101">
        <v>44220</v>
      </c>
      <c r="C426" s="96">
        <v>19</v>
      </c>
      <c r="D426" s="104" t="s">
        <v>22</v>
      </c>
      <c r="E426" s="97" t="s">
        <v>25</v>
      </c>
      <c r="F426" s="97" t="str">
        <f>VLOOKUP(E426,Emp_Data!$B$2:$C$9,2,)</f>
        <v>Jeff</v>
      </c>
      <c r="G426" s="97" t="s">
        <v>9</v>
      </c>
      <c r="H426" s="97" t="s">
        <v>40</v>
      </c>
      <c r="I426" s="97">
        <v>289</v>
      </c>
      <c r="J426" s="97">
        <v>8</v>
      </c>
      <c r="K426" s="97">
        <f t="shared" si="6"/>
        <v>2312</v>
      </c>
      <c r="L426" s="97">
        <f>_xlfn.XLOOKUP(E426,Emp_Data!$B$2:$B$9,Emp_Data!$A$2:$A$9)</f>
        <v>5</v>
      </c>
    </row>
    <row r="427" spans="1:12">
      <c r="A427" s="99">
        <v>80</v>
      </c>
      <c r="B427" s="101">
        <v>44220</v>
      </c>
      <c r="C427" s="96">
        <v>10</v>
      </c>
      <c r="D427" s="104" t="s">
        <v>34</v>
      </c>
      <c r="E427" s="97" t="s">
        <v>27</v>
      </c>
      <c r="F427" s="97" t="str">
        <f>VLOOKUP(E427,Emp_Data!$B$2:$C$9,2,)</f>
        <v>Philip</v>
      </c>
      <c r="G427" s="97" t="s">
        <v>12</v>
      </c>
      <c r="H427" s="97" t="s">
        <v>40</v>
      </c>
      <c r="I427" s="97">
        <v>289</v>
      </c>
      <c r="J427" s="97">
        <v>3</v>
      </c>
      <c r="K427" s="97">
        <f t="shared" si="6"/>
        <v>867</v>
      </c>
      <c r="L427" s="97">
        <f>_xlfn.XLOOKUP(E427,Emp_Data!$B$2:$B$9,Emp_Data!$A$2:$A$9)</f>
        <v>8</v>
      </c>
    </row>
    <row r="428" spans="1:12">
      <c r="A428" s="99">
        <v>91</v>
      </c>
      <c r="B428" s="101">
        <v>44223</v>
      </c>
      <c r="C428" s="96">
        <v>19</v>
      </c>
      <c r="D428" s="104" t="s">
        <v>22</v>
      </c>
      <c r="E428" s="97" t="s">
        <v>8</v>
      </c>
      <c r="F428" s="97" t="str">
        <f>VLOOKUP(E428,Emp_Data!$B$2:$C$9,2,)</f>
        <v>Jeff</v>
      </c>
      <c r="G428" s="97" t="s">
        <v>9</v>
      </c>
      <c r="H428" s="97" t="s">
        <v>40</v>
      </c>
      <c r="I428" s="97">
        <v>289</v>
      </c>
      <c r="J428" s="97">
        <v>4</v>
      </c>
      <c r="K428" s="97">
        <f t="shared" si="6"/>
        <v>1156</v>
      </c>
      <c r="L428" s="97">
        <f>_xlfn.XLOOKUP(E428,Emp_Data!$B$2:$B$9,Emp_Data!$A$2:$A$9)</f>
        <v>3</v>
      </c>
    </row>
    <row r="429" spans="1:12">
      <c r="A429" s="99">
        <v>118</v>
      </c>
      <c r="B429" s="101">
        <v>44233</v>
      </c>
      <c r="C429" s="96">
        <v>5</v>
      </c>
      <c r="D429" s="104" t="s">
        <v>16</v>
      </c>
      <c r="E429" s="97" t="s">
        <v>14</v>
      </c>
      <c r="F429" s="97" t="str">
        <f>VLOOKUP(E429,Emp_Data!$B$2:$C$9,2,)</f>
        <v>Jeff</v>
      </c>
      <c r="G429" s="97" t="s">
        <v>15</v>
      </c>
      <c r="H429" s="97" t="s">
        <v>40</v>
      </c>
      <c r="I429" s="97">
        <v>289</v>
      </c>
      <c r="J429" s="97">
        <v>2</v>
      </c>
      <c r="K429" s="97">
        <f t="shared" si="6"/>
        <v>578</v>
      </c>
      <c r="L429" s="97">
        <f>_xlfn.XLOOKUP(E429,Emp_Data!$B$2:$B$9,Emp_Data!$A$2:$A$9)</f>
        <v>2</v>
      </c>
    </row>
    <row r="430" spans="1:12">
      <c r="A430" s="99">
        <v>123</v>
      </c>
      <c r="B430" s="101">
        <v>44235</v>
      </c>
      <c r="C430" s="96">
        <v>2</v>
      </c>
      <c r="D430" s="104" t="s">
        <v>35</v>
      </c>
      <c r="E430" s="97" t="s">
        <v>14</v>
      </c>
      <c r="F430" s="97" t="str">
        <f>VLOOKUP(E430,Emp_Data!$B$2:$C$9,2,)</f>
        <v>Jeff</v>
      </c>
      <c r="G430" s="97" t="s">
        <v>15</v>
      </c>
      <c r="H430" s="97" t="s">
        <v>40</v>
      </c>
      <c r="I430" s="97">
        <v>289</v>
      </c>
      <c r="J430" s="97">
        <v>6</v>
      </c>
      <c r="K430" s="97">
        <f t="shared" si="6"/>
        <v>1734</v>
      </c>
      <c r="L430" s="97">
        <f>_xlfn.XLOOKUP(E430,Emp_Data!$B$2:$B$9,Emp_Data!$A$2:$A$9)</f>
        <v>2</v>
      </c>
    </row>
    <row r="431" spans="1:12">
      <c r="A431" s="99">
        <v>124</v>
      </c>
      <c r="B431" s="101">
        <v>44235</v>
      </c>
      <c r="C431" s="96">
        <v>4</v>
      </c>
      <c r="D431" s="104" t="s">
        <v>13</v>
      </c>
      <c r="E431" s="97" t="s">
        <v>21</v>
      </c>
      <c r="F431" s="97" t="str">
        <f>VLOOKUP(E431,Emp_Data!$B$2:$C$9,2,)</f>
        <v>Sara</v>
      </c>
      <c r="G431" s="97" t="s">
        <v>15</v>
      </c>
      <c r="H431" s="97" t="s">
        <v>40</v>
      </c>
      <c r="I431" s="97">
        <v>289</v>
      </c>
      <c r="J431" s="97">
        <v>7</v>
      </c>
      <c r="K431" s="97">
        <f t="shared" si="6"/>
        <v>2023</v>
      </c>
      <c r="L431" s="97">
        <f>_xlfn.XLOOKUP(E431,Emp_Data!$B$2:$B$9,Emp_Data!$A$2:$A$9)</f>
        <v>2</v>
      </c>
    </row>
    <row r="432" spans="1:12">
      <c r="A432" s="99">
        <v>142</v>
      </c>
      <c r="B432" s="101">
        <v>44240</v>
      </c>
      <c r="C432" s="96">
        <v>10</v>
      </c>
      <c r="D432" s="104" t="s">
        <v>34</v>
      </c>
      <c r="E432" s="97" t="s">
        <v>27</v>
      </c>
      <c r="F432" s="97" t="str">
        <f>VLOOKUP(E432,Emp_Data!$B$2:$C$9,2,)</f>
        <v>Philip</v>
      </c>
      <c r="G432" s="97" t="s">
        <v>12</v>
      </c>
      <c r="H432" s="97" t="s">
        <v>40</v>
      </c>
      <c r="I432" s="97">
        <v>289</v>
      </c>
      <c r="J432" s="97">
        <v>4</v>
      </c>
      <c r="K432" s="97">
        <f t="shared" si="6"/>
        <v>1156</v>
      </c>
      <c r="L432" s="97">
        <f>_xlfn.XLOOKUP(E432,Emp_Data!$B$2:$B$9,Emp_Data!$A$2:$A$9)</f>
        <v>8</v>
      </c>
    </row>
    <row r="433" spans="1:12">
      <c r="A433" s="99">
        <v>143</v>
      </c>
      <c r="B433" s="101">
        <v>44240</v>
      </c>
      <c r="C433" s="96">
        <v>7</v>
      </c>
      <c r="D433" s="104" t="s">
        <v>28</v>
      </c>
      <c r="E433" s="97" t="s">
        <v>11</v>
      </c>
      <c r="F433" s="97" t="str">
        <f>VLOOKUP(E433,Emp_Data!$B$2:$C$9,2,)</f>
        <v>Steve</v>
      </c>
      <c r="G433" s="97" t="s">
        <v>12</v>
      </c>
      <c r="H433" s="97" t="s">
        <v>40</v>
      </c>
      <c r="I433" s="97">
        <v>289</v>
      </c>
      <c r="J433" s="97">
        <v>5</v>
      </c>
      <c r="K433" s="97">
        <f t="shared" si="6"/>
        <v>1445</v>
      </c>
      <c r="L433" s="97">
        <f>_xlfn.XLOOKUP(E433,Emp_Data!$B$2:$B$9,Emp_Data!$A$2:$A$9)</f>
        <v>4</v>
      </c>
    </row>
    <row r="434" spans="1:12">
      <c r="A434" s="99">
        <v>149</v>
      </c>
      <c r="B434" s="101">
        <v>44240</v>
      </c>
      <c r="C434" s="96">
        <v>12</v>
      </c>
      <c r="D434" s="104" t="s">
        <v>17</v>
      </c>
      <c r="E434" s="97" t="s">
        <v>24</v>
      </c>
      <c r="F434" s="97" t="str">
        <f>VLOOKUP(E434,Emp_Data!$B$2:$C$9,2,)</f>
        <v>Steve</v>
      </c>
      <c r="G434" s="97" t="s">
        <v>19</v>
      </c>
      <c r="H434" s="97" t="s">
        <v>40</v>
      </c>
      <c r="I434" s="97">
        <v>289</v>
      </c>
      <c r="J434" s="97">
        <v>8</v>
      </c>
      <c r="K434" s="97">
        <f t="shared" si="6"/>
        <v>2312</v>
      </c>
      <c r="L434" s="97">
        <f>_xlfn.XLOOKUP(E434,Emp_Data!$B$2:$B$9,Emp_Data!$A$2:$A$9)</f>
        <v>6</v>
      </c>
    </row>
    <row r="435" spans="1:12">
      <c r="A435" s="99">
        <v>153</v>
      </c>
      <c r="B435" s="101">
        <v>44240</v>
      </c>
      <c r="C435" s="96">
        <v>2</v>
      </c>
      <c r="D435" s="104" t="s">
        <v>35</v>
      </c>
      <c r="E435" s="97" t="s">
        <v>21</v>
      </c>
      <c r="F435" s="97" t="str">
        <f>VLOOKUP(E435,Emp_Data!$B$2:$C$9,2,)</f>
        <v>Sara</v>
      </c>
      <c r="G435" s="97" t="s">
        <v>15</v>
      </c>
      <c r="H435" s="97" t="s">
        <v>40</v>
      </c>
      <c r="I435" s="97">
        <v>289</v>
      </c>
      <c r="J435" s="97">
        <v>2</v>
      </c>
      <c r="K435" s="97">
        <f t="shared" si="6"/>
        <v>578</v>
      </c>
      <c r="L435" s="97">
        <f>_xlfn.XLOOKUP(E435,Emp_Data!$B$2:$B$9,Emp_Data!$A$2:$A$9)</f>
        <v>2</v>
      </c>
    </row>
    <row r="436" spans="1:12">
      <c r="A436" s="99">
        <v>157</v>
      </c>
      <c r="B436" s="101">
        <v>44243</v>
      </c>
      <c r="C436" s="96">
        <v>13</v>
      </c>
      <c r="D436" s="104" t="s">
        <v>23</v>
      </c>
      <c r="E436" s="97" t="s">
        <v>18</v>
      </c>
      <c r="F436" s="97" t="str">
        <f>VLOOKUP(E436,Emp_Data!$B$2:$C$9,2,)</f>
        <v>Sara</v>
      </c>
      <c r="G436" s="97" t="s">
        <v>19</v>
      </c>
      <c r="H436" s="97" t="s">
        <v>40</v>
      </c>
      <c r="I436" s="97">
        <v>289</v>
      </c>
      <c r="J436" s="97">
        <v>3</v>
      </c>
      <c r="K436" s="97">
        <f t="shared" si="6"/>
        <v>867</v>
      </c>
      <c r="L436" s="97">
        <f>_xlfn.XLOOKUP(E436,Emp_Data!$B$2:$B$9,Emp_Data!$A$2:$A$9)</f>
        <v>5</v>
      </c>
    </row>
    <row r="437" spans="1:12">
      <c r="A437" s="99">
        <v>163</v>
      </c>
      <c r="B437" s="101">
        <v>44243</v>
      </c>
      <c r="C437" s="96">
        <v>19</v>
      </c>
      <c r="D437" s="104" t="s">
        <v>22</v>
      </c>
      <c r="E437" s="97" t="s">
        <v>25</v>
      </c>
      <c r="F437" s="97" t="str">
        <f>VLOOKUP(E437,Emp_Data!$B$2:$C$9,2,)</f>
        <v>Jeff</v>
      </c>
      <c r="G437" s="97" t="s">
        <v>9</v>
      </c>
      <c r="H437" s="97" t="s">
        <v>40</v>
      </c>
      <c r="I437" s="97">
        <v>289</v>
      </c>
      <c r="J437" s="97">
        <v>7</v>
      </c>
      <c r="K437" s="97">
        <f t="shared" si="6"/>
        <v>2023</v>
      </c>
      <c r="L437" s="97">
        <f>_xlfn.XLOOKUP(E437,Emp_Data!$B$2:$B$9,Emp_Data!$A$2:$A$9)</f>
        <v>5</v>
      </c>
    </row>
    <row r="438" spans="1:12">
      <c r="A438" s="99">
        <v>175</v>
      </c>
      <c r="B438" s="101">
        <v>44247</v>
      </c>
      <c r="C438" s="96">
        <v>11</v>
      </c>
      <c r="D438" s="104" t="s">
        <v>38</v>
      </c>
      <c r="E438" s="97" t="s">
        <v>18</v>
      </c>
      <c r="F438" s="97" t="str">
        <f>VLOOKUP(E438,Emp_Data!$B$2:$C$9,2,)</f>
        <v>Sara</v>
      </c>
      <c r="G438" s="97" t="s">
        <v>19</v>
      </c>
      <c r="H438" s="97" t="s">
        <v>40</v>
      </c>
      <c r="I438" s="97">
        <v>289</v>
      </c>
      <c r="J438" s="97">
        <v>5</v>
      </c>
      <c r="K438" s="97">
        <f t="shared" si="6"/>
        <v>1445</v>
      </c>
      <c r="L438" s="97">
        <f>_xlfn.XLOOKUP(E438,Emp_Data!$B$2:$B$9,Emp_Data!$A$2:$A$9)</f>
        <v>5</v>
      </c>
    </row>
    <row r="439" spans="1:12">
      <c r="A439" s="99">
        <v>177</v>
      </c>
      <c r="B439" s="101">
        <v>44248</v>
      </c>
      <c r="C439" s="96">
        <v>8</v>
      </c>
      <c r="D439" s="104" t="s">
        <v>36</v>
      </c>
      <c r="E439" s="97" t="s">
        <v>11</v>
      </c>
      <c r="F439" s="97" t="str">
        <f>VLOOKUP(E439,Emp_Data!$B$2:$C$9,2,)</f>
        <v>Steve</v>
      </c>
      <c r="G439" s="97" t="s">
        <v>12</v>
      </c>
      <c r="H439" s="97" t="s">
        <v>40</v>
      </c>
      <c r="I439" s="97">
        <v>289</v>
      </c>
      <c r="J439" s="97">
        <v>1</v>
      </c>
      <c r="K439" s="97">
        <f t="shared" si="6"/>
        <v>289</v>
      </c>
      <c r="L439" s="97">
        <f>_xlfn.XLOOKUP(E439,Emp_Data!$B$2:$B$9,Emp_Data!$A$2:$A$9)</f>
        <v>4</v>
      </c>
    </row>
    <row r="440" spans="1:12">
      <c r="A440" s="99">
        <v>179</v>
      </c>
      <c r="B440" s="101">
        <v>44248</v>
      </c>
      <c r="C440" s="96">
        <v>1</v>
      </c>
      <c r="D440" s="104" t="s">
        <v>31</v>
      </c>
      <c r="E440" s="97" t="s">
        <v>14</v>
      </c>
      <c r="F440" s="97" t="str">
        <f>VLOOKUP(E440,Emp_Data!$B$2:$C$9,2,)</f>
        <v>Jeff</v>
      </c>
      <c r="G440" s="97" t="s">
        <v>15</v>
      </c>
      <c r="H440" s="97" t="s">
        <v>40</v>
      </c>
      <c r="I440" s="97">
        <v>289</v>
      </c>
      <c r="J440" s="97">
        <v>2</v>
      </c>
      <c r="K440" s="97">
        <f t="shared" si="6"/>
        <v>578</v>
      </c>
      <c r="L440" s="97">
        <f>_xlfn.XLOOKUP(E440,Emp_Data!$B$2:$B$9,Emp_Data!$A$2:$A$9)</f>
        <v>2</v>
      </c>
    </row>
    <row r="441" spans="1:12">
      <c r="A441" s="99">
        <v>186</v>
      </c>
      <c r="B441" s="101">
        <v>44250</v>
      </c>
      <c r="C441" s="96">
        <v>5</v>
      </c>
      <c r="D441" s="104" t="s">
        <v>16</v>
      </c>
      <c r="E441" s="97" t="s">
        <v>21</v>
      </c>
      <c r="F441" s="97" t="str">
        <f>VLOOKUP(E441,Emp_Data!$B$2:$C$9,2,)</f>
        <v>Sara</v>
      </c>
      <c r="G441" s="97" t="s">
        <v>15</v>
      </c>
      <c r="H441" s="97" t="s">
        <v>40</v>
      </c>
      <c r="I441" s="97">
        <v>289</v>
      </c>
      <c r="J441" s="97">
        <v>4</v>
      </c>
      <c r="K441" s="97">
        <f t="shared" si="6"/>
        <v>1156</v>
      </c>
      <c r="L441" s="97">
        <f>_xlfn.XLOOKUP(E441,Emp_Data!$B$2:$B$9,Emp_Data!$A$2:$A$9)</f>
        <v>2</v>
      </c>
    </row>
    <row r="442" spans="1:12">
      <c r="A442" s="99">
        <v>196</v>
      </c>
      <c r="B442" s="101">
        <v>44255</v>
      </c>
      <c r="C442" s="96">
        <v>6</v>
      </c>
      <c r="D442" s="104" t="s">
        <v>10</v>
      </c>
      <c r="E442" s="97" t="s">
        <v>11</v>
      </c>
      <c r="F442" s="97" t="str">
        <f>VLOOKUP(E442,Emp_Data!$B$2:$C$9,2,)</f>
        <v>Steve</v>
      </c>
      <c r="G442" s="97" t="s">
        <v>12</v>
      </c>
      <c r="H442" s="97" t="s">
        <v>40</v>
      </c>
      <c r="I442" s="97">
        <v>289</v>
      </c>
      <c r="J442" s="97">
        <v>9</v>
      </c>
      <c r="K442" s="97">
        <f t="shared" si="6"/>
        <v>2601</v>
      </c>
      <c r="L442" s="97">
        <f>_xlfn.XLOOKUP(E442,Emp_Data!$B$2:$B$9,Emp_Data!$A$2:$A$9)</f>
        <v>4</v>
      </c>
    </row>
    <row r="443" spans="1:12">
      <c r="A443" s="99">
        <v>201</v>
      </c>
      <c r="B443" s="101">
        <v>44259</v>
      </c>
      <c r="C443" s="96">
        <v>18</v>
      </c>
      <c r="D443" s="104" t="s">
        <v>30</v>
      </c>
      <c r="E443" s="97" t="s">
        <v>25</v>
      </c>
      <c r="F443" s="97" t="str">
        <f>VLOOKUP(E443,Emp_Data!$B$2:$C$9,2,)</f>
        <v>Jeff</v>
      </c>
      <c r="G443" s="97" t="s">
        <v>9</v>
      </c>
      <c r="H443" s="97" t="s">
        <v>40</v>
      </c>
      <c r="I443" s="97">
        <v>289</v>
      </c>
      <c r="J443" s="97">
        <v>5</v>
      </c>
      <c r="K443" s="97">
        <f t="shared" si="6"/>
        <v>1445</v>
      </c>
      <c r="L443" s="97">
        <f>_xlfn.XLOOKUP(E443,Emp_Data!$B$2:$B$9,Emp_Data!$A$2:$A$9)</f>
        <v>5</v>
      </c>
    </row>
    <row r="444" spans="1:12">
      <c r="A444" s="99">
        <v>203</v>
      </c>
      <c r="B444" s="101">
        <v>44261</v>
      </c>
      <c r="C444" s="96">
        <v>12</v>
      </c>
      <c r="D444" s="104" t="s">
        <v>17</v>
      </c>
      <c r="E444" s="97" t="s">
        <v>18</v>
      </c>
      <c r="F444" s="97" t="str">
        <f>VLOOKUP(E444,Emp_Data!$B$2:$C$9,2,)</f>
        <v>Sara</v>
      </c>
      <c r="G444" s="97" t="s">
        <v>19</v>
      </c>
      <c r="H444" s="97" t="s">
        <v>40</v>
      </c>
      <c r="I444" s="97">
        <v>289</v>
      </c>
      <c r="J444" s="97">
        <v>7</v>
      </c>
      <c r="K444" s="97">
        <f t="shared" si="6"/>
        <v>2023</v>
      </c>
      <c r="L444" s="97">
        <f>_xlfn.XLOOKUP(E444,Emp_Data!$B$2:$B$9,Emp_Data!$A$2:$A$9)</f>
        <v>5</v>
      </c>
    </row>
    <row r="445" spans="1:12">
      <c r="A445" s="99">
        <v>217</v>
      </c>
      <c r="B445" s="101">
        <v>44266</v>
      </c>
      <c r="C445" s="96">
        <v>12</v>
      </c>
      <c r="D445" s="104" t="s">
        <v>17</v>
      </c>
      <c r="E445" s="97" t="s">
        <v>24</v>
      </c>
      <c r="F445" s="97" t="str">
        <f>VLOOKUP(E445,Emp_Data!$B$2:$C$9,2,)</f>
        <v>Steve</v>
      </c>
      <c r="G445" s="97" t="s">
        <v>19</v>
      </c>
      <c r="H445" s="97" t="s">
        <v>40</v>
      </c>
      <c r="I445" s="97">
        <v>289</v>
      </c>
      <c r="J445" s="97">
        <v>4</v>
      </c>
      <c r="K445" s="97">
        <f t="shared" si="6"/>
        <v>1156</v>
      </c>
      <c r="L445" s="97">
        <f>_xlfn.XLOOKUP(E445,Emp_Data!$B$2:$B$9,Emp_Data!$A$2:$A$9)</f>
        <v>6</v>
      </c>
    </row>
    <row r="446" spans="1:12">
      <c r="A446" s="99">
        <v>228</v>
      </c>
      <c r="B446" s="101">
        <v>44269</v>
      </c>
      <c r="C446" s="96">
        <v>1</v>
      </c>
      <c r="D446" s="104" t="s">
        <v>31</v>
      </c>
      <c r="E446" s="97" t="s">
        <v>21</v>
      </c>
      <c r="F446" s="97" t="str">
        <f>VLOOKUP(E446,Emp_Data!$B$2:$C$9,2,)</f>
        <v>Sara</v>
      </c>
      <c r="G446" s="97" t="s">
        <v>15</v>
      </c>
      <c r="H446" s="97" t="s">
        <v>40</v>
      </c>
      <c r="I446" s="97">
        <v>289</v>
      </c>
      <c r="J446" s="97">
        <v>2</v>
      </c>
      <c r="K446" s="97">
        <f t="shared" si="6"/>
        <v>578</v>
      </c>
      <c r="L446" s="97">
        <f>_xlfn.XLOOKUP(E446,Emp_Data!$B$2:$B$9,Emp_Data!$A$2:$A$9)</f>
        <v>2</v>
      </c>
    </row>
    <row r="447" spans="1:12">
      <c r="A447" s="99">
        <v>229</v>
      </c>
      <c r="B447" s="101">
        <v>44269</v>
      </c>
      <c r="C447" s="96">
        <v>17</v>
      </c>
      <c r="D447" s="104" t="s">
        <v>32</v>
      </c>
      <c r="E447" s="97" t="s">
        <v>25</v>
      </c>
      <c r="F447" s="97" t="str">
        <f>VLOOKUP(E447,Emp_Data!$B$2:$C$9,2,)</f>
        <v>Jeff</v>
      </c>
      <c r="G447" s="97" t="s">
        <v>9</v>
      </c>
      <c r="H447" s="97" t="s">
        <v>40</v>
      </c>
      <c r="I447" s="97">
        <v>289</v>
      </c>
      <c r="J447" s="97">
        <v>8</v>
      </c>
      <c r="K447" s="97">
        <f t="shared" si="6"/>
        <v>2312</v>
      </c>
      <c r="L447" s="97">
        <f>_xlfn.XLOOKUP(E447,Emp_Data!$B$2:$B$9,Emp_Data!$A$2:$A$9)</f>
        <v>5</v>
      </c>
    </row>
    <row r="448" spans="1:12">
      <c r="A448" s="99">
        <v>235</v>
      </c>
      <c r="B448" s="101">
        <v>44271</v>
      </c>
      <c r="C448" s="96">
        <v>2</v>
      </c>
      <c r="D448" s="104" t="s">
        <v>35</v>
      </c>
      <c r="E448" s="97" t="s">
        <v>14</v>
      </c>
      <c r="F448" s="97" t="str">
        <f>VLOOKUP(E448,Emp_Data!$B$2:$C$9,2,)</f>
        <v>Jeff</v>
      </c>
      <c r="G448" s="97" t="s">
        <v>15</v>
      </c>
      <c r="H448" s="97" t="s">
        <v>40</v>
      </c>
      <c r="I448" s="97">
        <v>289</v>
      </c>
      <c r="J448" s="97">
        <v>3</v>
      </c>
      <c r="K448" s="97">
        <f t="shared" si="6"/>
        <v>867</v>
      </c>
      <c r="L448" s="97">
        <f>_xlfn.XLOOKUP(E448,Emp_Data!$B$2:$B$9,Emp_Data!$A$2:$A$9)</f>
        <v>2</v>
      </c>
    </row>
    <row r="449" spans="1:12">
      <c r="A449" s="99">
        <v>242</v>
      </c>
      <c r="B449" s="101">
        <v>44272</v>
      </c>
      <c r="C449" s="96">
        <v>2</v>
      </c>
      <c r="D449" s="104" t="s">
        <v>35</v>
      </c>
      <c r="E449" s="97" t="s">
        <v>14</v>
      </c>
      <c r="F449" s="97" t="str">
        <f>VLOOKUP(E449,Emp_Data!$B$2:$C$9,2,)</f>
        <v>Jeff</v>
      </c>
      <c r="G449" s="97" t="s">
        <v>15</v>
      </c>
      <c r="H449" s="97" t="s">
        <v>40</v>
      </c>
      <c r="I449" s="97">
        <v>289</v>
      </c>
      <c r="J449" s="97">
        <v>0</v>
      </c>
      <c r="K449" s="97">
        <f t="shared" si="6"/>
        <v>0</v>
      </c>
      <c r="L449" s="97">
        <f>_xlfn.XLOOKUP(E449,Emp_Data!$B$2:$B$9,Emp_Data!$A$2:$A$9)</f>
        <v>2</v>
      </c>
    </row>
    <row r="450" spans="1:12">
      <c r="A450" s="99">
        <v>246</v>
      </c>
      <c r="B450" s="101">
        <v>44273</v>
      </c>
      <c r="C450" s="96">
        <v>20</v>
      </c>
      <c r="D450" s="104" t="s">
        <v>7</v>
      </c>
      <c r="E450" s="97" t="s">
        <v>25</v>
      </c>
      <c r="F450" s="97" t="str">
        <f>VLOOKUP(E450,Emp_Data!$B$2:$C$9,2,)</f>
        <v>Jeff</v>
      </c>
      <c r="G450" s="97" t="s">
        <v>9</v>
      </c>
      <c r="H450" s="97" t="s">
        <v>40</v>
      </c>
      <c r="I450" s="97">
        <v>289</v>
      </c>
      <c r="J450" s="97">
        <v>4</v>
      </c>
      <c r="K450" s="97">
        <f t="shared" si="6"/>
        <v>1156</v>
      </c>
      <c r="L450" s="97">
        <f>_xlfn.XLOOKUP(E450,Emp_Data!$B$2:$B$9,Emp_Data!$A$2:$A$9)</f>
        <v>5</v>
      </c>
    </row>
    <row r="451" spans="1:12">
      <c r="A451" s="99">
        <v>247</v>
      </c>
      <c r="B451" s="101">
        <v>44273</v>
      </c>
      <c r="C451" s="96">
        <v>6</v>
      </c>
      <c r="D451" s="104" t="s">
        <v>10</v>
      </c>
      <c r="E451" s="97" t="s">
        <v>27</v>
      </c>
      <c r="F451" s="97" t="str">
        <f>VLOOKUP(E451,Emp_Data!$B$2:$C$9,2,)</f>
        <v>Philip</v>
      </c>
      <c r="G451" s="97" t="s">
        <v>12</v>
      </c>
      <c r="H451" s="97" t="s">
        <v>40</v>
      </c>
      <c r="I451" s="97">
        <v>289</v>
      </c>
      <c r="J451" s="97">
        <v>2</v>
      </c>
      <c r="K451" s="97">
        <f t="shared" ref="K451:K514" si="7">SUMPRODUCT(I451,J451)</f>
        <v>578</v>
      </c>
      <c r="L451" s="97">
        <f>_xlfn.XLOOKUP(E451,Emp_Data!$B$2:$B$9,Emp_Data!$A$2:$A$9)</f>
        <v>8</v>
      </c>
    </row>
    <row r="452" spans="1:12">
      <c r="A452" s="99">
        <v>259</v>
      </c>
      <c r="B452" s="101">
        <v>44275</v>
      </c>
      <c r="C452" s="96">
        <v>16</v>
      </c>
      <c r="D452" s="104" t="s">
        <v>37</v>
      </c>
      <c r="E452" s="97" t="s">
        <v>25</v>
      </c>
      <c r="F452" s="97" t="str">
        <f>VLOOKUP(E452,Emp_Data!$B$2:$C$9,2,)</f>
        <v>Jeff</v>
      </c>
      <c r="G452" s="97" t="s">
        <v>9</v>
      </c>
      <c r="H452" s="97" t="s">
        <v>40</v>
      </c>
      <c r="I452" s="97">
        <v>289</v>
      </c>
      <c r="J452" s="97">
        <v>1</v>
      </c>
      <c r="K452" s="97">
        <f t="shared" si="7"/>
        <v>289</v>
      </c>
      <c r="L452" s="97">
        <f>_xlfn.XLOOKUP(E452,Emp_Data!$B$2:$B$9,Emp_Data!$A$2:$A$9)</f>
        <v>5</v>
      </c>
    </row>
    <row r="453" spans="1:12">
      <c r="A453" s="99">
        <v>265</v>
      </c>
      <c r="B453" s="101">
        <v>44279</v>
      </c>
      <c r="C453" s="96">
        <v>17</v>
      </c>
      <c r="D453" s="104" t="s">
        <v>32</v>
      </c>
      <c r="E453" s="97" t="s">
        <v>25</v>
      </c>
      <c r="F453" s="97" t="str">
        <f>VLOOKUP(E453,Emp_Data!$B$2:$C$9,2,)</f>
        <v>Jeff</v>
      </c>
      <c r="G453" s="97" t="s">
        <v>9</v>
      </c>
      <c r="H453" s="97" t="s">
        <v>40</v>
      </c>
      <c r="I453" s="97">
        <v>289</v>
      </c>
      <c r="J453" s="97">
        <v>7</v>
      </c>
      <c r="K453" s="97">
        <f t="shared" si="7"/>
        <v>2023</v>
      </c>
      <c r="L453" s="97">
        <f>_xlfn.XLOOKUP(E453,Emp_Data!$B$2:$B$9,Emp_Data!$A$2:$A$9)</f>
        <v>5</v>
      </c>
    </row>
    <row r="454" spans="1:12">
      <c r="A454" s="99">
        <v>272</v>
      </c>
      <c r="B454" s="101">
        <v>44280</v>
      </c>
      <c r="C454" s="96">
        <v>15</v>
      </c>
      <c r="D454" s="104" t="s">
        <v>29</v>
      </c>
      <c r="E454" s="97" t="s">
        <v>24</v>
      </c>
      <c r="F454" s="97" t="str">
        <f>VLOOKUP(E454,Emp_Data!$B$2:$C$9,2,)</f>
        <v>Steve</v>
      </c>
      <c r="G454" s="97" t="s">
        <v>19</v>
      </c>
      <c r="H454" s="97" t="s">
        <v>40</v>
      </c>
      <c r="I454" s="97">
        <v>289</v>
      </c>
      <c r="J454" s="97">
        <v>7</v>
      </c>
      <c r="K454" s="97">
        <f t="shared" si="7"/>
        <v>2023</v>
      </c>
      <c r="L454" s="97">
        <f>_xlfn.XLOOKUP(E454,Emp_Data!$B$2:$B$9,Emp_Data!$A$2:$A$9)</f>
        <v>6</v>
      </c>
    </row>
    <row r="455" spans="1:12">
      <c r="A455" s="99">
        <v>275</v>
      </c>
      <c r="B455" s="101">
        <v>44280</v>
      </c>
      <c r="C455" s="96">
        <v>7</v>
      </c>
      <c r="D455" s="104" t="s">
        <v>28</v>
      </c>
      <c r="E455" s="97" t="s">
        <v>11</v>
      </c>
      <c r="F455" s="97" t="str">
        <f>VLOOKUP(E455,Emp_Data!$B$2:$C$9,2,)</f>
        <v>Steve</v>
      </c>
      <c r="G455" s="97" t="s">
        <v>12</v>
      </c>
      <c r="H455" s="97" t="s">
        <v>40</v>
      </c>
      <c r="I455" s="97">
        <v>289</v>
      </c>
      <c r="J455" s="97">
        <v>0</v>
      </c>
      <c r="K455" s="97">
        <f t="shared" si="7"/>
        <v>0</v>
      </c>
      <c r="L455" s="97">
        <f>_xlfn.XLOOKUP(E455,Emp_Data!$B$2:$B$9,Emp_Data!$A$2:$A$9)</f>
        <v>4</v>
      </c>
    </row>
    <row r="456" spans="1:12">
      <c r="A456" s="99">
        <v>277</v>
      </c>
      <c r="B456" s="101">
        <v>44281</v>
      </c>
      <c r="C456" s="96">
        <v>16</v>
      </c>
      <c r="D456" s="104" t="s">
        <v>37</v>
      </c>
      <c r="E456" s="97" t="s">
        <v>25</v>
      </c>
      <c r="F456" s="97" t="str">
        <f>VLOOKUP(E456,Emp_Data!$B$2:$C$9,2,)</f>
        <v>Jeff</v>
      </c>
      <c r="G456" s="97" t="s">
        <v>9</v>
      </c>
      <c r="H456" s="97" t="s">
        <v>40</v>
      </c>
      <c r="I456" s="97">
        <v>289</v>
      </c>
      <c r="J456" s="97">
        <v>3</v>
      </c>
      <c r="K456" s="97">
        <f t="shared" si="7"/>
        <v>867</v>
      </c>
      <c r="L456" s="97">
        <f>_xlfn.XLOOKUP(E456,Emp_Data!$B$2:$B$9,Emp_Data!$A$2:$A$9)</f>
        <v>5</v>
      </c>
    </row>
    <row r="457" spans="1:12">
      <c r="A457" s="99">
        <v>285</v>
      </c>
      <c r="B457" s="101">
        <v>44282</v>
      </c>
      <c r="C457" s="96">
        <v>11</v>
      </c>
      <c r="D457" s="104" t="s">
        <v>38</v>
      </c>
      <c r="E457" s="97" t="s">
        <v>18</v>
      </c>
      <c r="F457" s="97" t="str">
        <f>VLOOKUP(E457,Emp_Data!$B$2:$C$9,2,)</f>
        <v>Sara</v>
      </c>
      <c r="G457" s="97" t="s">
        <v>19</v>
      </c>
      <c r="H457" s="97" t="s">
        <v>40</v>
      </c>
      <c r="I457" s="97">
        <v>289</v>
      </c>
      <c r="J457" s="97">
        <v>3</v>
      </c>
      <c r="K457" s="97">
        <f t="shared" si="7"/>
        <v>867</v>
      </c>
      <c r="L457" s="97">
        <f>_xlfn.XLOOKUP(E457,Emp_Data!$B$2:$B$9,Emp_Data!$A$2:$A$9)</f>
        <v>5</v>
      </c>
    </row>
    <row r="458" spans="1:12">
      <c r="A458" s="99">
        <v>287</v>
      </c>
      <c r="B458" s="101">
        <v>44282</v>
      </c>
      <c r="C458" s="96">
        <v>4</v>
      </c>
      <c r="D458" s="104" t="s">
        <v>13</v>
      </c>
      <c r="E458" s="97" t="s">
        <v>14</v>
      </c>
      <c r="F458" s="97" t="str">
        <f>VLOOKUP(E458,Emp_Data!$B$2:$C$9,2,)</f>
        <v>Jeff</v>
      </c>
      <c r="G458" s="97" t="s">
        <v>15</v>
      </c>
      <c r="H458" s="97" t="s">
        <v>40</v>
      </c>
      <c r="I458" s="97">
        <v>289</v>
      </c>
      <c r="J458" s="97">
        <v>7</v>
      </c>
      <c r="K458" s="97">
        <f t="shared" si="7"/>
        <v>2023</v>
      </c>
      <c r="L458" s="97">
        <f>_xlfn.XLOOKUP(E458,Emp_Data!$B$2:$B$9,Emp_Data!$A$2:$A$9)</f>
        <v>2</v>
      </c>
    </row>
    <row r="459" spans="1:12">
      <c r="A459" s="99">
        <v>289</v>
      </c>
      <c r="B459" s="101">
        <v>44283</v>
      </c>
      <c r="C459" s="96">
        <v>20</v>
      </c>
      <c r="D459" s="104" t="s">
        <v>7</v>
      </c>
      <c r="E459" s="97" t="s">
        <v>8</v>
      </c>
      <c r="F459" s="97" t="str">
        <f>VLOOKUP(E459,Emp_Data!$B$2:$C$9,2,)</f>
        <v>Jeff</v>
      </c>
      <c r="G459" s="97" t="s">
        <v>9</v>
      </c>
      <c r="H459" s="97" t="s">
        <v>40</v>
      </c>
      <c r="I459" s="97">
        <v>289</v>
      </c>
      <c r="J459" s="97">
        <v>1</v>
      </c>
      <c r="K459" s="97">
        <f t="shared" si="7"/>
        <v>289</v>
      </c>
      <c r="L459" s="97">
        <f>_xlfn.XLOOKUP(E459,Emp_Data!$B$2:$B$9,Emp_Data!$A$2:$A$9)</f>
        <v>3</v>
      </c>
    </row>
    <row r="460" spans="1:12">
      <c r="A460" s="99">
        <v>305</v>
      </c>
      <c r="B460" s="101">
        <v>44291</v>
      </c>
      <c r="C460" s="96">
        <v>8</v>
      </c>
      <c r="D460" s="104" t="s">
        <v>36</v>
      </c>
      <c r="E460" s="97" t="s">
        <v>11</v>
      </c>
      <c r="F460" s="97" t="str">
        <f>VLOOKUP(E460,Emp_Data!$B$2:$C$9,2,)</f>
        <v>Steve</v>
      </c>
      <c r="G460" s="97" t="s">
        <v>12</v>
      </c>
      <c r="H460" s="97" t="s">
        <v>40</v>
      </c>
      <c r="I460" s="97">
        <v>289</v>
      </c>
      <c r="J460" s="97">
        <v>9</v>
      </c>
      <c r="K460" s="97">
        <f t="shared" si="7"/>
        <v>2601</v>
      </c>
      <c r="L460" s="97">
        <f>_xlfn.XLOOKUP(E460,Emp_Data!$B$2:$B$9,Emp_Data!$A$2:$A$9)</f>
        <v>4</v>
      </c>
    </row>
    <row r="461" spans="1:12">
      <c r="A461" s="99">
        <v>309</v>
      </c>
      <c r="B461" s="101">
        <v>44292</v>
      </c>
      <c r="C461" s="96">
        <v>15</v>
      </c>
      <c r="D461" s="104" t="s">
        <v>29</v>
      </c>
      <c r="E461" s="97" t="s">
        <v>18</v>
      </c>
      <c r="F461" s="97" t="str">
        <f>VLOOKUP(E461,Emp_Data!$B$2:$C$9,2,)</f>
        <v>Sara</v>
      </c>
      <c r="G461" s="97" t="s">
        <v>19</v>
      </c>
      <c r="H461" s="97" t="s">
        <v>40</v>
      </c>
      <c r="I461" s="97">
        <v>289</v>
      </c>
      <c r="J461" s="97">
        <v>8</v>
      </c>
      <c r="K461" s="97">
        <f t="shared" si="7"/>
        <v>2312</v>
      </c>
      <c r="L461" s="97">
        <f>_xlfn.XLOOKUP(E461,Emp_Data!$B$2:$B$9,Emp_Data!$A$2:$A$9)</f>
        <v>5</v>
      </c>
    </row>
    <row r="462" spans="1:12">
      <c r="A462" s="99">
        <v>311</v>
      </c>
      <c r="B462" s="101">
        <v>44293</v>
      </c>
      <c r="C462" s="96">
        <v>19</v>
      </c>
      <c r="D462" s="104" t="s">
        <v>22</v>
      </c>
      <c r="E462" s="97" t="s">
        <v>25</v>
      </c>
      <c r="F462" s="97" t="str">
        <f>VLOOKUP(E462,Emp_Data!$B$2:$C$9,2,)</f>
        <v>Jeff</v>
      </c>
      <c r="G462" s="97" t="s">
        <v>9</v>
      </c>
      <c r="H462" s="97" t="s">
        <v>40</v>
      </c>
      <c r="I462" s="97">
        <v>289</v>
      </c>
      <c r="J462" s="97">
        <v>5</v>
      </c>
      <c r="K462" s="97">
        <f t="shared" si="7"/>
        <v>1445</v>
      </c>
      <c r="L462" s="97">
        <f>_xlfn.XLOOKUP(E462,Emp_Data!$B$2:$B$9,Emp_Data!$A$2:$A$9)</f>
        <v>5</v>
      </c>
    </row>
    <row r="463" spans="1:12">
      <c r="A463" s="99">
        <v>322</v>
      </c>
      <c r="B463" s="101">
        <v>44299</v>
      </c>
      <c r="C463" s="96">
        <v>2</v>
      </c>
      <c r="D463" s="104" t="s">
        <v>35</v>
      </c>
      <c r="E463" s="97" t="s">
        <v>14</v>
      </c>
      <c r="F463" s="97" t="str">
        <f>VLOOKUP(E463,Emp_Data!$B$2:$C$9,2,)</f>
        <v>Jeff</v>
      </c>
      <c r="G463" s="97" t="s">
        <v>15</v>
      </c>
      <c r="H463" s="97" t="s">
        <v>40</v>
      </c>
      <c r="I463" s="97">
        <v>289</v>
      </c>
      <c r="J463" s="97">
        <v>8</v>
      </c>
      <c r="K463" s="97">
        <f t="shared" si="7"/>
        <v>2312</v>
      </c>
      <c r="L463" s="97">
        <f>_xlfn.XLOOKUP(E463,Emp_Data!$B$2:$B$9,Emp_Data!$A$2:$A$9)</f>
        <v>2</v>
      </c>
    </row>
    <row r="464" spans="1:12">
      <c r="A464" s="99">
        <v>323</v>
      </c>
      <c r="B464" s="101">
        <v>44299</v>
      </c>
      <c r="C464" s="96">
        <v>19</v>
      </c>
      <c r="D464" s="104" t="s">
        <v>22</v>
      </c>
      <c r="E464" s="97" t="s">
        <v>25</v>
      </c>
      <c r="F464" s="97" t="str">
        <f>VLOOKUP(E464,Emp_Data!$B$2:$C$9,2,)</f>
        <v>Jeff</v>
      </c>
      <c r="G464" s="97" t="s">
        <v>9</v>
      </c>
      <c r="H464" s="97" t="s">
        <v>40</v>
      </c>
      <c r="I464" s="97">
        <v>289</v>
      </c>
      <c r="J464" s="97">
        <v>3</v>
      </c>
      <c r="K464" s="97">
        <f t="shared" si="7"/>
        <v>867</v>
      </c>
      <c r="L464" s="97">
        <f>_xlfn.XLOOKUP(E464,Emp_Data!$B$2:$B$9,Emp_Data!$A$2:$A$9)</f>
        <v>5</v>
      </c>
    </row>
    <row r="465" spans="1:12">
      <c r="A465" s="99">
        <v>329</v>
      </c>
      <c r="B465" s="101">
        <v>44300</v>
      </c>
      <c r="C465" s="96">
        <v>14</v>
      </c>
      <c r="D465" s="104" t="s">
        <v>33</v>
      </c>
      <c r="E465" s="97" t="s">
        <v>18</v>
      </c>
      <c r="F465" s="97" t="str">
        <f>VLOOKUP(E465,Emp_Data!$B$2:$C$9,2,)</f>
        <v>Sara</v>
      </c>
      <c r="G465" s="97" t="s">
        <v>19</v>
      </c>
      <c r="H465" s="97" t="s">
        <v>40</v>
      </c>
      <c r="I465" s="97">
        <v>289</v>
      </c>
      <c r="J465" s="97">
        <v>4</v>
      </c>
      <c r="K465" s="97">
        <f t="shared" si="7"/>
        <v>1156</v>
      </c>
      <c r="L465" s="97">
        <f>_xlfn.XLOOKUP(E465,Emp_Data!$B$2:$B$9,Emp_Data!$A$2:$A$9)</f>
        <v>5</v>
      </c>
    </row>
    <row r="466" spans="1:12">
      <c r="A466" s="99">
        <v>334</v>
      </c>
      <c r="B466" s="101">
        <v>44301</v>
      </c>
      <c r="C466" s="96">
        <v>4</v>
      </c>
      <c r="D466" s="104" t="s">
        <v>13</v>
      </c>
      <c r="E466" s="97" t="s">
        <v>21</v>
      </c>
      <c r="F466" s="97" t="str">
        <f>VLOOKUP(E466,Emp_Data!$B$2:$C$9,2,)</f>
        <v>Sara</v>
      </c>
      <c r="G466" s="97" t="s">
        <v>15</v>
      </c>
      <c r="H466" s="97" t="s">
        <v>40</v>
      </c>
      <c r="I466" s="97">
        <v>289</v>
      </c>
      <c r="J466" s="97">
        <v>6</v>
      </c>
      <c r="K466" s="97">
        <f t="shared" si="7"/>
        <v>1734</v>
      </c>
      <c r="L466" s="97">
        <f>_xlfn.XLOOKUP(E466,Emp_Data!$B$2:$B$9,Emp_Data!$A$2:$A$9)</f>
        <v>2</v>
      </c>
    </row>
    <row r="467" spans="1:12">
      <c r="A467" s="99">
        <v>341</v>
      </c>
      <c r="B467" s="101">
        <v>44305</v>
      </c>
      <c r="C467" s="96">
        <v>1</v>
      </c>
      <c r="D467" s="104" t="s">
        <v>31</v>
      </c>
      <c r="E467" s="97" t="s">
        <v>14</v>
      </c>
      <c r="F467" s="97" t="str">
        <f>VLOOKUP(E467,Emp_Data!$B$2:$C$9,2,)</f>
        <v>Jeff</v>
      </c>
      <c r="G467" s="97" t="s">
        <v>15</v>
      </c>
      <c r="H467" s="97" t="s">
        <v>40</v>
      </c>
      <c r="I467" s="97">
        <v>289</v>
      </c>
      <c r="J467" s="97">
        <v>3</v>
      </c>
      <c r="K467" s="97">
        <f t="shared" si="7"/>
        <v>867</v>
      </c>
      <c r="L467" s="97">
        <f>_xlfn.XLOOKUP(E467,Emp_Data!$B$2:$B$9,Emp_Data!$A$2:$A$9)</f>
        <v>2</v>
      </c>
    </row>
    <row r="468" spans="1:12">
      <c r="A468" s="99">
        <v>348</v>
      </c>
      <c r="B468" s="101">
        <v>44305</v>
      </c>
      <c r="C468" s="96">
        <v>19</v>
      </c>
      <c r="D468" s="104" t="s">
        <v>22</v>
      </c>
      <c r="E468" s="97" t="s">
        <v>25</v>
      </c>
      <c r="F468" s="97" t="str">
        <f>VLOOKUP(E468,Emp_Data!$B$2:$C$9,2,)</f>
        <v>Jeff</v>
      </c>
      <c r="G468" s="97" t="s">
        <v>9</v>
      </c>
      <c r="H468" s="97" t="s">
        <v>40</v>
      </c>
      <c r="I468" s="97">
        <v>289</v>
      </c>
      <c r="J468" s="97">
        <v>1</v>
      </c>
      <c r="K468" s="97">
        <f t="shared" si="7"/>
        <v>289</v>
      </c>
      <c r="L468" s="97">
        <f>_xlfn.XLOOKUP(E468,Emp_Data!$B$2:$B$9,Emp_Data!$A$2:$A$9)</f>
        <v>5</v>
      </c>
    </row>
    <row r="469" spans="1:12">
      <c r="A469" s="99">
        <v>365</v>
      </c>
      <c r="B469" s="101">
        <v>44309</v>
      </c>
      <c r="C469" s="96">
        <v>7</v>
      </c>
      <c r="D469" s="104" t="s">
        <v>28</v>
      </c>
      <c r="E469" s="97" t="s">
        <v>27</v>
      </c>
      <c r="F469" s="97" t="str">
        <f>VLOOKUP(E469,Emp_Data!$B$2:$C$9,2,)</f>
        <v>Philip</v>
      </c>
      <c r="G469" s="97" t="s">
        <v>12</v>
      </c>
      <c r="H469" s="97" t="s">
        <v>40</v>
      </c>
      <c r="I469" s="97">
        <v>289</v>
      </c>
      <c r="J469" s="97">
        <v>9</v>
      </c>
      <c r="K469" s="97">
        <f t="shared" si="7"/>
        <v>2601</v>
      </c>
      <c r="L469" s="97">
        <f>_xlfn.XLOOKUP(E469,Emp_Data!$B$2:$B$9,Emp_Data!$A$2:$A$9)</f>
        <v>8</v>
      </c>
    </row>
    <row r="470" spans="1:12">
      <c r="A470" s="99">
        <v>367</v>
      </c>
      <c r="B470" s="101">
        <v>44310</v>
      </c>
      <c r="C470" s="96">
        <v>7</v>
      </c>
      <c r="D470" s="104" t="s">
        <v>28</v>
      </c>
      <c r="E470" s="97" t="s">
        <v>27</v>
      </c>
      <c r="F470" s="97" t="str">
        <f>VLOOKUP(E470,Emp_Data!$B$2:$C$9,2,)</f>
        <v>Philip</v>
      </c>
      <c r="G470" s="97" t="s">
        <v>12</v>
      </c>
      <c r="H470" s="97" t="s">
        <v>40</v>
      </c>
      <c r="I470" s="97">
        <v>289</v>
      </c>
      <c r="J470" s="97">
        <v>2</v>
      </c>
      <c r="K470" s="97">
        <f t="shared" si="7"/>
        <v>578</v>
      </c>
      <c r="L470" s="97">
        <f>_xlfn.XLOOKUP(E470,Emp_Data!$B$2:$B$9,Emp_Data!$A$2:$A$9)</f>
        <v>8</v>
      </c>
    </row>
    <row r="471" spans="1:12">
      <c r="A471" s="99">
        <v>368</v>
      </c>
      <c r="B471" s="101">
        <v>44310</v>
      </c>
      <c r="C471" s="96">
        <v>8</v>
      </c>
      <c r="D471" s="104" t="s">
        <v>36</v>
      </c>
      <c r="E471" s="97" t="s">
        <v>27</v>
      </c>
      <c r="F471" s="97" t="str">
        <f>VLOOKUP(E471,Emp_Data!$B$2:$C$9,2,)</f>
        <v>Philip</v>
      </c>
      <c r="G471" s="97" t="s">
        <v>12</v>
      </c>
      <c r="H471" s="97" t="s">
        <v>40</v>
      </c>
      <c r="I471" s="97">
        <v>289</v>
      </c>
      <c r="J471" s="97">
        <v>6</v>
      </c>
      <c r="K471" s="97">
        <f t="shared" si="7"/>
        <v>1734</v>
      </c>
      <c r="L471" s="97">
        <f>_xlfn.XLOOKUP(E471,Emp_Data!$B$2:$B$9,Emp_Data!$A$2:$A$9)</f>
        <v>8</v>
      </c>
    </row>
    <row r="472" spans="1:12">
      <c r="A472" s="99">
        <v>372</v>
      </c>
      <c r="B472" s="101">
        <v>44310</v>
      </c>
      <c r="C472" s="96">
        <v>7</v>
      </c>
      <c r="D472" s="104" t="s">
        <v>28</v>
      </c>
      <c r="E472" s="97" t="s">
        <v>27</v>
      </c>
      <c r="F472" s="97" t="str">
        <f>VLOOKUP(E472,Emp_Data!$B$2:$C$9,2,)</f>
        <v>Philip</v>
      </c>
      <c r="G472" s="97" t="s">
        <v>12</v>
      </c>
      <c r="H472" s="97" t="s">
        <v>40</v>
      </c>
      <c r="I472" s="97">
        <v>289</v>
      </c>
      <c r="J472" s="97">
        <v>8</v>
      </c>
      <c r="K472" s="97">
        <f t="shared" si="7"/>
        <v>2312</v>
      </c>
      <c r="L472" s="97">
        <f>_xlfn.XLOOKUP(E472,Emp_Data!$B$2:$B$9,Emp_Data!$A$2:$A$9)</f>
        <v>8</v>
      </c>
    </row>
    <row r="473" spans="1:12">
      <c r="A473" s="99">
        <v>385</v>
      </c>
      <c r="B473" s="101">
        <v>44314</v>
      </c>
      <c r="C473" s="96">
        <v>17</v>
      </c>
      <c r="D473" s="104" t="s">
        <v>32</v>
      </c>
      <c r="E473" s="97" t="s">
        <v>8</v>
      </c>
      <c r="F473" s="97" t="str">
        <f>VLOOKUP(E473,Emp_Data!$B$2:$C$9,2,)</f>
        <v>Jeff</v>
      </c>
      <c r="G473" s="97" t="s">
        <v>9</v>
      </c>
      <c r="H473" s="97" t="s">
        <v>40</v>
      </c>
      <c r="I473" s="97">
        <v>289</v>
      </c>
      <c r="J473" s="97">
        <v>3</v>
      </c>
      <c r="K473" s="97">
        <f t="shared" si="7"/>
        <v>867</v>
      </c>
      <c r="L473" s="97">
        <f>_xlfn.XLOOKUP(E473,Emp_Data!$B$2:$B$9,Emp_Data!$A$2:$A$9)</f>
        <v>3</v>
      </c>
    </row>
    <row r="474" spans="1:12">
      <c r="A474" s="99">
        <v>389</v>
      </c>
      <c r="B474" s="101">
        <v>44314</v>
      </c>
      <c r="C474" s="96">
        <v>13</v>
      </c>
      <c r="D474" s="104" t="s">
        <v>23</v>
      </c>
      <c r="E474" s="97" t="s">
        <v>24</v>
      </c>
      <c r="F474" s="97" t="str">
        <f>VLOOKUP(E474,Emp_Data!$B$2:$C$9,2,)</f>
        <v>Steve</v>
      </c>
      <c r="G474" s="97" t="s">
        <v>19</v>
      </c>
      <c r="H474" s="97" t="s">
        <v>40</v>
      </c>
      <c r="I474" s="97">
        <v>289</v>
      </c>
      <c r="J474" s="97">
        <v>3</v>
      </c>
      <c r="K474" s="97">
        <f t="shared" si="7"/>
        <v>867</v>
      </c>
      <c r="L474" s="97">
        <f>_xlfn.XLOOKUP(E474,Emp_Data!$B$2:$B$9,Emp_Data!$A$2:$A$9)</f>
        <v>6</v>
      </c>
    </row>
    <row r="475" spans="1:12">
      <c r="A475" s="99">
        <v>390</v>
      </c>
      <c r="B475" s="101">
        <v>44314</v>
      </c>
      <c r="C475" s="96">
        <v>1</v>
      </c>
      <c r="D475" s="104" t="s">
        <v>31</v>
      </c>
      <c r="E475" s="97" t="s">
        <v>21</v>
      </c>
      <c r="F475" s="97" t="str">
        <f>VLOOKUP(E475,Emp_Data!$B$2:$C$9,2,)</f>
        <v>Sara</v>
      </c>
      <c r="G475" s="97" t="s">
        <v>15</v>
      </c>
      <c r="H475" s="97" t="s">
        <v>40</v>
      </c>
      <c r="I475" s="97">
        <v>289</v>
      </c>
      <c r="J475" s="97">
        <v>4</v>
      </c>
      <c r="K475" s="97">
        <f t="shared" si="7"/>
        <v>1156</v>
      </c>
      <c r="L475" s="97">
        <f>_xlfn.XLOOKUP(E475,Emp_Data!$B$2:$B$9,Emp_Data!$A$2:$A$9)</f>
        <v>2</v>
      </c>
    </row>
    <row r="476" spans="1:12">
      <c r="A476" s="99">
        <v>392</v>
      </c>
      <c r="B476" s="101">
        <v>44315</v>
      </c>
      <c r="C476" s="96">
        <v>8</v>
      </c>
      <c r="D476" s="104" t="s">
        <v>36</v>
      </c>
      <c r="E476" s="97" t="s">
        <v>27</v>
      </c>
      <c r="F476" s="97" t="str">
        <f>VLOOKUP(E476,Emp_Data!$B$2:$C$9,2,)</f>
        <v>Philip</v>
      </c>
      <c r="G476" s="97" t="s">
        <v>12</v>
      </c>
      <c r="H476" s="97" t="s">
        <v>40</v>
      </c>
      <c r="I476" s="97">
        <v>289</v>
      </c>
      <c r="J476" s="97">
        <v>0</v>
      </c>
      <c r="K476" s="97">
        <f t="shared" si="7"/>
        <v>0</v>
      </c>
      <c r="L476" s="97">
        <f>_xlfn.XLOOKUP(E476,Emp_Data!$B$2:$B$9,Emp_Data!$A$2:$A$9)</f>
        <v>8</v>
      </c>
    </row>
    <row r="477" spans="1:12">
      <c r="A477" s="99">
        <v>397</v>
      </c>
      <c r="B477" s="101">
        <v>44318</v>
      </c>
      <c r="C477" s="96">
        <v>19</v>
      </c>
      <c r="D477" s="104" t="s">
        <v>22</v>
      </c>
      <c r="E477" s="97" t="s">
        <v>8</v>
      </c>
      <c r="F477" s="97" t="str">
        <f>VLOOKUP(E477,Emp_Data!$B$2:$C$9,2,)</f>
        <v>Jeff</v>
      </c>
      <c r="G477" s="97" t="s">
        <v>9</v>
      </c>
      <c r="H477" s="97" t="s">
        <v>40</v>
      </c>
      <c r="I477" s="97">
        <v>289</v>
      </c>
      <c r="J477" s="97">
        <v>1</v>
      </c>
      <c r="K477" s="97">
        <f t="shared" si="7"/>
        <v>289</v>
      </c>
      <c r="L477" s="97">
        <f>_xlfn.XLOOKUP(E477,Emp_Data!$B$2:$B$9,Emp_Data!$A$2:$A$9)</f>
        <v>3</v>
      </c>
    </row>
    <row r="478" spans="1:12">
      <c r="A478" s="99">
        <v>400</v>
      </c>
      <c r="B478" s="101">
        <v>44319</v>
      </c>
      <c r="C478" s="96">
        <v>19</v>
      </c>
      <c r="D478" s="104" t="s">
        <v>22</v>
      </c>
      <c r="E478" s="97" t="s">
        <v>25</v>
      </c>
      <c r="F478" s="97" t="str">
        <f>VLOOKUP(E478,Emp_Data!$B$2:$C$9,2,)</f>
        <v>Jeff</v>
      </c>
      <c r="G478" s="97" t="s">
        <v>9</v>
      </c>
      <c r="H478" s="97" t="s">
        <v>40</v>
      </c>
      <c r="I478" s="97">
        <v>289</v>
      </c>
      <c r="J478" s="97">
        <v>6</v>
      </c>
      <c r="K478" s="97">
        <f t="shared" si="7"/>
        <v>1734</v>
      </c>
      <c r="L478" s="97">
        <f>_xlfn.XLOOKUP(E478,Emp_Data!$B$2:$B$9,Emp_Data!$A$2:$A$9)</f>
        <v>5</v>
      </c>
    </row>
    <row r="479" spans="1:12">
      <c r="A479" s="99">
        <v>402</v>
      </c>
      <c r="B479" s="101">
        <v>44321</v>
      </c>
      <c r="C479" s="96">
        <v>16</v>
      </c>
      <c r="D479" s="104" t="s">
        <v>37</v>
      </c>
      <c r="E479" s="97" t="s">
        <v>8</v>
      </c>
      <c r="F479" s="97" t="str">
        <f>VLOOKUP(E479,Emp_Data!$B$2:$C$9,2,)</f>
        <v>Jeff</v>
      </c>
      <c r="G479" s="97" t="s">
        <v>9</v>
      </c>
      <c r="H479" s="97" t="s">
        <v>40</v>
      </c>
      <c r="I479" s="97">
        <v>289</v>
      </c>
      <c r="J479" s="97">
        <v>8</v>
      </c>
      <c r="K479" s="97">
        <f t="shared" si="7"/>
        <v>2312</v>
      </c>
      <c r="L479" s="97">
        <f>_xlfn.XLOOKUP(E479,Emp_Data!$B$2:$B$9,Emp_Data!$A$2:$A$9)</f>
        <v>3</v>
      </c>
    </row>
    <row r="480" spans="1:12">
      <c r="A480" s="99">
        <v>408</v>
      </c>
      <c r="B480" s="101">
        <v>44322</v>
      </c>
      <c r="C480" s="96">
        <v>4</v>
      </c>
      <c r="D480" s="104" t="s">
        <v>13</v>
      </c>
      <c r="E480" s="97" t="s">
        <v>21</v>
      </c>
      <c r="F480" s="97" t="str">
        <f>VLOOKUP(E480,Emp_Data!$B$2:$C$9,2,)</f>
        <v>Sara</v>
      </c>
      <c r="G480" s="97" t="s">
        <v>15</v>
      </c>
      <c r="H480" s="97" t="s">
        <v>40</v>
      </c>
      <c r="I480" s="97">
        <v>289</v>
      </c>
      <c r="J480" s="97">
        <v>6</v>
      </c>
      <c r="K480" s="97">
        <f t="shared" si="7"/>
        <v>1734</v>
      </c>
      <c r="L480" s="97">
        <f>_xlfn.XLOOKUP(E480,Emp_Data!$B$2:$B$9,Emp_Data!$A$2:$A$9)</f>
        <v>2</v>
      </c>
    </row>
    <row r="481" spans="1:12">
      <c r="A481" s="99">
        <v>425</v>
      </c>
      <c r="B481" s="101">
        <v>44328</v>
      </c>
      <c r="C481" s="96">
        <v>1</v>
      </c>
      <c r="D481" s="104" t="s">
        <v>31</v>
      </c>
      <c r="E481" s="97" t="s">
        <v>21</v>
      </c>
      <c r="F481" s="97" t="str">
        <f>VLOOKUP(E481,Emp_Data!$B$2:$C$9,2,)</f>
        <v>Sara</v>
      </c>
      <c r="G481" s="97" t="s">
        <v>15</v>
      </c>
      <c r="H481" s="97" t="s">
        <v>40</v>
      </c>
      <c r="I481" s="97">
        <v>289</v>
      </c>
      <c r="J481" s="97">
        <v>7</v>
      </c>
      <c r="K481" s="97">
        <f t="shared" si="7"/>
        <v>2023</v>
      </c>
      <c r="L481" s="97">
        <f>_xlfn.XLOOKUP(E481,Emp_Data!$B$2:$B$9,Emp_Data!$A$2:$A$9)</f>
        <v>2</v>
      </c>
    </row>
    <row r="482" spans="1:12">
      <c r="A482" s="99">
        <v>430</v>
      </c>
      <c r="B482" s="101">
        <v>44331</v>
      </c>
      <c r="C482" s="96">
        <v>16</v>
      </c>
      <c r="D482" s="104" t="s">
        <v>37</v>
      </c>
      <c r="E482" s="97" t="s">
        <v>8</v>
      </c>
      <c r="F482" s="97" t="str">
        <f>VLOOKUP(E482,Emp_Data!$B$2:$C$9,2,)</f>
        <v>Jeff</v>
      </c>
      <c r="G482" s="97" t="s">
        <v>9</v>
      </c>
      <c r="H482" s="97" t="s">
        <v>40</v>
      </c>
      <c r="I482" s="97">
        <v>289</v>
      </c>
      <c r="J482" s="97">
        <v>7</v>
      </c>
      <c r="K482" s="97">
        <f t="shared" si="7"/>
        <v>2023</v>
      </c>
      <c r="L482" s="97">
        <f>_xlfn.XLOOKUP(E482,Emp_Data!$B$2:$B$9,Emp_Data!$A$2:$A$9)</f>
        <v>3</v>
      </c>
    </row>
    <row r="483" spans="1:12">
      <c r="A483" s="99">
        <v>431</v>
      </c>
      <c r="B483" s="101">
        <v>44331</v>
      </c>
      <c r="C483" s="96">
        <v>4</v>
      </c>
      <c r="D483" s="104" t="s">
        <v>13</v>
      </c>
      <c r="E483" s="97" t="s">
        <v>21</v>
      </c>
      <c r="F483" s="97" t="str">
        <f>VLOOKUP(E483,Emp_Data!$B$2:$C$9,2,)</f>
        <v>Sara</v>
      </c>
      <c r="G483" s="97" t="s">
        <v>15</v>
      </c>
      <c r="H483" s="97" t="s">
        <v>40</v>
      </c>
      <c r="I483" s="97">
        <v>289</v>
      </c>
      <c r="J483" s="97">
        <v>6</v>
      </c>
      <c r="K483" s="97">
        <f t="shared" si="7"/>
        <v>1734</v>
      </c>
      <c r="L483" s="97">
        <f>_xlfn.XLOOKUP(E483,Emp_Data!$B$2:$B$9,Emp_Data!$A$2:$A$9)</f>
        <v>2</v>
      </c>
    </row>
    <row r="484" spans="1:12">
      <c r="A484" s="99">
        <v>433</v>
      </c>
      <c r="B484" s="101">
        <v>44331</v>
      </c>
      <c r="C484" s="96">
        <v>3</v>
      </c>
      <c r="D484" s="104" t="s">
        <v>20</v>
      </c>
      <c r="E484" s="97" t="s">
        <v>14</v>
      </c>
      <c r="F484" s="97" t="str">
        <f>VLOOKUP(E484,Emp_Data!$B$2:$C$9,2,)</f>
        <v>Jeff</v>
      </c>
      <c r="G484" s="97" t="s">
        <v>15</v>
      </c>
      <c r="H484" s="97" t="s">
        <v>40</v>
      </c>
      <c r="I484" s="97">
        <v>289</v>
      </c>
      <c r="J484" s="97">
        <v>0</v>
      </c>
      <c r="K484" s="97">
        <f t="shared" si="7"/>
        <v>0</v>
      </c>
      <c r="L484" s="97">
        <f>_xlfn.XLOOKUP(E484,Emp_Data!$B$2:$B$9,Emp_Data!$A$2:$A$9)</f>
        <v>2</v>
      </c>
    </row>
    <row r="485" spans="1:12">
      <c r="A485" s="99">
        <v>434</v>
      </c>
      <c r="B485" s="101">
        <v>44331</v>
      </c>
      <c r="C485" s="96">
        <v>9</v>
      </c>
      <c r="D485" s="104" t="s">
        <v>26</v>
      </c>
      <c r="E485" s="97" t="s">
        <v>27</v>
      </c>
      <c r="F485" s="97" t="str">
        <f>VLOOKUP(E485,Emp_Data!$B$2:$C$9,2,)</f>
        <v>Philip</v>
      </c>
      <c r="G485" s="97" t="s">
        <v>12</v>
      </c>
      <c r="H485" s="97" t="s">
        <v>40</v>
      </c>
      <c r="I485" s="97">
        <v>289</v>
      </c>
      <c r="J485" s="97">
        <v>5</v>
      </c>
      <c r="K485" s="97">
        <f t="shared" si="7"/>
        <v>1445</v>
      </c>
      <c r="L485" s="97">
        <f>_xlfn.XLOOKUP(E485,Emp_Data!$B$2:$B$9,Emp_Data!$A$2:$A$9)</f>
        <v>8</v>
      </c>
    </row>
    <row r="486" spans="1:12">
      <c r="A486" s="99">
        <v>435</v>
      </c>
      <c r="B486" s="101">
        <v>44331</v>
      </c>
      <c r="C486" s="96">
        <v>8</v>
      </c>
      <c r="D486" s="104" t="s">
        <v>36</v>
      </c>
      <c r="E486" s="97" t="s">
        <v>11</v>
      </c>
      <c r="F486" s="97" t="str">
        <f>VLOOKUP(E486,Emp_Data!$B$2:$C$9,2,)</f>
        <v>Steve</v>
      </c>
      <c r="G486" s="97" t="s">
        <v>12</v>
      </c>
      <c r="H486" s="97" t="s">
        <v>40</v>
      </c>
      <c r="I486" s="97">
        <v>289</v>
      </c>
      <c r="J486" s="97">
        <v>5</v>
      </c>
      <c r="K486" s="97">
        <f t="shared" si="7"/>
        <v>1445</v>
      </c>
      <c r="L486" s="97">
        <f>_xlfn.XLOOKUP(E486,Emp_Data!$B$2:$B$9,Emp_Data!$A$2:$A$9)</f>
        <v>4</v>
      </c>
    </row>
    <row r="487" spans="1:12">
      <c r="A487" s="99">
        <v>449</v>
      </c>
      <c r="B487" s="101">
        <v>44332</v>
      </c>
      <c r="C487" s="96">
        <v>10</v>
      </c>
      <c r="D487" s="104" t="s">
        <v>34</v>
      </c>
      <c r="E487" s="97" t="s">
        <v>27</v>
      </c>
      <c r="F487" s="97" t="str">
        <f>VLOOKUP(E487,Emp_Data!$B$2:$C$9,2,)</f>
        <v>Philip</v>
      </c>
      <c r="G487" s="97" t="s">
        <v>12</v>
      </c>
      <c r="H487" s="97" t="s">
        <v>40</v>
      </c>
      <c r="I487" s="97">
        <v>289</v>
      </c>
      <c r="J487" s="97">
        <v>6</v>
      </c>
      <c r="K487" s="97">
        <f t="shared" si="7"/>
        <v>1734</v>
      </c>
      <c r="L487" s="97">
        <f>_xlfn.XLOOKUP(E487,Emp_Data!$B$2:$B$9,Emp_Data!$A$2:$A$9)</f>
        <v>8</v>
      </c>
    </row>
    <row r="488" spans="1:12">
      <c r="A488" s="99">
        <v>450</v>
      </c>
      <c r="B488" s="101">
        <v>44332</v>
      </c>
      <c r="C488" s="96">
        <v>5</v>
      </c>
      <c r="D488" s="104" t="s">
        <v>16</v>
      </c>
      <c r="E488" s="97" t="s">
        <v>21</v>
      </c>
      <c r="F488" s="97" t="str">
        <f>VLOOKUP(E488,Emp_Data!$B$2:$C$9,2,)</f>
        <v>Sara</v>
      </c>
      <c r="G488" s="97" t="s">
        <v>15</v>
      </c>
      <c r="H488" s="97" t="s">
        <v>40</v>
      </c>
      <c r="I488" s="97">
        <v>289</v>
      </c>
      <c r="J488" s="97">
        <v>8</v>
      </c>
      <c r="K488" s="97">
        <f t="shared" si="7"/>
        <v>2312</v>
      </c>
      <c r="L488" s="97">
        <f>_xlfn.XLOOKUP(E488,Emp_Data!$B$2:$B$9,Emp_Data!$A$2:$A$9)</f>
        <v>2</v>
      </c>
    </row>
    <row r="489" spans="1:12">
      <c r="A489" s="99">
        <v>464</v>
      </c>
      <c r="B489" s="101">
        <v>44335</v>
      </c>
      <c r="C489" s="96">
        <v>4</v>
      </c>
      <c r="D489" s="104" t="s">
        <v>13</v>
      </c>
      <c r="E489" s="97" t="s">
        <v>21</v>
      </c>
      <c r="F489" s="97" t="str">
        <f>VLOOKUP(E489,Emp_Data!$B$2:$C$9,2,)</f>
        <v>Sara</v>
      </c>
      <c r="G489" s="97" t="s">
        <v>15</v>
      </c>
      <c r="H489" s="97" t="s">
        <v>40</v>
      </c>
      <c r="I489" s="97">
        <v>289</v>
      </c>
      <c r="J489" s="97">
        <v>2</v>
      </c>
      <c r="K489" s="97">
        <f t="shared" si="7"/>
        <v>578</v>
      </c>
      <c r="L489" s="97">
        <f>_xlfn.XLOOKUP(E489,Emp_Data!$B$2:$B$9,Emp_Data!$A$2:$A$9)</f>
        <v>2</v>
      </c>
    </row>
    <row r="490" spans="1:12">
      <c r="A490" s="99">
        <v>469</v>
      </c>
      <c r="B490" s="101">
        <v>44336</v>
      </c>
      <c r="C490" s="96">
        <v>2</v>
      </c>
      <c r="D490" s="104" t="s">
        <v>35</v>
      </c>
      <c r="E490" s="97" t="s">
        <v>14</v>
      </c>
      <c r="F490" s="97" t="str">
        <f>VLOOKUP(E490,Emp_Data!$B$2:$C$9,2,)</f>
        <v>Jeff</v>
      </c>
      <c r="G490" s="97" t="s">
        <v>15</v>
      </c>
      <c r="H490" s="97" t="s">
        <v>40</v>
      </c>
      <c r="I490" s="97">
        <v>289</v>
      </c>
      <c r="J490" s="97">
        <v>1</v>
      </c>
      <c r="K490" s="97">
        <f t="shared" si="7"/>
        <v>289</v>
      </c>
      <c r="L490" s="97">
        <f>_xlfn.XLOOKUP(E490,Emp_Data!$B$2:$B$9,Emp_Data!$A$2:$A$9)</f>
        <v>2</v>
      </c>
    </row>
    <row r="491" spans="1:12">
      <c r="A491" s="99">
        <v>471</v>
      </c>
      <c r="B491" s="101">
        <v>44337</v>
      </c>
      <c r="C491" s="96">
        <v>5</v>
      </c>
      <c r="D491" s="104" t="s">
        <v>16</v>
      </c>
      <c r="E491" s="97" t="s">
        <v>21</v>
      </c>
      <c r="F491" s="97" t="str">
        <f>VLOOKUP(E491,Emp_Data!$B$2:$C$9,2,)</f>
        <v>Sara</v>
      </c>
      <c r="G491" s="97" t="s">
        <v>15</v>
      </c>
      <c r="H491" s="97" t="s">
        <v>40</v>
      </c>
      <c r="I491" s="97">
        <v>289</v>
      </c>
      <c r="J491" s="97">
        <v>4</v>
      </c>
      <c r="K491" s="97">
        <f t="shared" si="7"/>
        <v>1156</v>
      </c>
      <c r="L491" s="97">
        <f>_xlfn.XLOOKUP(E491,Emp_Data!$B$2:$B$9,Emp_Data!$A$2:$A$9)</f>
        <v>2</v>
      </c>
    </row>
    <row r="492" spans="1:12">
      <c r="A492" s="99">
        <v>473</v>
      </c>
      <c r="B492" s="101">
        <v>44339</v>
      </c>
      <c r="C492" s="96">
        <v>13</v>
      </c>
      <c r="D492" s="104" t="s">
        <v>23</v>
      </c>
      <c r="E492" s="97" t="s">
        <v>18</v>
      </c>
      <c r="F492" s="97" t="str">
        <f>VLOOKUP(E492,Emp_Data!$B$2:$C$9,2,)</f>
        <v>Sara</v>
      </c>
      <c r="G492" s="97" t="s">
        <v>19</v>
      </c>
      <c r="H492" s="97" t="s">
        <v>40</v>
      </c>
      <c r="I492" s="97">
        <v>289</v>
      </c>
      <c r="J492" s="97">
        <v>8</v>
      </c>
      <c r="K492" s="97">
        <f t="shared" si="7"/>
        <v>2312</v>
      </c>
      <c r="L492" s="97">
        <f>_xlfn.XLOOKUP(E492,Emp_Data!$B$2:$B$9,Emp_Data!$A$2:$A$9)</f>
        <v>5</v>
      </c>
    </row>
    <row r="493" spans="1:12">
      <c r="A493" s="99">
        <v>477</v>
      </c>
      <c r="B493" s="101">
        <v>44339</v>
      </c>
      <c r="C493" s="96">
        <v>7</v>
      </c>
      <c r="D493" s="104" t="s">
        <v>28</v>
      </c>
      <c r="E493" s="97" t="s">
        <v>27</v>
      </c>
      <c r="F493" s="97" t="str">
        <f>VLOOKUP(E493,Emp_Data!$B$2:$C$9,2,)</f>
        <v>Philip</v>
      </c>
      <c r="G493" s="97" t="s">
        <v>12</v>
      </c>
      <c r="H493" s="97" t="s">
        <v>40</v>
      </c>
      <c r="I493" s="97">
        <v>289</v>
      </c>
      <c r="J493" s="97">
        <v>5</v>
      </c>
      <c r="K493" s="97">
        <f t="shared" si="7"/>
        <v>1445</v>
      </c>
      <c r="L493" s="97">
        <f>_xlfn.XLOOKUP(E493,Emp_Data!$B$2:$B$9,Emp_Data!$A$2:$A$9)</f>
        <v>8</v>
      </c>
    </row>
    <row r="494" spans="1:12">
      <c r="A494" s="99">
        <v>481</v>
      </c>
      <c r="B494" s="101">
        <v>44340</v>
      </c>
      <c r="C494" s="96">
        <v>17</v>
      </c>
      <c r="D494" s="104" t="s">
        <v>32</v>
      </c>
      <c r="E494" s="97" t="s">
        <v>25</v>
      </c>
      <c r="F494" s="97" t="str">
        <f>VLOOKUP(E494,Emp_Data!$B$2:$C$9,2,)</f>
        <v>Jeff</v>
      </c>
      <c r="G494" s="97" t="s">
        <v>9</v>
      </c>
      <c r="H494" s="97" t="s">
        <v>40</v>
      </c>
      <c r="I494" s="97">
        <v>289</v>
      </c>
      <c r="J494" s="97">
        <v>3</v>
      </c>
      <c r="K494" s="97">
        <f t="shared" si="7"/>
        <v>867</v>
      </c>
      <c r="L494" s="97">
        <f>_xlfn.XLOOKUP(E494,Emp_Data!$B$2:$B$9,Emp_Data!$A$2:$A$9)</f>
        <v>5</v>
      </c>
    </row>
    <row r="495" spans="1:12">
      <c r="A495" s="99">
        <v>487</v>
      </c>
      <c r="B495" s="101">
        <v>44341</v>
      </c>
      <c r="C495" s="96">
        <v>4</v>
      </c>
      <c r="D495" s="104" t="s">
        <v>13</v>
      </c>
      <c r="E495" s="97" t="s">
        <v>21</v>
      </c>
      <c r="F495" s="97" t="str">
        <f>VLOOKUP(E495,Emp_Data!$B$2:$C$9,2,)</f>
        <v>Sara</v>
      </c>
      <c r="G495" s="97" t="s">
        <v>15</v>
      </c>
      <c r="H495" s="97" t="s">
        <v>40</v>
      </c>
      <c r="I495" s="97">
        <v>289</v>
      </c>
      <c r="J495" s="97">
        <v>4</v>
      </c>
      <c r="K495" s="97">
        <f t="shared" si="7"/>
        <v>1156</v>
      </c>
      <c r="L495" s="97">
        <f>_xlfn.XLOOKUP(E495,Emp_Data!$B$2:$B$9,Emp_Data!$A$2:$A$9)</f>
        <v>2</v>
      </c>
    </row>
    <row r="496" spans="1:12">
      <c r="A496" s="99">
        <v>492</v>
      </c>
      <c r="B496" s="101">
        <v>44341</v>
      </c>
      <c r="C496" s="96">
        <v>3</v>
      </c>
      <c r="D496" s="104" t="s">
        <v>20</v>
      </c>
      <c r="E496" s="97" t="s">
        <v>14</v>
      </c>
      <c r="F496" s="97" t="str">
        <f>VLOOKUP(E496,Emp_Data!$B$2:$C$9,2,)</f>
        <v>Jeff</v>
      </c>
      <c r="G496" s="97" t="s">
        <v>15</v>
      </c>
      <c r="H496" s="97" t="s">
        <v>40</v>
      </c>
      <c r="I496" s="97">
        <v>289</v>
      </c>
      <c r="J496" s="97">
        <v>6</v>
      </c>
      <c r="K496" s="97">
        <f t="shared" si="7"/>
        <v>1734</v>
      </c>
      <c r="L496" s="97">
        <f>_xlfn.XLOOKUP(E496,Emp_Data!$B$2:$B$9,Emp_Data!$A$2:$A$9)</f>
        <v>2</v>
      </c>
    </row>
    <row r="497" spans="1:12">
      <c r="A497" s="99">
        <v>496</v>
      </c>
      <c r="B497" s="101">
        <v>44342</v>
      </c>
      <c r="C497" s="96">
        <v>9</v>
      </c>
      <c r="D497" s="104" t="s">
        <v>26</v>
      </c>
      <c r="E497" s="97" t="s">
        <v>27</v>
      </c>
      <c r="F497" s="97" t="str">
        <f>VLOOKUP(E497,Emp_Data!$B$2:$C$9,2,)</f>
        <v>Philip</v>
      </c>
      <c r="G497" s="97" t="s">
        <v>12</v>
      </c>
      <c r="H497" s="97" t="s">
        <v>40</v>
      </c>
      <c r="I497" s="97">
        <v>289</v>
      </c>
      <c r="J497" s="97">
        <v>6</v>
      </c>
      <c r="K497" s="97">
        <f t="shared" si="7"/>
        <v>1734</v>
      </c>
      <c r="L497" s="97">
        <f>_xlfn.XLOOKUP(E497,Emp_Data!$B$2:$B$9,Emp_Data!$A$2:$A$9)</f>
        <v>8</v>
      </c>
    </row>
    <row r="498" spans="1:12">
      <c r="A498" s="99">
        <v>497</v>
      </c>
      <c r="B498" s="101">
        <v>44342</v>
      </c>
      <c r="C498" s="96">
        <v>4</v>
      </c>
      <c r="D498" s="104" t="s">
        <v>13</v>
      </c>
      <c r="E498" s="97" t="s">
        <v>21</v>
      </c>
      <c r="F498" s="97" t="str">
        <f>VLOOKUP(E498,Emp_Data!$B$2:$C$9,2,)</f>
        <v>Sara</v>
      </c>
      <c r="G498" s="97" t="s">
        <v>15</v>
      </c>
      <c r="H498" s="97" t="s">
        <v>40</v>
      </c>
      <c r="I498" s="97">
        <v>289</v>
      </c>
      <c r="J498" s="97">
        <v>1</v>
      </c>
      <c r="K498" s="97">
        <f t="shared" si="7"/>
        <v>289</v>
      </c>
      <c r="L498" s="97">
        <f>_xlfn.XLOOKUP(E498,Emp_Data!$B$2:$B$9,Emp_Data!$A$2:$A$9)</f>
        <v>2</v>
      </c>
    </row>
    <row r="499" spans="1:12">
      <c r="A499" s="99">
        <v>500</v>
      </c>
      <c r="B499" s="101">
        <v>44342</v>
      </c>
      <c r="C499" s="96">
        <v>4</v>
      </c>
      <c r="D499" s="104" t="s">
        <v>13</v>
      </c>
      <c r="E499" s="97" t="s">
        <v>14</v>
      </c>
      <c r="F499" s="97" t="str">
        <f>VLOOKUP(E499,Emp_Data!$B$2:$C$9,2,)</f>
        <v>Jeff</v>
      </c>
      <c r="G499" s="97" t="s">
        <v>15</v>
      </c>
      <c r="H499" s="97" t="s">
        <v>40</v>
      </c>
      <c r="I499" s="97">
        <v>289</v>
      </c>
      <c r="J499" s="97">
        <v>6</v>
      </c>
      <c r="K499" s="97">
        <f t="shared" si="7"/>
        <v>1734</v>
      </c>
      <c r="L499" s="97">
        <f>_xlfn.XLOOKUP(E499,Emp_Data!$B$2:$B$9,Emp_Data!$A$2:$A$9)</f>
        <v>2</v>
      </c>
    </row>
    <row r="500" spans="1:12">
      <c r="A500" s="99">
        <v>503</v>
      </c>
      <c r="B500" s="101">
        <v>44343</v>
      </c>
      <c r="C500" s="96">
        <v>10</v>
      </c>
      <c r="D500" s="104" t="s">
        <v>34</v>
      </c>
      <c r="E500" s="97" t="s">
        <v>11</v>
      </c>
      <c r="F500" s="97" t="str">
        <f>VLOOKUP(E500,Emp_Data!$B$2:$C$9,2,)</f>
        <v>Steve</v>
      </c>
      <c r="G500" s="97" t="s">
        <v>12</v>
      </c>
      <c r="H500" s="97" t="s">
        <v>40</v>
      </c>
      <c r="I500" s="97">
        <v>289</v>
      </c>
      <c r="J500" s="97">
        <v>8</v>
      </c>
      <c r="K500" s="97">
        <f t="shared" si="7"/>
        <v>2312</v>
      </c>
      <c r="L500" s="97">
        <f>_xlfn.XLOOKUP(E500,Emp_Data!$B$2:$B$9,Emp_Data!$A$2:$A$9)</f>
        <v>4</v>
      </c>
    </row>
    <row r="501" spans="1:12">
      <c r="A501" s="99">
        <v>511</v>
      </c>
      <c r="B501" s="101">
        <v>44346</v>
      </c>
      <c r="C501" s="96">
        <v>19</v>
      </c>
      <c r="D501" s="104" t="s">
        <v>22</v>
      </c>
      <c r="E501" s="97" t="s">
        <v>25</v>
      </c>
      <c r="F501" s="97" t="str">
        <f>VLOOKUP(E501,Emp_Data!$B$2:$C$9,2,)</f>
        <v>Jeff</v>
      </c>
      <c r="G501" s="97" t="s">
        <v>9</v>
      </c>
      <c r="H501" s="97" t="s">
        <v>40</v>
      </c>
      <c r="I501" s="97">
        <v>289</v>
      </c>
      <c r="J501" s="97">
        <v>9</v>
      </c>
      <c r="K501" s="97">
        <f t="shared" si="7"/>
        <v>2601</v>
      </c>
      <c r="L501" s="97">
        <f>_xlfn.XLOOKUP(E501,Emp_Data!$B$2:$B$9,Emp_Data!$A$2:$A$9)</f>
        <v>5</v>
      </c>
    </row>
    <row r="502" spans="1:12">
      <c r="A502" s="99">
        <v>515</v>
      </c>
      <c r="B502" s="101">
        <v>44348</v>
      </c>
      <c r="C502" s="96">
        <v>8</v>
      </c>
      <c r="D502" s="104" t="s">
        <v>36</v>
      </c>
      <c r="E502" s="97" t="s">
        <v>11</v>
      </c>
      <c r="F502" s="97" t="str">
        <f>VLOOKUP(E502,Emp_Data!$B$2:$C$9,2,)</f>
        <v>Steve</v>
      </c>
      <c r="G502" s="97" t="s">
        <v>12</v>
      </c>
      <c r="H502" s="97" t="s">
        <v>40</v>
      </c>
      <c r="I502" s="97">
        <v>289</v>
      </c>
      <c r="J502" s="97">
        <v>4</v>
      </c>
      <c r="K502" s="97">
        <f t="shared" si="7"/>
        <v>1156</v>
      </c>
      <c r="L502" s="97">
        <f>_xlfn.XLOOKUP(E502,Emp_Data!$B$2:$B$9,Emp_Data!$A$2:$A$9)</f>
        <v>4</v>
      </c>
    </row>
    <row r="503" spans="1:12">
      <c r="A503" s="99">
        <v>516</v>
      </c>
      <c r="B503" s="101">
        <v>44348</v>
      </c>
      <c r="C503" s="96">
        <v>4</v>
      </c>
      <c r="D503" s="104" t="s">
        <v>13</v>
      </c>
      <c r="E503" s="97" t="s">
        <v>21</v>
      </c>
      <c r="F503" s="97" t="str">
        <f>VLOOKUP(E503,Emp_Data!$B$2:$C$9,2,)</f>
        <v>Sara</v>
      </c>
      <c r="G503" s="97" t="s">
        <v>15</v>
      </c>
      <c r="H503" s="97" t="s">
        <v>40</v>
      </c>
      <c r="I503" s="97">
        <v>289</v>
      </c>
      <c r="J503" s="97">
        <v>3</v>
      </c>
      <c r="K503" s="97">
        <f t="shared" si="7"/>
        <v>867</v>
      </c>
      <c r="L503" s="97">
        <f>_xlfn.XLOOKUP(E503,Emp_Data!$B$2:$B$9,Emp_Data!$A$2:$A$9)</f>
        <v>2</v>
      </c>
    </row>
    <row r="504" spans="1:12">
      <c r="A504" s="99">
        <v>517</v>
      </c>
      <c r="B504" s="101">
        <v>44349</v>
      </c>
      <c r="C504" s="96">
        <v>19</v>
      </c>
      <c r="D504" s="104" t="s">
        <v>22</v>
      </c>
      <c r="E504" s="97" t="s">
        <v>25</v>
      </c>
      <c r="F504" s="97" t="str">
        <f>VLOOKUP(E504,Emp_Data!$B$2:$C$9,2,)</f>
        <v>Jeff</v>
      </c>
      <c r="G504" s="97" t="s">
        <v>9</v>
      </c>
      <c r="H504" s="97" t="s">
        <v>40</v>
      </c>
      <c r="I504" s="97">
        <v>289</v>
      </c>
      <c r="J504" s="97">
        <v>4</v>
      </c>
      <c r="K504" s="97">
        <f t="shared" si="7"/>
        <v>1156</v>
      </c>
      <c r="L504" s="97">
        <f>_xlfn.XLOOKUP(E504,Emp_Data!$B$2:$B$9,Emp_Data!$A$2:$A$9)</f>
        <v>5</v>
      </c>
    </row>
    <row r="505" spans="1:12">
      <c r="A505" s="99">
        <v>521</v>
      </c>
      <c r="B505" s="101">
        <v>44350</v>
      </c>
      <c r="C505" s="96">
        <v>5</v>
      </c>
      <c r="D505" s="104" t="s">
        <v>16</v>
      </c>
      <c r="E505" s="97" t="s">
        <v>21</v>
      </c>
      <c r="F505" s="97" t="str">
        <f>VLOOKUP(E505,Emp_Data!$B$2:$C$9,2,)</f>
        <v>Sara</v>
      </c>
      <c r="G505" s="97" t="s">
        <v>15</v>
      </c>
      <c r="H505" s="97" t="s">
        <v>40</v>
      </c>
      <c r="I505" s="97">
        <v>289</v>
      </c>
      <c r="J505" s="97">
        <v>3</v>
      </c>
      <c r="K505" s="97">
        <f t="shared" si="7"/>
        <v>867</v>
      </c>
      <c r="L505" s="97">
        <f>_xlfn.XLOOKUP(E505,Emp_Data!$B$2:$B$9,Emp_Data!$A$2:$A$9)</f>
        <v>2</v>
      </c>
    </row>
    <row r="506" spans="1:12">
      <c r="A506" s="99">
        <v>523</v>
      </c>
      <c r="B506" s="101">
        <v>44350</v>
      </c>
      <c r="C506" s="96">
        <v>18</v>
      </c>
      <c r="D506" s="104" t="s">
        <v>30</v>
      </c>
      <c r="E506" s="97" t="s">
        <v>25</v>
      </c>
      <c r="F506" s="97" t="str">
        <f>VLOOKUP(E506,Emp_Data!$B$2:$C$9,2,)</f>
        <v>Jeff</v>
      </c>
      <c r="G506" s="97" t="s">
        <v>9</v>
      </c>
      <c r="H506" s="97" t="s">
        <v>40</v>
      </c>
      <c r="I506" s="97">
        <v>289</v>
      </c>
      <c r="J506" s="97">
        <v>7</v>
      </c>
      <c r="K506" s="97">
        <f t="shared" si="7"/>
        <v>2023</v>
      </c>
      <c r="L506" s="97">
        <f>_xlfn.XLOOKUP(E506,Emp_Data!$B$2:$B$9,Emp_Data!$A$2:$A$9)</f>
        <v>5</v>
      </c>
    </row>
    <row r="507" spans="1:12">
      <c r="A507" s="99">
        <v>526</v>
      </c>
      <c r="B507" s="101">
        <v>44350</v>
      </c>
      <c r="C507" s="96">
        <v>20</v>
      </c>
      <c r="D507" s="104" t="s">
        <v>7</v>
      </c>
      <c r="E507" s="97" t="s">
        <v>8</v>
      </c>
      <c r="F507" s="97" t="str">
        <f>VLOOKUP(E507,Emp_Data!$B$2:$C$9,2,)</f>
        <v>Jeff</v>
      </c>
      <c r="G507" s="97" t="s">
        <v>9</v>
      </c>
      <c r="H507" s="97" t="s">
        <v>40</v>
      </c>
      <c r="I507" s="97">
        <v>289</v>
      </c>
      <c r="J507" s="97">
        <v>7</v>
      </c>
      <c r="K507" s="97">
        <f t="shared" si="7"/>
        <v>2023</v>
      </c>
      <c r="L507" s="97">
        <f>_xlfn.XLOOKUP(E507,Emp_Data!$B$2:$B$9,Emp_Data!$A$2:$A$9)</f>
        <v>3</v>
      </c>
    </row>
    <row r="508" spans="1:12">
      <c r="A508" s="99">
        <v>527</v>
      </c>
      <c r="B508" s="101">
        <v>44350</v>
      </c>
      <c r="C508" s="96">
        <v>1</v>
      </c>
      <c r="D508" s="104" t="s">
        <v>31</v>
      </c>
      <c r="E508" s="97" t="s">
        <v>21</v>
      </c>
      <c r="F508" s="97" t="str">
        <f>VLOOKUP(E508,Emp_Data!$B$2:$C$9,2,)</f>
        <v>Sara</v>
      </c>
      <c r="G508" s="97" t="s">
        <v>15</v>
      </c>
      <c r="H508" s="97" t="s">
        <v>40</v>
      </c>
      <c r="I508" s="97">
        <v>289</v>
      </c>
      <c r="J508" s="97">
        <v>7</v>
      </c>
      <c r="K508" s="97">
        <f t="shared" si="7"/>
        <v>2023</v>
      </c>
      <c r="L508" s="97">
        <f>_xlfn.XLOOKUP(E508,Emp_Data!$B$2:$B$9,Emp_Data!$A$2:$A$9)</f>
        <v>2</v>
      </c>
    </row>
    <row r="509" spans="1:12">
      <c r="A509" s="99">
        <v>528</v>
      </c>
      <c r="B509" s="101">
        <v>44350</v>
      </c>
      <c r="C509" s="96">
        <v>4</v>
      </c>
      <c r="D509" s="104" t="s">
        <v>13</v>
      </c>
      <c r="E509" s="97" t="s">
        <v>14</v>
      </c>
      <c r="F509" s="97" t="str">
        <f>VLOOKUP(E509,Emp_Data!$B$2:$C$9,2,)</f>
        <v>Jeff</v>
      </c>
      <c r="G509" s="97" t="s">
        <v>15</v>
      </c>
      <c r="H509" s="97" t="s">
        <v>40</v>
      </c>
      <c r="I509" s="97">
        <v>289</v>
      </c>
      <c r="J509" s="97">
        <v>9</v>
      </c>
      <c r="K509" s="97">
        <f t="shared" si="7"/>
        <v>2601</v>
      </c>
      <c r="L509" s="97">
        <f>_xlfn.XLOOKUP(E509,Emp_Data!$B$2:$B$9,Emp_Data!$A$2:$A$9)</f>
        <v>2</v>
      </c>
    </row>
    <row r="510" spans="1:12">
      <c r="A510" s="99">
        <v>541</v>
      </c>
      <c r="B510" s="101">
        <v>44355</v>
      </c>
      <c r="C510" s="96">
        <v>9</v>
      </c>
      <c r="D510" s="104" t="s">
        <v>26</v>
      </c>
      <c r="E510" s="97" t="s">
        <v>11</v>
      </c>
      <c r="F510" s="97" t="str">
        <f>VLOOKUP(E510,Emp_Data!$B$2:$C$9,2,)</f>
        <v>Steve</v>
      </c>
      <c r="G510" s="97" t="s">
        <v>12</v>
      </c>
      <c r="H510" s="97" t="s">
        <v>40</v>
      </c>
      <c r="I510" s="97">
        <v>289</v>
      </c>
      <c r="J510" s="97">
        <v>9</v>
      </c>
      <c r="K510" s="97">
        <f t="shared" si="7"/>
        <v>2601</v>
      </c>
      <c r="L510" s="97">
        <f>_xlfn.XLOOKUP(E510,Emp_Data!$B$2:$B$9,Emp_Data!$A$2:$A$9)</f>
        <v>4</v>
      </c>
    </row>
    <row r="511" spans="1:12">
      <c r="A511" s="99">
        <v>544</v>
      </c>
      <c r="B511" s="101">
        <v>44356</v>
      </c>
      <c r="C511" s="96">
        <v>9</v>
      </c>
      <c r="D511" s="104" t="s">
        <v>26</v>
      </c>
      <c r="E511" s="97" t="s">
        <v>11</v>
      </c>
      <c r="F511" s="97" t="str">
        <f>VLOOKUP(E511,Emp_Data!$B$2:$C$9,2,)</f>
        <v>Steve</v>
      </c>
      <c r="G511" s="97" t="s">
        <v>12</v>
      </c>
      <c r="H511" s="97" t="s">
        <v>40</v>
      </c>
      <c r="I511" s="97">
        <v>289</v>
      </c>
      <c r="J511" s="97">
        <v>6</v>
      </c>
      <c r="K511" s="97">
        <f t="shared" si="7"/>
        <v>1734</v>
      </c>
      <c r="L511" s="97">
        <f>_xlfn.XLOOKUP(E511,Emp_Data!$B$2:$B$9,Emp_Data!$A$2:$A$9)</f>
        <v>4</v>
      </c>
    </row>
    <row r="512" spans="1:12">
      <c r="A512" s="99">
        <v>552</v>
      </c>
      <c r="B512" s="101">
        <v>44358</v>
      </c>
      <c r="C512" s="96">
        <v>2</v>
      </c>
      <c r="D512" s="104" t="s">
        <v>35</v>
      </c>
      <c r="E512" s="97" t="s">
        <v>21</v>
      </c>
      <c r="F512" s="97" t="str">
        <f>VLOOKUP(E512,Emp_Data!$B$2:$C$9,2,)</f>
        <v>Sara</v>
      </c>
      <c r="G512" s="97" t="s">
        <v>15</v>
      </c>
      <c r="H512" s="97" t="s">
        <v>40</v>
      </c>
      <c r="I512" s="97">
        <v>289</v>
      </c>
      <c r="J512" s="97">
        <v>5</v>
      </c>
      <c r="K512" s="97">
        <f t="shared" si="7"/>
        <v>1445</v>
      </c>
      <c r="L512" s="97">
        <f>_xlfn.XLOOKUP(E512,Emp_Data!$B$2:$B$9,Emp_Data!$A$2:$A$9)</f>
        <v>2</v>
      </c>
    </row>
    <row r="513" spans="1:12">
      <c r="A513" s="99">
        <v>559</v>
      </c>
      <c r="B513" s="101">
        <v>44360</v>
      </c>
      <c r="C513" s="96">
        <v>2</v>
      </c>
      <c r="D513" s="104" t="s">
        <v>35</v>
      </c>
      <c r="E513" s="97" t="s">
        <v>21</v>
      </c>
      <c r="F513" s="97" t="str">
        <f>VLOOKUP(E513,Emp_Data!$B$2:$C$9,2,)</f>
        <v>Sara</v>
      </c>
      <c r="G513" s="97" t="s">
        <v>15</v>
      </c>
      <c r="H513" s="97" t="s">
        <v>40</v>
      </c>
      <c r="I513" s="97">
        <v>289</v>
      </c>
      <c r="J513" s="97">
        <v>2</v>
      </c>
      <c r="K513" s="97">
        <f t="shared" si="7"/>
        <v>578</v>
      </c>
      <c r="L513" s="97">
        <f>_xlfn.XLOOKUP(E513,Emp_Data!$B$2:$B$9,Emp_Data!$A$2:$A$9)</f>
        <v>2</v>
      </c>
    </row>
    <row r="514" spans="1:12">
      <c r="A514" s="99">
        <v>560</v>
      </c>
      <c r="B514" s="101">
        <v>44360</v>
      </c>
      <c r="C514" s="96">
        <v>15</v>
      </c>
      <c r="D514" s="104" t="s">
        <v>29</v>
      </c>
      <c r="E514" s="97" t="s">
        <v>24</v>
      </c>
      <c r="F514" s="97" t="str">
        <f>VLOOKUP(E514,Emp_Data!$B$2:$C$9,2,)</f>
        <v>Steve</v>
      </c>
      <c r="G514" s="97" t="s">
        <v>19</v>
      </c>
      <c r="H514" s="97" t="s">
        <v>40</v>
      </c>
      <c r="I514" s="97">
        <v>289</v>
      </c>
      <c r="J514" s="97">
        <v>5</v>
      </c>
      <c r="K514" s="97">
        <f t="shared" si="7"/>
        <v>1445</v>
      </c>
      <c r="L514" s="97">
        <f>_xlfn.XLOOKUP(E514,Emp_Data!$B$2:$B$9,Emp_Data!$A$2:$A$9)</f>
        <v>6</v>
      </c>
    </row>
    <row r="515" spans="1:12">
      <c r="A515" s="99">
        <v>561</v>
      </c>
      <c r="B515" s="101">
        <v>44361</v>
      </c>
      <c r="C515" s="96">
        <v>13</v>
      </c>
      <c r="D515" s="104" t="s">
        <v>23</v>
      </c>
      <c r="E515" s="97" t="s">
        <v>18</v>
      </c>
      <c r="F515" s="97" t="str">
        <f>VLOOKUP(E515,Emp_Data!$B$2:$C$9,2,)</f>
        <v>Sara</v>
      </c>
      <c r="G515" s="97" t="s">
        <v>19</v>
      </c>
      <c r="H515" s="97" t="s">
        <v>40</v>
      </c>
      <c r="I515" s="97">
        <v>289</v>
      </c>
      <c r="J515" s="97">
        <v>3</v>
      </c>
      <c r="K515" s="97">
        <f t="shared" ref="K515:K578" si="8">SUMPRODUCT(I515,J515)</f>
        <v>867</v>
      </c>
      <c r="L515" s="97">
        <f>_xlfn.XLOOKUP(E515,Emp_Data!$B$2:$B$9,Emp_Data!$A$2:$A$9)</f>
        <v>5</v>
      </c>
    </row>
    <row r="516" spans="1:12">
      <c r="A516" s="99">
        <v>562</v>
      </c>
      <c r="B516" s="101">
        <v>44362</v>
      </c>
      <c r="C516" s="96">
        <v>17</v>
      </c>
      <c r="D516" s="104" t="s">
        <v>32</v>
      </c>
      <c r="E516" s="97" t="s">
        <v>8</v>
      </c>
      <c r="F516" s="97" t="str">
        <f>VLOOKUP(E516,Emp_Data!$B$2:$C$9,2,)</f>
        <v>Jeff</v>
      </c>
      <c r="G516" s="97" t="s">
        <v>9</v>
      </c>
      <c r="H516" s="97" t="s">
        <v>40</v>
      </c>
      <c r="I516" s="97">
        <v>289</v>
      </c>
      <c r="J516" s="97">
        <v>6</v>
      </c>
      <c r="K516" s="97">
        <f t="shared" si="8"/>
        <v>1734</v>
      </c>
      <c r="L516" s="97">
        <f>_xlfn.XLOOKUP(E516,Emp_Data!$B$2:$B$9,Emp_Data!$A$2:$A$9)</f>
        <v>3</v>
      </c>
    </row>
    <row r="517" spans="1:12">
      <c r="A517" s="99">
        <v>570</v>
      </c>
      <c r="B517" s="101">
        <v>44365</v>
      </c>
      <c r="C517" s="96">
        <v>3</v>
      </c>
      <c r="D517" s="104" t="s">
        <v>20</v>
      </c>
      <c r="E517" s="97" t="s">
        <v>21</v>
      </c>
      <c r="F517" s="97" t="str">
        <f>VLOOKUP(E517,Emp_Data!$B$2:$C$9,2,)</f>
        <v>Sara</v>
      </c>
      <c r="G517" s="97" t="s">
        <v>15</v>
      </c>
      <c r="H517" s="97" t="s">
        <v>40</v>
      </c>
      <c r="I517" s="97">
        <v>289</v>
      </c>
      <c r="J517" s="97">
        <v>3</v>
      </c>
      <c r="K517" s="97">
        <f t="shared" si="8"/>
        <v>867</v>
      </c>
      <c r="L517" s="97">
        <f>_xlfn.XLOOKUP(E517,Emp_Data!$B$2:$B$9,Emp_Data!$A$2:$A$9)</f>
        <v>2</v>
      </c>
    </row>
    <row r="518" spans="1:12">
      <c r="A518" s="99">
        <v>571</v>
      </c>
      <c r="B518" s="101">
        <v>44365</v>
      </c>
      <c r="C518" s="96">
        <v>3</v>
      </c>
      <c r="D518" s="104" t="s">
        <v>20</v>
      </c>
      <c r="E518" s="97" t="s">
        <v>21</v>
      </c>
      <c r="F518" s="97" t="str">
        <f>VLOOKUP(E518,Emp_Data!$B$2:$C$9,2,)</f>
        <v>Sara</v>
      </c>
      <c r="G518" s="97" t="s">
        <v>15</v>
      </c>
      <c r="H518" s="97" t="s">
        <v>40</v>
      </c>
      <c r="I518" s="97">
        <v>289</v>
      </c>
      <c r="J518" s="97">
        <v>1</v>
      </c>
      <c r="K518" s="97">
        <f t="shared" si="8"/>
        <v>289</v>
      </c>
      <c r="L518" s="97">
        <f>_xlfn.XLOOKUP(E518,Emp_Data!$B$2:$B$9,Emp_Data!$A$2:$A$9)</f>
        <v>2</v>
      </c>
    </row>
    <row r="519" spans="1:12">
      <c r="A519" s="99">
        <v>586</v>
      </c>
      <c r="B519" s="101">
        <v>44369</v>
      </c>
      <c r="C519" s="96">
        <v>4</v>
      </c>
      <c r="D519" s="104" t="s">
        <v>13</v>
      </c>
      <c r="E519" s="97" t="s">
        <v>14</v>
      </c>
      <c r="F519" s="97" t="str">
        <f>VLOOKUP(E519,Emp_Data!$B$2:$C$9,2,)</f>
        <v>Jeff</v>
      </c>
      <c r="G519" s="97" t="s">
        <v>15</v>
      </c>
      <c r="H519" s="97" t="s">
        <v>40</v>
      </c>
      <c r="I519" s="97">
        <v>289</v>
      </c>
      <c r="J519" s="97">
        <v>5</v>
      </c>
      <c r="K519" s="97">
        <f t="shared" si="8"/>
        <v>1445</v>
      </c>
      <c r="L519" s="97">
        <f>_xlfn.XLOOKUP(E519,Emp_Data!$B$2:$B$9,Emp_Data!$A$2:$A$9)</f>
        <v>2</v>
      </c>
    </row>
    <row r="520" spans="1:12">
      <c r="A520" s="99">
        <v>591</v>
      </c>
      <c r="B520" s="101">
        <v>44372</v>
      </c>
      <c r="C520" s="96">
        <v>4</v>
      </c>
      <c r="D520" s="104" t="s">
        <v>13</v>
      </c>
      <c r="E520" s="97" t="s">
        <v>21</v>
      </c>
      <c r="F520" s="97" t="str">
        <f>VLOOKUP(E520,Emp_Data!$B$2:$C$9,2,)</f>
        <v>Sara</v>
      </c>
      <c r="G520" s="97" t="s">
        <v>15</v>
      </c>
      <c r="H520" s="97" t="s">
        <v>40</v>
      </c>
      <c r="I520" s="97">
        <v>289</v>
      </c>
      <c r="J520" s="97">
        <v>3</v>
      </c>
      <c r="K520" s="97">
        <f t="shared" si="8"/>
        <v>867</v>
      </c>
      <c r="L520" s="97">
        <f>_xlfn.XLOOKUP(E520,Emp_Data!$B$2:$B$9,Emp_Data!$A$2:$A$9)</f>
        <v>2</v>
      </c>
    </row>
    <row r="521" spans="1:12">
      <c r="A521" s="99">
        <v>592</v>
      </c>
      <c r="B521" s="101">
        <v>44373</v>
      </c>
      <c r="C521" s="96">
        <v>6</v>
      </c>
      <c r="D521" s="104" t="s">
        <v>10</v>
      </c>
      <c r="E521" s="97" t="s">
        <v>11</v>
      </c>
      <c r="F521" s="97" t="str">
        <f>VLOOKUP(E521,Emp_Data!$B$2:$C$9,2,)</f>
        <v>Steve</v>
      </c>
      <c r="G521" s="97" t="s">
        <v>12</v>
      </c>
      <c r="H521" s="97" t="s">
        <v>40</v>
      </c>
      <c r="I521" s="97">
        <v>289</v>
      </c>
      <c r="J521" s="97">
        <v>9</v>
      </c>
      <c r="K521" s="97">
        <f t="shared" si="8"/>
        <v>2601</v>
      </c>
      <c r="L521" s="97">
        <f>_xlfn.XLOOKUP(E521,Emp_Data!$B$2:$B$9,Emp_Data!$A$2:$A$9)</f>
        <v>4</v>
      </c>
    </row>
    <row r="522" spans="1:12">
      <c r="A522" s="99">
        <v>594</v>
      </c>
      <c r="B522" s="101">
        <v>44373</v>
      </c>
      <c r="C522" s="96">
        <v>2</v>
      </c>
      <c r="D522" s="104" t="s">
        <v>35</v>
      </c>
      <c r="E522" s="97" t="s">
        <v>21</v>
      </c>
      <c r="F522" s="97" t="str">
        <f>VLOOKUP(E522,Emp_Data!$B$2:$C$9,2,)</f>
        <v>Sara</v>
      </c>
      <c r="G522" s="97" t="s">
        <v>15</v>
      </c>
      <c r="H522" s="97" t="s">
        <v>40</v>
      </c>
      <c r="I522" s="97">
        <v>289</v>
      </c>
      <c r="J522" s="97">
        <v>1</v>
      </c>
      <c r="K522" s="97">
        <f t="shared" si="8"/>
        <v>289</v>
      </c>
      <c r="L522" s="97">
        <f>_xlfn.XLOOKUP(E522,Emp_Data!$B$2:$B$9,Emp_Data!$A$2:$A$9)</f>
        <v>2</v>
      </c>
    </row>
    <row r="523" spans="1:12">
      <c r="A523" s="99">
        <v>600</v>
      </c>
      <c r="B523" s="101">
        <v>44375</v>
      </c>
      <c r="C523" s="96">
        <v>5</v>
      </c>
      <c r="D523" s="104" t="s">
        <v>16</v>
      </c>
      <c r="E523" s="97" t="s">
        <v>14</v>
      </c>
      <c r="F523" s="97" t="str">
        <f>VLOOKUP(E523,Emp_Data!$B$2:$C$9,2,)</f>
        <v>Jeff</v>
      </c>
      <c r="G523" s="97" t="s">
        <v>15</v>
      </c>
      <c r="H523" s="97" t="s">
        <v>40</v>
      </c>
      <c r="I523" s="97">
        <v>289</v>
      </c>
      <c r="J523" s="97">
        <v>0</v>
      </c>
      <c r="K523" s="97">
        <f t="shared" si="8"/>
        <v>0</v>
      </c>
      <c r="L523" s="97">
        <f>_xlfn.XLOOKUP(E523,Emp_Data!$B$2:$B$9,Emp_Data!$A$2:$A$9)</f>
        <v>2</v>
      </c>
    </row>
    <row r="524" spans="1:12">
      <c r="A524" s="99">
        <v>603</v>
      </c>
      <c r="B524" s="101">
        <v>44375</v>
      </c>
      <c r="C524" s="96">
        <v>11</v>
      </c>
      <c r="D524" s="104" t="s">
        <v>38</v>
      </c>
      <c r="E524" s="97" t="s">
        <v>18</v>
      </c>
      <c r="F524" s="97" t="str">
        <f>VLOOKUP(E524,Emp_Data!$B$2:$C$9,2,)</f>
        <v>Sara</v>
      </c>
      <c r="G524" s="97" t="s">
        <v>19</v>
      </c>
      <c r="H524" s="97" t="s">
        <v>40</v>
      </c>
      <c r="I524" s="97">
        <v>289</v>
      </c>
      <c r="J524" s="97">
        <v>7</v>
      </c>
      <c r="K524" s="97">
        <f t="shared" si="8"/>
        <v>2023</v>
      </c>
      <c r="L524" s="97">
        <f>_xlfn.XLOOKUP(E524,Emp_Data!$B$2:$B$9,Emp_Data!$A$2:$A$9)</f>
        <v>5</v>
      </c>
    </row>
    <row r="525" spans="1:12">
      <c r="A525" s="99">
        <v>604</v>
      </c>
      <c r="B525" s="101">
        <v>44375</v>
      </c>
      <c r="C525" s="96">
        <v>1</v>
      </c>
      <c r="D525" s="104" t="s">
        <v>31</v>
      </c>
      <c r="E525" s="97" t="s">
        <v>21</v>
      </c>
      <c r="F525" s="97" t="str">
        <f>VLOOKUP(E525,Emp_Data!$B$2:$C$9,2,)</f>
        <v>Sara</v>
      </c>
      <c r="G525" s="97" t="s">
        <v>15</v>
      </c>
      <c r="H525" s="97" t="s">
        <v>40</v>
      </c>
      <c r="I525" s="97">
        <v>289</v>
      </c>
      <c r="J525" s="97">
        <v>8</v>
      </c>
      <c r="K525" s="97">
        <f t="shared" si="8"/>
        <v>2312</v>
      </c>
      <c r="L525" s="97">
        <f>_xlfn.XLOOKUP(E525,Emp_Data!$B$2:$B$9,Emp_Data!$A$2:$A$9)</f>
        <v>2</v>
      </c>
    </row>
    <row r="526" spans="1:12">
      <c r="A526" s="99">
        <v>606</v>
      </c>
      <c r="B526" s="101">
        <v>44377</v>
      </c>
      <c r="C526" s="96">
        <v>12</v>
      </c>
      <c r="D526" s="104" t="s">
        <v>17</v>
      </c>
      <c r="E526" s="97" t="s">
        <v>18</v>
      </c>
      <c r="F526" s="97" t="str">
        <f>VLOOKUP(E526,Emp_Data!$B$2:$C$9,2,)</f>
        <v>Sara</v>
      </c>
      <c r="G526" s="97" t="s">
        <v>19</v>
      </c>
      <c r="H526" s="97" t="s">
        <v>40</v>
      </c>
      <c r="I526" s="97">
        <v>289</v>
      </c>
      <c r="J526" s="97">
        <v>3</v>
      </c>
      <c r="K526" s="97">
        <f t="shared" si="8"/>
        <v>867</v>
      </c>
      <c r="L526" s="97">
        <f>_xlfn.XLOOKUP(E526,Emp_Data!$B$2:$B$9,Emp_Data!$A$2:$A$9)</f>
        <v>5</v>
      </c>
    </row>
    <row r="527" spans="1:12">
      <c r="A527" s="99">
        <v>611</v>
      </c>
      <c r="B527" s="101">
        <v>44378</v>
      </c>
      <c r="C527" s="96">
        <v>10</v>
      </c>
      <c r="D527" s="104" t="s">
        <v>34</v>
      </c>
      <c r="E527" s="97" t="s">
        <v>11</v>
      </c>
      <c r="F527" s="97" t="str">
        <f>VLOOKUP(E527,Emp_Data!$B$2:$C$9,2,)</f>
        <v>Steve</v>
      </c>
      <c r="G527" s="97" t="s">
        <v>12</v>
      </c>
      <c r="H527" s="97" t="s">
        <v>40</v>
      </c>
      <c r="I527" s="97">
        <v>289</v>
      </c>
      <c r="J527" s="97">
        <v>9</v>
      </c>
      <c r="K527" s="97">
        <f t="shared" si="8"/>
        <v>2601</v>
      </c>
      <c r="L527" s="97">
        <f>_xlfn.XLOOKUP(E527,Emp_Data!$B$2:$B$9,Emp_Data!$A$2:$A$9)</f>
        <v>4</v>
      </c>
    </row>
    <row r="528" spans="1:12">
      <c r="A528" s="99">
        <v>612</v>
      </c>
      <c r="B528" s="101">
        <v>44378</v>
      </c>
      <c r="C528" s="96">
        <v>17</v>
      </c>
      <c r="D528" s="104" t="s">
        <v>32</v>
      </c>
      <c r="E528" s="97" t="s">
        <v>25</v>
      </c>
      <c r="F528" s="97" t="str">
        <f>VLOOKUP(E528,Emp_Data!$B$2:$C$9,2,)</f>
        <v>Jeff</v>
      </c>
      <c r="G528" s="97" t="s">
        <v>9</v>
      </c>
      <c r="H528" s="97" t="s">
        <v>40</v>
      </c>
      <c r="I528" s="97">
        <v>289</v>
      </c>
      <c r="J528" s="97">
        <v>9</v>
      </c>
      <c r="K528" s="97">
        <f t="shared" si="8"/>
        <v>2601</v>
      </c>
      <c r="L528" s="97">
        <f>_xlfn.XLOOKUP(E528,Emp_Data!$B$2:$B$9,Emp_Data!$A$2:$A$9)</f>
        <v>5</v>
      </c>
    </row>
    <row r="529" spans="1:12">
      <c r="A529" s="99">
        <v>614</v>
      </c>
      <c r="B529" s="101">
        <v>44380</v>
      </c>
      <c r="C529" s="96">
        <v>20</v>
      </c>
      <c r="D529" s="104" t="s">
        <v>7</v>
      </c>
      <c r="E529" s="97" t="s">
        <v>8</v>
      </c>
      <c r="F529" s="97" t="str">
        <f>VLOOKUP(E529,Emp_Data!$B$2:$C$9,2,)</f>
        <v>Jeff</v>
      </c>
      <c r="G529" s="97" t="s">
        <v>9</v>
      </c>
      <c r="H529" s="97" t="s">
        <v>40</v>
      </c>
      <c r="I529" s="97">
        <v>289</v>
      </c>
      <c r="J529" s="97">
        <v>0</v>
      </c>
      <c r="K529" s="97">
        <f t="shared" si="8"/>
        <v>0</v>
      </c>
      <c r="L529" s="97">
        <f>_xlfn.XLOOKUP(E529,Emp_Data!$B$2:$B$9,Emp_Data!$A$2:$A$9)</f>
        <v>3</v>
      </c>
    </row>
    <row r="530" spans="1:12">
      <c r="A530" s="99">
        <v>619</v>
      </c>
      <c r="B530" s="101">
        <v>44384</v>
      </c>
      <c r="C530" s="96">
        <v>17</v>
      </c>
      <c r="D530" s="104" t="s">
        <v>32</v>
      </c>
      <c r="E530" s="97" t="s">
        <v>8</v>
      </c>
      <c r="F530" s="97" t="str">
        <f>VLOOKUP(E530,Emp_Data!$B$2:$C$9,2,)</f>
        <v>Jeff</v>
      </c>
      <c r="G530" s="97" t="s">
        <v>9</v>
      </c>
      <c r="H530" s="97" t="s">
        <v>40</v>
      </c>
      <c r="I530" s="97">
        <v>289</v>
      </c>
      <c r="J530" s="97">
        <v>6</v>
      </c>
      <c r="K530" s="97">
        <f t="shared" si="8"/>
        <v>1734</v>
      </c>
      <c r="L530" s="97">
        <f>_xlfn.XLOOKUP(E530,Emp_Data!$B$2:$B$9,Emp_Data!$A$2:$A$9)</f>
        <v>3</v>
      </c>
    </row>
    <row r="531" spans="1:12">
      <c r="A531" s="99">
        <v>626</v>
      </c>
      <c r="B531" s="101">
        <v>44385</v>
      </c>
      <c r="C531" s="96">
        <v>1</v>
      </c>
      <c r="D531" s="104" t="s">
        <v>31</v>
      </c>
      <c r="E531" s="97" t="s">
        <v>14</v>
      </c>
      <c r="F531" s="97" t="str">
        <f>VLOOKUP(E531,Emp_Data!$B$2:$C$9,2,)</f>
        <v>Jeff</v>
      </c>
      <c r="G531" s="97" t="s">
        <v>15</v>
      </c>
      <c r="H531" s="97" t="s">
        <v>40</v>
      </c>
      <c r="I531" s="97">
        <v>289</v>
      </c>
      <c r="J531" s="97">
        <v>0</v>
      </c>
      <c r="K531" s="97">
        <f t="shared" si="8"/>
        <v>0</v>
      </c>
      <c r="L531" s="97">
        <f>_xlfn.XLOOKUP(E531,Emp_Data!$B$2:$B$9,Emp_Data!$A$2:$A$9)</f>
        <v>2</v>
      </c>
    </row>
    <row r="532" spans="1:12">
      <c r="A532" s="99">
        <v>640</v>
      </c>
      <c r="B532" s="101">
        <v>44391</v>
      </c>
      <c r="C532" s="96">
        <v>20</v>
      </c>
      <c r="D532" s="104" t="s">
        <v>7</v>
      </c>
      <c r="E532" s="97" t="s">
        <v>8</v>
      </c>
      <c r="F532" s="97" t="str">
        <f>VLOOKUP(E532,Emp_Data!$B$2:$C$9,2,)</f>
        <v>Jeff</v>
      </c>
      <c r="G532" s="97" t="s">
        <v>9</v>
      </c>
      <c r="H532" s="97" t="s">
        <v>40</v>
      </c>
      <c r="I532" s="97">
        <v>289</v>
      </c>
      <c r="J532" s="97">
        <v>4</v>
      </c>
      <c r="K532" s="97">
        <f t="shared" si="8"/>
        <v>1156</v>
      </c>
      <c r="L532" s="97">
        <f>_xlfn.XLOOKUP(E532,Emp_Data!$B$2:$B$9,Emp_Data!$A$2:$A$9)</f>
        <v>3</v>
      </c>
    </row>
    <row r="533" spans="1:12">
      <c r="A533" s="99">
        <v>647</v>
      </c>
      <c r="B533" s="101">
        <v>44393</v>
      </c>
      <c r="C533" s="96">
        <v>13</v>
      </c>
      <c r="D533" s="104" t="s">
        <v>23</v>
      </c>
      <c r="E533" s="97" t="s">
        <v>18</v>
      </c>
      <c r="F533" s="97" t="str">
        <f>VLOOKUP(E533,Emp_Data!$B$2:$C$9,2,)</f>
        <v>Sara</v>
      </c>
      <c r="G533" s="97" t="s">
        <v>19</v>
      </c>
      <c r="H533" s="97" t="s">
        <v>40</v>
      </c>
      <c r="I533" s="97">
        <v>289</v>
      </c>
      <c r="J533" s="97">
        <v>3</v>
      </c>
      <c r="K533" s="97">
        <f t="shared" si="8"/>
        <v>867</v>
      </c>
      <c r="L533" s="97">
        <f>_xlfn.XLOOKUP(E533,Emp_Data!$B$2:$B$9,Emp_Data!$A$2:$A$9)</f>
        <v>5</v>
      </c>
    </row>
    <row r="534" spans="1:12">
      <c r="A534" s="99">
        <v>650</v>
      </c>
      <c r="B534" s="101">
        <v>44394</v>
      </c>
      <c r="C534" s="96">
        <v>13</v>
      </c>
      <c r="D534" s="104" t="s">
        <v>23</v>
      </c>
      <c r="E534" s="97" t="s">
        <v>24</v>
      </c>
      <c r="F534" s="97" t="str">
        <f>VLOOKUP(E534,Emp_Data!$B$2:$C$9,2,)</f>
        <v>Steve</v>
      </c>
      <c r="G534" s="97" t="s">
        <v>19</v>
      </c>
      <c r="H534" s="97" t="s">
        <v>40</v>
      </c>
      <c r="I534" s="97">
        <v>289</v>
      </c>
      <c r="J534" s="97">
        <v>3</v>
      </c>
      <c r="K534" s="97">
        <f t="shared" si="8"/>
        <v>867</v>
      </c>
      <c r="L534" s="97">
        <f>_xlfn.XLOOKUP(E534,Emp_Data!$B$2:$B$9,Emp_Data!$A$2:$A$9)</f>
        <v>6</v>
      </c>
    </row>
    <row r="535" spans="1:12">
      <c r="A535" s="99">
        <v>655</v>
      </c>
      <c r="B535" s="101">
        <v>44395</v>
      </c>
      <c r="C535" s="96">
        <v>2</v>
      </c>
      <c r="D535" s="104" t="s">
        <v>35</v>
      </c>
      <c r="E535" s="97" t="s">
        <v>14</v>
      </c>
      <c r="F535" s="97" t="str">
        <f>VLOOKUP(E535,Emp_Data!$B$2:$C$9,2,)</f>
        <v>Jeff</v>
      </c>
      <c r="G535" s="97" t="s">
        <v>15</v>
      </c>
      <c r="H535" s="97" t="s">
        <v>40</v>
      </c>
      <c r="I535" s="97">
        <v>289</v>
      </c>
      <c r="J535" s="97">
        <v>2</v>
      </c>
      <c r="K535" s="97">
        <f t="shared" si="8"/>
        <v>578</v>
      </c>
      <c r="L535" s="97">
        <f>_xlfn.XLOOKUP(E535,Emp_Data!$B$2:$B$9,Emp_Data!$A$2:$A$9)</f>
        <v>2</v>
      </c>
    </row>
    <row r="536" spans="1:12">
      <c r="A536" s="99">
        <v>660</v>
      </c>
      <c r="B536" s="101">
        <v>44396</v>
      </c>
      <c r="C536" s="96">
        <v>1</v>
      </c>
      <c r="D536" s="104" t="s">
        <v>31</v>
      </c>
      <c r="E536" s="97" t="s">
        <v>14</v>
      </c>
      <c r="F536" s="97" t="str">
        <f>VLOOKUP(E536,Emp_Data!$B$2:$C$9,2,)</f>
        <v>Jeff</v>
      </c>
      <c r="G536" s="97" t="s">
        <v>15</v>
      </c>
      <c r="H536" s="97" t="s">
        <v>40</v>
      </c>
      <c r="I536" s="97">
        <v>289</v>
      </c>
      <c r="J536" s="97">
        <v>4</v>
      </c>
      <c r="K536" s="97">
        <f t="shared" si="8"/>
        <v>1156</v>
      </c>
      <c r="L536" s="97">
        <f>_xlfn.XLOOKUP(E536,Emp_Data!$B$2:$B$9,Emp_Data!$A$2:$A$9)</f>
        <v>2</v>
      </c>
    </row>
    <row r="537" spans="1:12">
      <c r="A537" s="99">
        <v>674</v>
      </c>
      <c r="B537" s="101">
        <v>44403</v>
      </c>
      <c r="C537" s="96">
        <v>18</v>
      </c>
      <c r="D537" s="104" t="s">
        <v>30</v>
      </c>
      <c r="E537" s="97" t="s">
        <v>8</v>
      </c>
      <c r="F537" s="97" t="str">
        <f>VLOOKUP(E537,Emp_Data!$B$2:$C$9,2,)</f>
        <v>Jeff</v>
      </c>
      <c r="G537" s="97" t="s">
        <v>9</v>
      </c>
      <c r="H537" s="97" t="s">
        <v>40</v>
      </c>
      <c r="I537" s="97">
        <v>289</v>
      </c>
      <c r="J537" s="97">
        <v>8</v>
      </c>
      <c r="K537" s="97">
        <f t="shared" si="8"/>
        <v>2312</v>
      </c>
      <c r="L537" s="97">
        <f>_xlfn.XLOOKUP(E537,Emp_Data!$B$2:$B$9,Emp_Data!$A$2:$A$9)</f>
        <v>3</v>
      </c>
    </row>
    <row r="538" spans="1:12">
      <c r="A538" s="99">
        <v>682</v>
      </c>
      <c r="B538" s="101">
        <v>44404</v>
      </c>
      <c r="C538" s="96">
        <v>18</v>
      </c>
      <c r="D538" s="104" t="s">
        <v>30</v>
      </c>
      <c r="E538" s="97" t="s">
        <v>25</v>
      </c>
      <c r="F538" s="97" t="str">
        <f>VLOOKUP(E538,Emp_Data!$B$2:$C$9,2,)</f>
        <v>Jeff</v>
      </c>
      <c r="G538" s="97" t="s">
        <v>9</v>
      </c>
      <c r="H538" s="97" t="s">
        <v>40</v>
      </c>
      <c r="I538" s="97">
        <v>289</v>
      </c>
      <c r="J538" s="97">
        <v>3</v>
      </c>
      <c r="K538" s="97">
        <f t="shared" si="8"/>
        <v>867</v>
      </c>
      <c r="L538" s="97">
        <f>_xlfn.XLOOKUP(E538,Emp_Data!$B$2:$B$9,Emp_Data!$A$2:$A$9)</f>
        <v>5</v>
      </c>
    </row>
    <row r="539" spans="1:12">
      <c r="A539" s="99">
        <v>683</v>
      </c>
      <c r="B539" s="101">
        <v>44404</v>
      </c>
      <c r="C539" s="96">
        <v>16</v>
      </c>
      <c r="D539" s="104" t="s">
        <v>37</v>
      </c>
      <c r="E539" s="97" t="s">
        <v>8</v>
      </c>
      <c r="F539" s="97" t="str">
        <f>VLOOKUP(E539,Emp_Data!$B$2:$C$9,2,)</f>
        <v>Jeff</v>
      </c>
      <c r="G539" s="97" t="s">
        <v>9</v>
      </c>
      <c r="H539" s="97" t="s">
        <v>40</v>
      </c>
      <c r="I539" s="97">
        <v>289</v>
      </c>
      <c r="J539" s="97">
        <v>6</v>
      </c>
      <c r="K539" s="97">
        <f t="shared" si="8"/>
        <v>1734</v>
      </c>
      <c r="L539" s="97">
        <f>_xlfn.XLOOKUP(E539,Emp_Data!$B$2:$B$9,Emp_Data!$A$2:$A$9)</f>
        <v>3</v>
      </c>
    </row>
    <row r="540" spans="1:12">
      <c r="A540" s="99">
        <v>691</v>
      </c>
      <c r="B540" s="101">
        <v>44404</v>
      </c>
      <c r="C540" s="96">
        <v>19</v>
      </c>
      <c r="D540" s="104" t="s">
        <v>22</v>
      </c>
      <c r="E540" s="97" t="s">
        <v>25</v>
      </c>
      <c r="F540" s="97" t="str">
        <f>VLOOKUP(E540,Emp_Data!$B$2:$C$9,2,)</f>
        <v>Jeff</v>
      </c>
      <c r="G540" s="97" t="s">
        <v>9</v>
      </c>
      <c r="H540" s="97" t="s">
        <v>40</v>
      </c>
      <c r="I540" s="97">
        <v>289</v>
      </c>
      <c r="J540" s="97">
        <v>2</v>
      </c>
      <c r="K540" s="97">
        <f t="shared" si="8"/>
        <v>578</v>
      </c>
      <c r="L540" s="97">
        <f>_xlfn.XLOOKUP(E540,Emp_Data!$B$2:$B$9,Emp_Data!$A$2:$A$9)</f>
        <v>5</v>
      </c>
    </row>
    <row r="541" spans="1:12">
      <c r="A541" s="99">
        <v>692</v>
      </c>
      <c r="B541" s="101">
        <v>44404</v>
      </c>
      <c r="C541" s="96">
        <v>7</v>
      </c>
      <c r="D541" s="104" t="s">
        <v>28</v>
      </c>
      <c r="E541" s="97" t="s">
        <v>11</v>
      </c>
      <c r="F541" s="97" t="str">
        <f>VLOOKUP(E541,Emp_Data!$B$2:$C$9,2,)</f>
        <v>Steve</v>
      </c>
      <c r="G541" s="97" t="s">
        <v>12</v>
      </c>
      <c r="H541" s="97" t="s">
        <v>40</v>
      </c>
      <c r="I541" s="97">
        <v>289</v>
      </c>
      <c r="J541" s="97">
        <v>4</v>
      </c>
      <c r="K541" s="97">
        <f t="shared" si="8"/>
        <v>1156</v>
      </c>
      <c r="L541" s="97">
        <f>_xlfn.XLOOKUP(E541,Emp_Data!$B$2:$B$9,Emp_Data!$A$2:$A$9)</f>
        <v>4</v>
      </c>
    </row>
    <row r="542" spans="1:12">
      <c r="A542" s="99">
        <v>695</v>
      </c>
      <c r="B542" s="101">
        <v>44405</v>
      </c>
      <c r="C542" s="96">
        <v>12</v>
      </c>
      <c r="D542" s="104" t="s">
        <v>17</v>
      </c>
      <c r="E542" s="97" t="s">
        <v>24</v>
      </c>
      <c r="F542" s="97" t="str">
        <f>VLOOKUP(E542,Emp_Data!$B$2:$C$9,2,)</f>
        <v>Steve</v>
      </c>
      <c r="G542" s="97" t="s">
        <v>19</v>
      </c>
      <c r="H542" s="97" t="s">
        <v>40</v>
      </c>
      <c r="I542" s="97">
        <v>289</v>
      </c>
      <c r="J542" s="97">
        <v>7</v>
      </c>
      <c r="K542" s="97">
        <f t="shared" si="8"/>
        <v>2023</v>
      </c>
      <c r="L542" s="97">
        <f>_xlfn.XLOOKUP(E542,Emp_Data!$B$2:$B$9,Emp_Data!$A$2:$A$9)</f>
        <v>6</v>
      </c>
    </row>
    <row r="543" spans="1:12">
      <c r="A543" s="99">
        <v>698</v>
      </c>
      <c r="B543" s="101">
        <v>44407</v>
      </c>
      <c r="C543" s="96">
        <v>8</v>
      </c>
      <c r="D543" s="104" t="s">
        <v>36</v>
      </c>
      <c r="E543" s="97" t="s">
        <v>11</v>
      </c>
      <c r="F543" s="97" t="str">
        <f>VLOOKUP(E543,Emp_Data!$B$2:$C$9,2,)</f>
        <v>Steve</v>
      </c>
      <c r="G543" s="97" t="s">
        <v>12</v>
      </c>
      <c r="H543" s="97" t="s">
        <v>40</v>
      </c>
      <c r="I543" s="97">
        <v>289</v>
      </c>
      <c r="J543" s="97">
        <v>9</v>
      </c>
      <c r="K543" s="97">
        <f t="shared" si="8"/>
        <v>2601</v>
      </c>
      <c r="L543" s="97">
        <f>_xlfn.XLOOKUP(E543,Emp_Data!$B$2:$B$9,Emp_Data!$A$2:$A$9)</f>
        <v>4</v>
      </c>
    </row>
    <row r="544" spans="1:12">
      <c r="A544" s="99">
        <v>700</v>
      </c>
      <c r="B544" s="101">
        <v>44409</v>
      </c>
      <c r="C544" s="96">
        <v>20</v>
      </c>
      <c r="D544" s="104" t="s">
        <v>7</v>
      </c>
      <c r="E544" s="97" t="s">
        <v>8</v>
      </c>
      <c r="F544" s="97" t="str">
        <f>VLOOKUP(E544,Emp_Data!$B$2:$C$9,2,)</f>
        <v>Jeff</v>
      </c>
      <c r="G544" s="97" t="s">
        <v>9</v>
      </c>
      <c r="H544" s="97" t="s">
        <v>40</v>
      </c>
      <c r="I544" s="97">
        <v>289</v>
      </c>
      <c r="J544" s="97">
        <v>0</v>
      </c>
      <c r="K544" s="97">
        <f t="shared" si="8"/>
        <v>0</v>
      </c>
      <c r="L544" s="97">
        <f>_xlfn.XLOOKUP(E544,Emp_Data!$B$2:$B$9,Emp_Data!$A$2:$A$9)</f>
        <v>3</v>
      </c>
    </row>
    <row r="545" spans="1:12">
      <c r="A545" s="99">
        <v>701</v>
      </c>
      <c r="B545" s="101">
        <v>44410</v>
      </c>
      <c r="C545" s="96">
        <v>15</v>
      </c>
      <c r="D545" s="104" t="s">
        <v>29</v>
      </c>
      <c r="E545" s="97" t="s">
        <v>18</v>
      </c>
      <c r="F545" s="97" t="str">
        <f>VLOOKUP(E545,Emp_Data!$B$2:$C$9,2,)</f>
        <v>Sara</v>
      </c>
      <c r="G545" s="97" t="s">
        <v>19</v>
      </c>
      <c r="H545" s="97" t="s">
        <v>40</v>
      </c>
      <c r="I545" s="97">
        <v>289</v>
      </c>
      <c r="J545" s="97">
        <v>2</v>
      </c>
      <c r="K545" s="97">
        <f t="shared" si="8"/>
        <v>578</v>
      </c>
      <c r="L545" s="97">
        <f>_xlfn.XLOOKUP(E545,Emp_Data!$B$2:$B$9,Emp_Data!$A$2:$A$9)</f>
        <v>5</v>
      </c>
    </row>
    <row r="546" spans="1:12">
      <c r="A546" s="99">
        <v>703</v>
      </c>
      <c r="B546" s="101">
        <v>44411</v>
      </c>
      <c r="C546" s="96">
        <v>19</v>
      </c>
      <c r="D546" s="104" t="s">
        <v>22</v>
      </c>
      <c r="E546" s="97" t="s">
        <v>8</v>
      </c>
      <c r="F546" s="97" t="str">
        <f>VLOOKUP(E546,Emp_Data!$B$2:$C$9,2,)</f>
        <v>Jeff</v>
      </c>
      <c r="G546" s="97" t="s">
        <v>9</v>
      </c>
      <c r="H546" s="97" t="s">
        <v>40</v>
      </c>
      <c r="I546" s="97">
        <v>289</v>
      </c>
      <c r="J546" s="97">
        <v>9</v>
      </c>
      <c r="K546" s="97">
        <f t="shared" si="8"/>
        <v>2601</v>
      </c>
      <c r="L546" s="97">
        <f>_xlfn.XLOOKUP(E546,Emp_Data!$B$2:$B$9,Emp_Data!$A$2:$A$9)</f>
        <v>3</v>
      </c>
    </row>
    <row r="547" spans="1:12">
      <c r="A547" s="99">
        <v>704</v>
      </c>
      <c r="B547" s="101">
        <v>44411</v>
      </c>
      <c r="C547" s="96">
        <v>15</v>
      </c>
      <c r="D547" s="104" t="s">
        <v>29</v>
      </c>
      <c r="E547" s="97" t="s">
        <v>18</v>
      </c>
      <c r="F547" s="97" t="str">
        <f>VLOOKUP(E547,Emp_Data!$B$2:$C$9,2,)</f>
        <v>Sara</v>
      </c>
      <c r="G547" s="97" t="s">
        <v>19</v>
      </c>
      <c r="H547" s="97" t="s">
        <v>40</v>
      </c>
      <c r="I547" s="97">
        <v>289</v>
      </c>
      <c r="J547" s="97">
        <v>6</v>
      </c>
      <c r="K547" s="97">
        <f t="shared" si="8"/>
        <v>1734</v>
      </c>
      <c r="L547" s="97">
        <f>_xlfn.XLOOKUP(E547,Emp_Data!$B$2:$B$9,Emp_Data!$A$2:$A$9)</f>
        <v>5</v>
      </c>
    </row>
    <row r="548" spans="1:12">
      <c r="A548" s="99">
        <v>705</v>
      </c>
      <c r="B548" s="101">
        <v>44411</v>
      </c>
      <c r="C548" s="96">
        <v>14</v>
      </c>
      <c r="D548" s="104" t="s">
        <v>33</v>
      </c>
      <c r="E548" s="97" t="s">
        <v>18</v>
      </c>
      <c r="F548" s="97" t="str">
        <f>VLOOKUP(E548,Emp_Data!$B$2:$C$9,2,)</f>
        <v>Sara</v>
      </c>
      <c r="G548" s="97" t="s">
        <v>19</v>
      </c>
      <c r="H548" s="97" t="s">
        <v>40</v>
      </c>
      <c r="I548" s="97">
        <v>289</v>
      </c>
      <c r="J548" s="97">
        <v>0</v>
      </c>
      <c r="K548" s="97">
        <f t="shared" si="8"/>
        <v>0</v>
      </c>
      <c r="L548" s="97">
        <f>_xlfn.XLOOKUP(E548,Emp_Data!$B$2:$B$9,Emp_Data!$A$2:$A$9)</f>
        <v>5</v>
      </c>
    </row>
    <row r="549" spans="1:12">
      <c r="A549" s="99">
        <v>708</v>
      </c>
      <c r="B549" s="101">
        <v>44411</v>
      </c>
      <c r="C549" s="96">
        <v>1</v>
      </c>
      <c r="D549" s="104" t="s">
        <v>31</v>
      </c>
      <c r="E549" s="97" t="s">
        <v>14</v>
      </c>
      <c r="F549" s="97" t="str">
        <f>VLOOKUP(E549,Emp_Data!$B$2:$C$9,2,)</f>
        <v>Jeff</v>
      </c>
      <c r="G549" s="97" t="s">
        <v>15</v>
      </c>
      <c r="H549" s="97" t="s">
        <v>40</v>
      </c>
      <c r="I549" s="97">
        <v>289</v>
      </c>
      <c r="J549" s="97">
        <v>4</v>
      </c>
      <c r="K549" s="97">
        <f t="shared" si="8"/>
        <v>1156</v>
      </c>
      <c r="L549" s="97">
        <f>_xlfn.XLOOKUP(E549,Emp_Data!$B$2:$B$9,Emp_Data!$A$2:$A$9)</f>
        <v>2</v>
      </c>
    </row>
    <row r="550" spans="1:12">
      <c r="A550" s="99">
        <v>710</v>
      </c>
      <c r="B550" s="101">
        <v>44411</v>
      </c>
      <c r="C550" s="96">
        <v>13</v>
      </c>
      <c r="D550" s="104" t="s">
        <v>23</v>
      </c>
      <c r="E550" s="97" t="s">
        <v>18</v>
      </c>
      <c r="F550" s="97" t="str">
        <f>VLOOKUP(E550,Emp_Data!$B$2:$C$9,2,)</f>
        <v>Sara</v>
      </c>
      <c r="G550" s="97" t="s">
        <v>19</v>
      </c>
      <c r="H550" s="97" t="s">
        <v>40</v>
      </c>
      <c r="I550" s="97">
        <v>289</v>
      </c>
      <c r="J550" s="97">
        <v>8</v>
      </c>
      <c r="K550" s="97">
        <f t="shared" si="8"/>
        <v>2312</v>
      </c>
      <c r="L550" s="97">
        <f>_xlfn.XLOOKUP(E550,Emp_Data!$B$2:$B$9,Emp_Data!$A$2:$A$9)</f>
        <v>5</v>
      </c>
    </row>
    <row r="551" spans="1:12">
      <c r="A551" s="99">
        <v>714</v>
      </c>
      <c r="B551" s="101">
        <v>44413</v>
      </c>
      <c r="C551" s="96">
        <v>4</v>
      </c>
      <c r="D551" s="104" t="s">
        <v>13</v>
      </c>
      <c r="E551" s="97" t="s">
        <v>14</v>
      </c>
      <c r="F551" s="97" t="str">
        <f>VLOOKUP(E551,Emp_Data!$B$2:$C$9,2,)</f>
        <v>Jeff</v>
      </c>
      <c r="G551" s="97" t="s">
        <v>15</v>
      </c>
      <c r="H551" s="97" t="s">
        <v>40</v>
      </c>
      <c r="I551" s="97">
        <v>289</v>
      </c>
      <c r="J551" s="97">
        <v>6</v>
      </c>
      <c r="K551" s="97">
        <f t="shared" si="8"/>
        <v>1734</v>
      </c>
      <c r="L551" s="97">
        <f>_xlfn.XLOOKUP(E551,Emp_Data!$B$2:$B$9,Emp_Data!$A$2:$A$9)</f>
        <v>2</v>
      </c>
    </row>
    <row r="552" spans="1:12">
      <c r="A552" s="99">
        <v>720</v>
      </c>
      <c r="B552" s="101">
        <v>44415</v>
      </c>
      <c r="C552" s="96">
        <v>9</v>
      </c>
      <c r="D552" s="104" t="s">
        <v>26</v>
      </c>
      <c r="E552" s="97" t="s">
        <v>11</v>
      </c>
      <c r="F552" s="97" t="str">
        <f>VLOOKUP(E552,Emp_Data!$B$2:$C$9,2,)</f>
        <v>Steve</v>
      </c>
      <c r="G552" s="97" t="s">
        <v>12</v>
      </c>
      <c r="H552" s="97" t="s">
        <v>40</v>
      </c>
      <c r="I552" s="97">
        <v>289</v>
      </c>
      <c r="J552" s="97">
        <v>9</v>
      </c>
      <c r="K552" s="97">
        <f t="shared" si="8"/>
        <v>2601</v>
      </c>
      <c r="L552" s="97">
        <f>_xlfn.XLOOKUP(E552,Emp_Data!$B$2:$B$9,Emp_Data!$A$2:$A$9)</f>
        <v>4</v>
      </c>
    </row>
    <row r="553" spans="1:12">
      <c r="A553" s="99">
        <v>724</v>
      </c>
      <c r="B553" s="101">
        <v>44416</v>
      </c>
      <c r="C553" s="96">
        <v>7</v>
      </c>
      <c r="D553" s="104" t="s">
        <v>28</v>
      </c>
      <c r="E553" s="97" t="s">
        <v>11</v>
      </c>
      <c r="F553" s="97" t="str">
        <f>VLOOKUP(E553,Emp_Data!$B$2:$C$9,2,)</f>
        <v>Steve</v>
      </c>
      <c r="G553" s="97" t="s">
        <v>12</v>
      </c>
      <c r="H553" s="97" t="s">
        <v>40</v>
      </c>
      <c r="I553" s="97">
        <v>289</v>
      </c>
      <c r="J553" s="97">
        <v>5</v>
      </c>
      <c r="K553" s="97">
        <f t="shared" si="8"/>
        <v>1445</v>
      </c>
      <c r="L553" s="97">
        <f>_xlfn.XLOOKUP(E553,Emp_Data!$B$2:$B$9,Emp_Data!$A$2:$A$9)</f>
        <v>4</v>
      </c>
    </row>
    <row r="554" spans="1:12">
      <c r="A554" s="99">
        <v>725</v>
      </c>
      <c r="B554" s="101">
        <v>44416</v>
      </c>
      <c r="C554" s="96">
        <v>8</v>
      </c>
      <c r="D554" s="104" t="s">
        <v>36</v>
      </c>
      <c r="E554" s="97" t="s">
        <v>27</v>
      </c>
      <c r="F554" s="97" t="str">
        <f>VLOOKUP(E554,Emp_Data!$B$2:$C$9,2,)</f>
        <v>Philip</v>
      </c>
      <c r="G554" s="97" t="s">
        <v>12</v>
      </c>
      <c r="H554" s="97" t="s">
        <v>40</v>
      </c>
      <c r="I554" s="97">
        <v>289</v>
      </c>
      <c r="J554" s="97">
        <v>2</v>
      </c>
      <c r="K554" s="97">
        <f t="shared" si="8"/>
        <v>578</v>
      </c>
      <c r="L554" s="97">
        <f>_xlfn.XLOOKUP(E554,Emp_Data!$B$2:$B$9,Emp_Data!$A$2:$A$9)</f>
        <v>8</v>
      </c>
    </row>
    <row r="555" spans="1:12">
      <c r="A555" s="99">
        <v>726</v>
      </c>
      <c r="B555" s="101">
        <v>44416</v>
      </c>
      <c r="C555" s="96">
        <v>8</v>
      </c>
      <c r="D555" s="104" t="s">
        <v>36</v>
      </c>
      <c r="E555" s="97" t="s">
        <v>11</v>
      </c>
      <c r="F555" s="97" t="str">
        <f>VLOOKUP(E555,Emp_Data!$B$2:$C$9,2,)</f>
        <v>Steve</v>
      </c>
      <c r="G555" s="97" t="s">
        <v>12</v>
      </c>
      <c r="H555" s="97" t="s">
        <v>40</v>
      </c>
      <c r="I555" s="97">
        <v>289</v>
      </c>
      <c r="J555" s="97">
        <v>1</v>
      </c>
      <c r="K555" s="97">
        <f t="shared" si="8"/>
        <v>289</v>
      </c>
      <c r="L555" s="97">
        <f>_xlfn.XLOOKUP(E555,Emp_Data!$B$2:$B$9,Emp_Data!$A$2:$A$9)</f>
        <v>4</v>
      </c>
    </row>
    <row r="556" spans="1:12">
      <c r="A556" s="99">
        <v>728</v>
      </c>
      <c r="B556" s="101">
        <v>44417</v>
      </c>
      <c r="C556" s="96">
        <v>10</v>
      </c>
      <c r="D556" s="104" t="s">
        <v>34</v>
      </c>
      <c r="E556" s="97" t="s">
        <v>27</v>
      </c>
      <c r="F556" s="97" t="str">
        <f>VLOOKUP(E556,Emp_Data!$B$2:$C$9,2,)</f>
        <v>Philip</v>
      </c>
      <c r="G556" s="97" t="s">
        <v>12</v>
      </c>
      <c r="H556" s="97" t="s">
        <v>40</v>
      </c>
      <c r="I556" s="97">
        <v>289</v>
      </c>
      <c r="J556" s="97">
        <v>7</v>
      </c>
      <c r="K556" s="97">
        <f t="shared" si="8"/>
        <v>2023</v>
      </c>
      <c r="L556" s="97">
        <f>_xlfn.XLOOKUP(E556,Emp_Data!$B$2:$B$9,Emp_Data!$A$2:$A$9)</f>
        <v>8</v>
      </c>
    </row>
    <row r="557" spans="1:12">
      <c r="A557" s="99">
        <v>732</v>
      </c>
      <c r="B557" s="101">
        <v>44418</v>
      </c>
      <c r="C557" s="96">
        <v>1</v>
      </c>
      <c r="D557" s="104" t="s">
        <v>31</v>
      </c>
      <c r="E557" s="97" t="s">
        <v>21</v>
      </c>
      <c r="F557" s="97" t="str">
        <f>VLOOKUP(E557,Emp_Data!$B$2:$C$9,2,)</f>
        <v>Sara</v>
      </c>
      <c r="G557" s="97" t="s">
        <v>15</v>
      </c>
      <c r="H557" s="97" t="s">
        <v>40</v>
      </c>
      <c r="I557" s="97">
        <v>289</v>
      </c>
      <c r="J557" s="97">
        <v>6</v>
      </c>
      <c r="K557" s="97">
        <f t="shared" si="8"/>
        <v>1734</v>
      </c>
      <c r="L557" s="97">
        <f>_xlfn.XLOOKUP(E557,Emp_Data!$B$2:$B$9,Emp_Data!$A$2:$A$9)</f>
        <v>2</v>
      </c>
    </row>
    <row r="558" spans="1:12">
      <c r="A558" s="99">
        <v>734</v>
      </c>
      <c r="B558" s="101">
        <v>44418</v>
      </c>
      <c r="C558" s="96">
        <v>3</v>
      </c>
      <c r="D558" s="104" t="s">
        <v>20</v>
      </c>
      <c r="E558" s="97" t="s">
        <v>14</v>
      </c>
      <c r="F558" s="97" t="str">
        <f>VLOOKUP(E558,Emp_Data!$B$2:$C$9,2,)</f>
        <v>Jeff</v>
      </c>
      <c r="G558" s="97" t="s">
        <v>15</v>
      </c>
      <c r="H558" s="97" t="s">
        <v>40</v>
      </c>
      <c r="I558" s="97">
        <v>289</v>
      </c>
      <c r="J558" s="97">
        <v>2</v>
      </c>
      <c r="K558" s="97">
        <f t="shared" si="8"/>
        <v>578</v>
      </c>
      <c r="L558" s="97">
        <f>_xlfn.XLOOKUP(E558,Emp_Data!$B$2:$B$9,Emp_Data!$A$2:$A$9)</f>
        <v>2</v>
      </c>
    </row>
    <row r="559" spans="1:12">
      <c r="A559" s="99">
        <v>741</v>
      </c>
      <c r="B559" s="101">
        <v>44422</v>
      </c>
      <c r="C559" s="96">
        <v>1</v>
      </c>
      <c r="D559" s="104" t="s">
        <v>31</v>
      </c>
      <c r="E559" s="97" t="s">
        <v>21</v>
      </c>
      <c r="F559" s="97" t="str">
        <f>VLOOKUP(E559,Emp_Data!$B$2:$C$9,2,)</f>
        <v>Sara</v>
      </c>
      <c r="G559" s="97" t="s">
        <v>15</v>
      </c>
      <c r="H559" s="97" t="s">
        <v>40</v>
      </c>
      <c r="I559" s="97">
        <v>289</v>
      </c>
      <c r="J559" s="97">
        <v>7</v>
      </c>
      <c r="K559" s="97">
        <f t="shared" si="8"/>
        <v>2023</v>
      </c>
      <c r="L559" s="97">
        <f>_xlfn.XLOOKUP(E559,Emp_Data!$B$2:$B$9,Emp_Data!$A$2:$A$9)</f>
        <v>2</v>
      </c>
    </row>
    <row r="560" spans="1:12">
      <c r="A560" s="99">
        <v>742</v>
      </c>
      <c r="B560" s="101">
        <v>44422</v>
      </c>
      <c r="C560" s="96">
        <v>18</v>
      </c>
      <c r="D560" s="104" t="s">
        <v>30</v>
      </c>
      <c r="E560" s="97" t="s">
        <v>8</v>
      </c>
      <c r="F560" s="97" t="str">
        <f>VLOOKUP(E560,Emp_Data!$B$2:$C$9,2,)</f>
        <v>Jeff</v>
      </c>
      <c r="G560" s="97" t="s">
        <v>9</v>
      </c>
      <c r="H560" s="97" t="s">
        <v>40</v>
      </c>
      <c r="I560" s="97">
        <v>289</v>
      </c>
      <c r="J560" s="97">
        <v>0</v>
      </c>
      <c r="K560" s="97">
        <f t="shared" si="8"/>
        <v>0</v>
      </c>
      <c r="L560" s="97">
        <f>_xlfn.XLOOKUP(E560,Emp_Data!$B$2:$B$9,Emp_Data!$A$2:$A$9)</f>
        <v>3</v>
      </c>
    </row>
    <row r="561" spans="1:12">
      <c r="A561" s="99">
        <v>749</v>
      </c>
      <c r="B561" s="101">
        <v>44426</v>
      </c>
      <c r="C561" s="96">
        <v>11</v>
      </c>
      <c r="D561" s="104" t="s">
        <v>38</v>
      </c>
      <c r="E561" s="97" t="s">
        <v>24</v>
      </c>
      <c r="F561" s="97" t="str">
        <f>VLOOKUP(E561,Emp_Data!$B$2:$C$9,2,)</f>
        <v>Steve</v>
      </c>
      <c r="G561" s="97" t="s">
        <v>19</v>
      </c>
      <c r="H561" s="97" t="s">
        <v>40</v>
      </c>
      <c r="I561" s="97">
        <v>289</v>
      </c>
      <c r="J561" s="97">
        <v>3</v>
      </c>
      <c r="K561" s="97">
        <f t="shared" si="8"/>
        <v>867</v>
      </c>
      <c r="L561" s="97">
        <f>_xlfn.XLOOKUP(E561,Emp_Data!$B$2:$B$9,Emp_Data!$A$2:$A$9)</f>
        <v>6</v>
      </c>
    </row>
    <row r="562" spans="1:12">
      <c r="A562" s="99">
        <v>751</v>
      </c>
      <c r="B562" s="101">
        <v>44426</v>
      </c>
      <c r="C562" s="96">
        <v>10</v>
      </c>
      <c r="D562" s="104" t="s">
        <v>34</v>
      </c>
      <c r="E562" s="97" t="s">
        <v>27</v>
      </c>
      <c r="F562" s="97" t="str">
        <f>VLOOKUP(E562,Emp_Data!$B$2:$C$9,2,)</f>
        <v>Philip</v>
      </c>
      <c r="G562" s="97" t="s">
        <v>12</v>
      </c>
      <c r="H562" s="97" t="s">
        <v>40</v>
      </c>
      <c r="I562" s="97">
        <v>289</v>
      </c>
      <c r="J562" s="97">
        <v>5</v>
      </c>
      <c r="K562" s="97">
        <f t="shared" si="8"/>
        <v>1445</v>
      </c>
      <c r="L562" s="97">
        <f>_xlfn.XLOOKUP(E562,Emp_Data!$B$2:$B$9,Emp_Data!$A$2:$A$9)</f>
        <v>8</v>
      </c>
    </row>
    <row r="563" spans="1:12">
      <c r="A563" s="99">
        <v>757</v>
      </c>
      <c r="B563" s="101">
        <v>44428</v>
      </c>
      <c r="C563" s="96">
        <v>13</v>
      </c>
      <c r="D563" s="104" t="s">
        <v>23</v>
      </c>
      <c r="E563" s="97" t="s">
        <v>24</v>
      </c>
      <c r="F563" s="97" t="str">
        <f>VLOOKUP(E563,Emp_Data!$B$2:$C$9,2,)</f>
        <v>Steve</v>
      </c>
      <c r="G563" s="97" t="s">
        <v>19</v>
      </c>
      <c r="H563" s="97" t="s">
        <v>40</v>
      </c>
      <c r="I563" s="97">
        <v>289</v>
      </c>
      <c r="J563" s="97">
        <v>0</v>
      </c>
      <c r="K563" s="97">
        <f t="shared" si="8"/>
        <v>0</v>
      </c>
      <c r="L563" s="97">
        <f>_xlfn.XLOOKUP(E563,Emp_Data!$B$2:$B$9,Emp_Data!$A$2:$A$9)</f>
        <v>6</v>
      </c>
    </row>
    <row r="564" spans="1:12">
      <c r="A564" s="99">
        <v>759</v>
      </c>
      <c r="B564" s="101">
        <v>44428</v>
      </c>
      <c r="C564" s="96">
        <v>3</v>
      </c>
      <c r="D564" s="104" t="s">
        <v>20</v>
      </c>
      <c r="E564" s="97" t="s">
        <v>21</v>
      </c>
      <c r="F564" s="97" t="str">
        <f>VLOOKUP(E564,Emp_Data!$B$2:$C$9,2,)</f>
        <v>Sara</v>
      </c>
      <c r="G564" s="97" t="s">
        <v>15</v>
      </c>
      <c r="H564" s="97" t="s">
        <v>40</v>
      </c>
      <c r="I564" s="97">
        <v>289</v>
      </c>
      <c r="J564" s="97">
        <v>1</v>
      </c>
      <c r="K564" s="97">
        <f t="shared" si="8"/>
        <v>289</v>
      </c>
      <c r="L564" s="97">
        <f>_xlfn.XLOOKUP(E564,Emp_Data!$B$2:$B$9,Emp_Data!$A$2:$A$9)</f>
        <v>2</v>
      </c>
    </row>
    <row r="565" spans="1:12">
      <c r="A565" s="99">
        <v>762</v>
      </c>
      <c r="B565" s="101">
        <v>44429</v>
      </c>
      <c r="C565" s="96">
        <v>16</v>
      </c>
      <c r="D565" s="104" t="s">
        <v>37</v>
      </c>
      <c r="E565" s="97" t="s">
        <v>8</v>
      </c>
      <c r="F565" s="97" t="str">
        <f>VLOOKUP(E565,Emp_Data!$B$2:$C$9,2,)</f>
        <v>Jeff</v>
      </c>
      <c r="G565" s="97" t="s">
        <v>9</v>
      </c>
      <c r="H565" s="97" t="s">
        <v>40</v>
      </c>
      <c r="I565" s="97">
        <v>289</v>
      </c>
      <c r="J565" s="97">
        <v>2</v>
      </c>
      <c r="K565" s="97">
        <f t="shared" si="8"/>
        <v>578</v>
      </c>
      <c r="L565" s="97">
        <f>_xlfn.XLOOKUP(E565,Emp_Data!$B$2:$B$9,Emp_Data!$A$2:$A$9)</f>
        <v>3</v>
      </c>
    </row>
    <row r="566" spans="1:12">
      <c r="A566" s="99">
        <v>771</v>
      </c>
      <c r="B566" s="101">
        <v>44434</v>
      </c>
      <c r="C566" s="96">
        <v>4</v>
      </c>
      <c r="D566" s="104" t="s">
        <v>13</v>
      </c>
      <c r="E566" s="97" t="s">
        <v>14</v>
      </c>
      <c r="F566" s="97" t="str">
        <f>VLOOKUP(E566,Emp_Data!$B$2:$C$9,2,)</f>
        <v>Jeff</v>
      </c>
      <c r="G566" s="97" t="s">
        <v>15</v>
      </c>
      <c r="H566" s="97" t="s">
        <v>40</v>
      </c>
      <c r="I566" s="97">
        <v>289</v>
      </c>
      <c r="J566" s="97">
        <v>2</v>
      </c>
      <c r="K566" s="97">
        <f t="shared" si="8"/>
        <v>578</v>
      </c>
      <c r="L566" s="97">
        <f>_xlfn.XLOOKUP(E566,Emp_Data!$B$2:$B$9,Emp_Data!$A$2:$A$9)</f>
        <v>2</v>
      </c>
    </row>
    <row r="567" spans="1:12">
      <c r="A567" s="99">
        <v>772</v>
      </c>
      <c r="B567" s="101">
        <v>44434</v>
      </c>
      <c r="C567" s="96">
        <v>6</v>
      </c>
      <c r="D567" s="104" t="s">
        <v>10</v>
      </c>
      <c r="E567" s="97" t="s">
        <v>11</v>
      </c>
      <c r="F567" s="97" t="str">
        <f>VLOOKUP(E567,Emp_Data!$B$2:$C$9,2,)</f>
        <v>Steve</v>
      </c>
      <c r="G567" s="97" t="s">
        <v>12</v>
      </c>
      <c r="H567" s="97" t="s">
        <v>40</v>
      </c>
      <c r="I567" s="97">
        <v>289</v>
      </c>
      <c r="J567" s="97">
        <v>3</v>
      </c>
      <c r="K567" s="97">
        <f t="shared" si="8"/>
        <v>867</v>
      </c>
      <c r="L567" s="97">
        <f>_xlfn.XLOOKUP(E567,Emp_Data!$B$2:$B$9,Emp_Data!$A$2:$A$9)</f>
        <v>4</v>
      </c>
    </row>
    <row r="568" spans="1:12">
      <c r="A568" s="99">
        <v>778</v>
      </c>
      <c r="B568" s="101">
        <v>44435</v>
      </c>
      <c r="C568" s="96">
        <v>2</v>
      </c>
      <c r="D568" s="104" t="s">
        <v>35</v>
      </c>
      <c r="E568" s="97" t="s">
        <v>14</v>
      </c>
      <c r="F568" s="97" t="str">
        <f>VLOOKUP(E568,Emp_Data!$B$2:$C$9,2,)</f>
        <v>Jeff</v>
      </c>
      <c r="G568" s="97" t="s">
        <v>15</v>
      </c>
      <c r="H568" s="97" t="s">
        <v>40</v>
      </c>
      <c r="I568" s="97">
        <v>289</v>
      </c>
      <c r="J568" s="97">
        <v>5</v>
      </c>
      <c r="K568" s="97">
        <f t="shared" si="8"/>
        <v>1445</v>
      </c>
      <c r="L568" s="97">
        <f>_xlfn.XLOOKUP(E568,Emp_Data!$B$2:$B$9,Emp_Data!$A$2:$A$9)</f>
        <v>2</v>
      </c>
    </row>
    <row r="569" spans="1:12">
      <c r="A569" s="99">
        <v>779</v>
      </c>
      <c r="B569" s="101">
        <v>44435</v>
      </c>
      <c r="C569" s="96">
        <v>14</v>
      </c>
      <c r="D569" s="104" t="s">
        <v>33</v>
      </c>
      <c r="E569" s="97" t="s">
        <v>24</v>
      </c>
      <c r="F569" s="97" t="str">
        <f>VLOOKUP(E569,Emp_Data!$B$2:$C$9,2,)</f>
        <v>Steve</v>
      </c>
      <c r="G569" s="97" t="s">
        <v>19</v>
      </c>
      <c r="H569" s="97" t="s">
        <v>40</v>
      </c>
      <c r="I569" s="97">
        <v>289</v>
      </c>
      <c r="J569" s="97">
        <v>6</v>
      </c>
      <c r="K569" s="97">
        <f t="shared" si="8"/>
        <v>1734</v>
      </c>
      <c r="L569" s="97">
        <f>_xlfn.XLOOKUP(E569,Emp_Data!$B$2:$B$9,Emp_Data!$A$2:$A$9)</f>
        <v>6</v>
      </c>
    </row>
    <row r="570" spans="1:12">
      <c r="A570" s="99">
        <v>786</v>
      </c>
      <c r="B570" s="101">
        <v>44437</v>
      </c>
      <c r="C570" s="96">
        <v>4</v>
      </c>
      <c r="D570" s="104" t="s">
        <v>13</v>
      </c>
      <c r="E570" s="97" t="s">
        <v>21</v>
      </c>
      <c r="F570" s="97" t="str">
        <f>VLOOKUP(E570,Emp_Data!$B$2:$C$9,2,)</f>
        <v>Sara</v>
      </c>
      <c r="G570" s="97" t="s">
        <v>15</v>
      </c>
      <c r="H570" s="97" t="s">
        <v>40</v>
      </c>
      <c r="I570" s="97">
        <v>289</v>
      </c>
      <c r="J570" s="97">
        <v>6</v>
      </c>
      <c r="K570" s="97">
        <f t="shared" si="8"/>
        <v>1734</v>
      </c>
      <c r="L570" s="97">
        <f>_xlfn.XLOOKUP(E570,Emp_Data!$B$2:$B$9,Emp_Data!$A$2:$A$9)</f>
        <v>2</v>
      </c>
    </row>
    <row r="571" spans="1:12">
      <c r="A571" s="99">
        <v>796</v>
      </c>
      <c r="B571" s="101">
        <v>44440</v>
      </c>
      <c r="C571" s="96">
        <v>18</v>
      </c>
      <c r="D571" s="104" t="s">
        <v>30</v>
      </c>
      <c r="E571" s="97" t="s">
        <v>8</v>
      </c>
      <c r="F571" s="97" t="str">
        <f>VLOOKUP(E571,Emp_Data!$B$2:$C$9,2,)</f>
        <v>Jeff</v>
      </c>
      <c r="G571" s="97" t="s">
        <v>9</v>
      </c>
      <c r="H571" s="97" t="s">
        <v>40</v>
      </c>
      <c r="I571" s="97">
        <v>289</v>
      </c>
      <c r="J571" s="97">
        <v>4</v>
      </c>
      <c r="K571" s="97">
        <f t="shared" si="8"/>
        <v>1156</v>
      </c>
      <c r="L571" s="97">
        <f>_xlfn.XLOOKUP(E571,Emp_Data!$B$2:$B$9,Emp_Data!$A$2:$A$9)</f>
        <v>3</v>
      </c>
    </row>
    <row r="572" spans="1:12">
      <c r="A572" s="99">
        <v>801</v>
      </c>
      <c r="B572" s="101">
        <v>44442</v>
      </c>
      <c r="C572" s="96">
        <v>10</v>
      </c>
      <c r="D572" s="104" t="s">
        <v>34</v>
      </c>
      <c r="E572" s="97" t="s">
        <v>11</v>
      </c>
      <c r="F572" s="97" t="str">
        <f>VLOOKUP(E572,Emp_Data!$B$2:$C$9,2,)</f>
        <v>Steve</v>
      </c>
      <c r="G572" s="97" t="s">
        <v>12</v>
      </c>
      <c r="H572" s="97" t="s">
        <v>40</v>
      </c>
      <c r="I572" s="97">
        <v>289</v>
      </c>
      <c r="J572" s="97">
        <v>7</v>
      </c>
      <c r="K572" s="97">
        <f t="shared" si="8"/>
        <v>2023</v>
      </c>
      <c r="L572" s="97">
        <f>_xlfn.XLOOKUP(E572,Emp_Data!$B$2:$B$9,Emp_Data!$A$2:$A$9)</f>
        <v>4</v>
      </c>
    </row>
    <row r="573" spans="1:12">
      <c r="A573" s="99">
        <v>819</v>
      </c>
      <c r="B573" s="101">
        <v>44448</v>
      </c>
      <c r="C573" s="96">
        <v>6</v>
      </c>
      <c r="D573" s="104" t="s">
        <v>10</v>
      </c>
      <c r="E573" s="97" t="s">
        <v>27</v>
      </c>
      <c r="F573" s="97" t="str">
        <f>VLOOKUP(E573,Emp_Data!$B$2:$C$9,2,)</f>
        <v>Philip</v>
      </c>
      <c r="G573" s="97" t="s">
        <v>12</v>
      </c>
      <c r="H573" s="97" t="s">
        <v>40</v>
      </c>
      <c r="I573" s="97">
        <v>289</v>
      </c>
      <c r="J573" s="97">
        <v>0</v>
      </c>
      <c r="K573" s="97">
        <f t="shared" si="8"/>
        <v>0</v>
      </c>
      <c r="L573" s="97">
        <f>_xlfn.XLOOKUP(E573,Emp_Data!$B$2:$B$9,Emp_Data!$A$2:$A$9)</f>
        <v>8</v>
      </c>
    </row>
    <row r="574" spans="1:12">
      <c r="A574" s="99">
        <v>824</v>
      </c>
      <c r="B574" s="101">
        <v>44449</v>
      </c>
      <c r="C574" s="96">
        <v>8</v>
      </c>
      <c r="D574" s="104" t="s">
        <v>36</v>
      </c>
      <c r="E574" s="97" t="s">
        <v>27</v>
      </c>
      <c r="F574" s="97" t="str">
        <f>VLOOKUP(E574,Emp_Data!$B$2:$C$9,2,)</f>
        <v>Philip</v>
      </c>
      <c r="G574" s="97" t="s">
        <v>12</v>
      </c>
      <c r="H574" s="97" t="s">
        <v>40</v>
      </c>
      <c r="I574" s="97">
        <v>289</v>
      </c>
      <c r="J574" s="97">
        <v>0</v>
      </c>
      <c r="K574" s="97">
        <f t="shared" si="8"/>
        <v>0</v>
      </c>
      <c r="L574" s="97">
        <f>_xlfn.XLOOKUP(E574,Emp_Data!$B$2:$B$9,Emp_Data!$A$2:$A$9)</f>
        <v>8</v>
      </c>
    </row>
    <row r="575" spans="1:12">
      <c r="A575" s="99">
        <v>826</v>
      </c>
      <c r="B575" s="101">
        <v>44450</v>
      </c>
      <c r="C575" s="96">
        <v>15</v>
      </c>
      <c r="D575" s="104" t="s">
        <v>29</v>
      </c>
      <c r="E575" s="97" t="s">
        <v>24</v>
      </c>
      <c r="F575" s="97" t="str">
        <f>VLOOKUP(E575,Emp_Data!$B$2:$C$9,2,)</f>
        <v>Steve</v>
      </c>
      <c r="G575" s="97" t="s">
        <v>19</v>
      </c>
      <c r="H575" s="97" t="s">
        <v>40</v>
      </c>
      <c r="I575" s="97">
        <v>289</v>
      </c>
      <c r="J575" s="97">
        <v>1</v>
      </c>
      <c r="K575" s="97">
        <f t="shared" si="8"/>
        <v>289</v>
      </c>
      <c r="L575" s="97">
        <f>_xlfn.XLOOKUP(E575,Emp_Data!$B$2:$B$9,Emp_Data!$A$2:$A$9)</f>
        <v>6</v>
      </c>
    </row>
    <row r="576" spans="1:12">
      <c r="A576" s="99">
        <v>832</v>
      </c>
      <c r="B576" s="101">
        <v>44453</v>
      </c>
      <c r="C576" s="96">
        <v>3</v>
      </c>
      <c r="D576" s="104" t="s">
        <v>20</v>
      </c>
      <c r="E576" s="97" t="s">
        <v>21</v>
      </c>
      <c r="F576" s="97" t="str">
        <f>VLOOKUP(E576,Emp_Data!$B$2:$C$9,2,)</f>
        <v>Sara</v>
      </c>
      <c r="G576" s="97" t="s">
        <v>15</v>
      </c>
      <c r="H576" s="97" t="s">
        <v>40</v>
      </c>
      <c r="I576" s="97">
        <v>289</v>
      </c>
      <c r="J576" s="97">
        <v>1</v>
      </c>
      <c r="K576" s="97">
        <f t="shared" si="8"/>
        <v>289</v>
      </c>
      <c r="L576" s="97">
        <f>_xlfn.XLOOKUP(E576,Emp_Data!$B$2:$B$9,Emp_Data!$A$2:$A$9)</f>
        <v>2</v>
      </c>
    </row>
    <row r="577" spans="1:12">
      <c r="A577" s="99">
        <v>839</v>
      </c>
      <c r="B577" s="101">
        <v>44458</v>
      </c>
      <c r="C577" s="96">
        <v>20</v>
      </c>
      <c r="D577" s="104" t="s">
        <v>7</v>
      </c>
      <c r="E577" s="97" t="s">
        <v>8</v>
      </c>
      <c r="F577" s="97" t="str">
        <f>VLOOKUP(E577,Emp_Data!$B$2:$C$9,2,)</f>
        <v>Jeff</v>
      </c>
      <c r="G577" s="97" t="s">
        <v>9</v>
      </c>
      <c r="H577" s="97" t="s">
        <v>40</v>
      </c>
      <c r="I577" s="97">
        <v>289</v>
      </c>
      <c r="J577" s="97">
        <v>4</v>
      </c>
      <c r="K577" s="97">
        <f t="shared" si="8"/>
        <v>1156</v>
      </c>
      <c r="L577" s="97">
        <f>_xlfn.XLOOKUP(E577,Emp_Data!$B$2:$B$9,Emp_Data!$A$2:$A$9)</f>
        <v>3</v>
      </c>
    </row>
    <row r="578" spans="1:12">
      <c r="A578" s="99">
        <v>841</v>
      </c>
      <c r="B578" s="101">
        <v>44459</v>
      </c>
      <c r="C578" s="96">
        <v>7</v>
      </c>
      <c r="D578" s="104" t="s">
        <v>28</v>
      </c>
      <c r="E578" s="97" t="s">
        <v>27</v>
      </c>
      <c r="F578" s="97" t="str">
        <f>VLOOKUP(E578,Emp_Data!$B$2:$C$9,2,)</f>
        <v>Philip</v>
      </c>
      <c r="G578" s="97" t="s">
        <v>12</v>
      </c>
      <c r="H578" s="97" t="s">
        <v>40</v>
      </c>
      <c r="I578" s="97">
        <v>289</v>
      </c>
      <c r="J578" s="97">
        <v>2</v>
      </c>
      <c r="K578" s="97">
        <f t="shared" si="8"/>
        <v>578</v>
      </c>
      <c r="L578" s="97">
        <f>_xlfn.XLOOKUP(E578,Emp_Data!$B$2:$B$9,Emp_Data!$A$2:$A$9)</f>
        <v>8</v>
      </c>
    </row>
    <row r="579" spans="1:12">
      <c r="A579" s="99">
        <v>844</v>
      </c>
      <c r="B579" s="101">
        <v>44460</v>
      </c>
      <c r="C579" s="96">
        <v>11</v>
      </c>
      <c r="D579" s="104" t="s">
        <v>38</v>
      </c>
      <c r="E579" s="97" t="s">
        <v>18</v>
      </c>
      <c r="F579" s="97" t="str">
        <f>VLOOKUP(E579,Emp_Data!$B$2:$C$9,2,)</f>
        <v>Sara</v>
      </c>
      <c r="G579" s="97" t="s">
        <v>19</v>
      </c>
      <c r="H579" s="97" t="s">
        <v>40</v>
      </c>
      <c r="I579" s="97">
        <v>289</v>
      </c>
      <c r="J579" s="97">
        <v>6</v>
      </c>
      <c r="K579" s="97">
        <f t="shared" ref="K579:K642" si="9">SUMPRODUCT(I579,J579)</f>
        <v>1734</v>
      </c>
      <c r="L579" s="97">
        <f>_xlfn.XLOOKUP(E579,Emp_Data!$B$2:$B$9,Emp_Data!$A$2:$A$9)</f>
        <v>5</v>
      </c>
    </row>
    <row r="580" spans="1:12">
      <c r="A580" s="99">
        <v>848</v>
      </c>
      <c r="B580" s="101">
        <v>44461</v>
      </c>
      <c r="C580" s="96">
        <v>15</v>
      </c>
      <c r="D580" s="104" t="s">
        <v>29</v>
      </c>
      <c r="E580" s="97" t="s">
        <v>18</v>
      </c>
      <c r="F580" s="97" t="str">
        <f>VLOOKUP(E580,Emp_Data!$B$2:$C$9,2,)</f>
        <v>Sara</v>
      </c>
      <c r="G580" s="97" t="s">
        <v>19</v>
      </c>
      <c r="H580" s="97" t="s">
        <v>40</v>
      </c>
      <c r="I580" s="97">
        <v>289</v>
      </c>
      <c r="J580" s="97">
        <v>3</v>
      </c>
      <c r="K580" s="97">
        <f t="shared" si="9"/>
        <v>867</v>
      </c>
      <c r="L580" s="97">
        <f>_xlfn.XLOOKUP(E580,Emp_Data!$B$2:$B$9,Emp_Data!$A$2:$A$9)</f>
        <v>5</v>
      </c>
    </row>
    <row r="581" spans="1:12">
      <c r="A581" s="99">
        <v>850</v>
      </c>
      <c r="B581" s="101">
        <v>44461</v>
      </c>
      <c r="C581" s="96">
        <v>10</v>
      </c>
      <c r="D581" s="104" t="s">
        <v>34</v>
      </c>
      <c r="E581" s="97" t="s">
        <v>11</v>
      </c>
      <c r="F581" s="97" t="str">
        <f>VLOOKUP(E581,Emp_Data!$B$2:$C$9,2,)</f>
        <v>Steve</v>
      </c>
      <c r="G581" s="97" t="s">
        <v>12</v>
      </c>
      <c r="H581" s="97" t="s">
        <v>40</v>
      </c>
      <c r="I581" s="97">
        <v>289</v>
      </c>
      <c r="J581" s="97">
        <v>0</v>
      </c>
      <c r="K581" s="97">
        <f t="shared" si="9"/>
        <v>0</v>
      </c>
      <c r="L581" s="97">
        <f>_xlfn.XLOOKUP(E581,Emp_Data!$B$2:$B$9,Emp_Data!$A$2:$A$9)</f>
        <v>4</v>
      </c>
    </row>
    <row r="582" spans="1:12">
      <c r="A582" s="99">
        <v>851</v>
      </c>
      <c r="B582" s="101">
        <v>44461</v>
      </c>
      <c r="C582" s="96">
        <v>17</v>
      </c>
      <c r="D582" s="104" t="s">
        <v>32</v>
      </c>
      <c r="E582" s="97" t="s">
        <v>25</v>
      </c>
      <c r="F582" s="97" t="str">
        <f>VLOOKUP(E582,Emp_Data!$B$2:$C$9,2,)</f>
        <v>Jeff</v>
      </c>
      <c r="G582" s="97" t="s">
        <v>9</v>
      </c>
      <c r="H582" s="97" t="s">
        <v>40</v>
      </c>
      <c r="I582" s="97">
        <v>289</v>
      </c>
      <c r="J582" s="97">
        <v>0</v>
      </c>
      <c r="K582" s="97">
        <f t="shared" si="9"/>
        <v>0</v>
      </c>
      <c r="L582" s="97">
        <f>_xlfn.XLOOKUP(E582,Emp_Data!$B$2:$B$9,Emp_Data!$A$2:$A$9)</f>
        <v>5</v>
      </c>
    </row>
    <row r="583" spans="1:12">
      <c r="A583" s="99">
        <v>855</v>
      </c>
      <c r="B583" s="101">
        <v>44461</v>
      </c>
      <c r="C583" s="96">
        <v>9</v>
      </c>
      <c r="D583" s="104" t="s">
        <v>26</v>
      </c>
      <c r="E583" s="97" t="s">
        <v>27</v>
      </c>
      <c r="F583" s="97" t="str">
        <f>VLOOKUP(E583,Emp_Data!$B$2:$C$9,2,)</f>
        <v>Philip</v>
      </c>
      <c r="G583" s="97" t="s">
        <v>12</v>
      </c>
      <c r="H583" s="97" t="s">
        <v>40</v>
      </c>
      <c r="I583" s="97">
        <v>289</v>
      </c>
      <c r="J583" s="97">
        <v>7</v>
      </c>
      <c r="K583" s="97">
        <f t="shared" si="9"/>
        <v>2023</v>
      </c>
      <c r="L583" s="97">
        <f>_xlfn.XLOOKUP(E583,Emp_Data!$B$2:$B$9,Emp_Data!$A$2:$A$9)</f>
        <v>8</v>
      </c>
    </row>
    <row r="584" spans="1:12">
      <c r="A584" s="99">
        <v>857</v>
      </c>
      <c r="B584" s="101">
        <v>44462</v>
      </c>
      <c r="C584" s="96">
        <v>19</v>
      </c>
      <c r="D584" s="104" t="s">
        <v>22</v>
      </c>
      <c r="E584" s="97" t="s">
        <v>25</v>
      </c>
      <c r="F584" s="97" t="str">
        <f>VLOOKUP(E584,Emp_Data!$B$2:$C$9,2,)</f>
        <v>Jeff</v>
      </c>
      <c r="G584" s="97" t="s">
        <v>9</v>
      </c>
      <c r="H584" s="97" t="s">
        <v>40</v>
      </c>
      <c r="I584" s="97">
        <v>289</v>
      </c>
      <c r="J584" s="97">
        <v>8</v>
      </c>
      <c r="K584" s="97">
        <f t="shared" si="9"/>
        <v>2312</v>
      </c>
      <c r="L584" s="97">
        <f>_xlfn.XLOOKUP(E584,Emp_Data!$B$2:$B$9,Emp_Data!$A$2:$A$9)</f>
        <v>5</v>
      </c>
    </row>
    <row r="585" spans="1:12">
      <c r="A585" s="99">
        <v>859</v>
      </c>
      <c r="B585" s="101">
        <v>44463</v>
      </c>
      <c r="C585" s="96">
        <v>19</v>
      </c>
      <c r="D585" s="104" t="s">
        <v>22</v>
      </c>
      <c r="E585" s="97" t="s">
        <v>8</v>
      </c>
      <c r="F585" s="97" t="str">
        <f>VLOOKUP(E585,Emp_Data!$B$2:$C$9,2,)</f>
        <v>Jeff</v>
      </c>
      <c r="G585" s="97" t="s">
        <v>9</v>
      </c>
      <c r="H585" s="97" t="s">
        <v>40</v>
      </c>
      <c r="I585" s="97">
        <v>289</v>
      </c>
      <c r="J585" s="97">
        <v>4</v>
      </c>
      <c r="K585" s="97">
        <f t="shared" si="9"/>
        <v>1156</v>
      </c>
      <c r="L585" s="97">
        <f>_xlfn.XLOOKUP(E585,Emp_Data!$B$2:$B$9,Emp_Data!$A$2:$A$9)</f>
        <v>3</v>
      </c>
    </row>
    <row r="586" spans="1:12">
      <c r="A586" s="99">
        <v>864</v>
      </c>
      <c r="B586" s="101">
        <v>44464</v>
      </c>
      <c r="C586" s="96">
        <v>3</v>
      </c>
      <c r="D586" s="104" t="s">
        <v>20</v>
      </c>
      <c r="E586" s="97" t="s">
        <v>21</v>
      </c>
      <c r="F586" s="97" t="str">
        <f>VLOOKUP(E586,Emp_Data!$B$2:$C$9,2,)</f>
        <v>Sara</v>
      </c>
      <c r="G586" s="97" t="s">
        <v>15</v>
      </c>
      <c r="H586" s="97" t="s">
        <v>40</v>
      </c>
      <c r="I586" s="97">
        <v>289</v>
      </c>
      <c r="J586" s="97">
        <v>4</v>
      </c>
      <c r="K586" s="97">
        <f t="shared" si="9"/>
        <v>1156</v>
      </c>
      <c r="L586" s="97">
        <f>_xlfn.XLOOKUP(E586,Emp_Data!$B$2:$B$9,Emp_Data!$A$2:$A$9)</f>
        <v>2</v>
      </c>
    </row>
    <row r="587" spans="1:12">
      <c r="A587" s="99">
        <v>874</v>
      </c>
      <c r="B587" s="101">
        <v>44468</v>
      </c>
      <c r="C587" s="96">
        <v>3</v>
      </c>
      <c r="D587" s="104" t="s">
        <v>20</v>
      </c>
      <c r="E587" s="97" t="s">
        <v>21</v>
      </c>
      <c r="F587" s="97" t="str">
        <f>VLOOKUP(E587,Emp_Data!$B$2:$C$9,2,)</f>
        <v>Sara</v>
      </c>
      <c r="G587" s="97" t="s">
        <v>15</v>
      </c>
      <c r="H587" s="97" t="s">
        <v>40</v>
      </c>
      <c r="I587" s="97">
        <v>289</v>
      </c>
      <c r="J587" s="97">
        <v>8</v>
      </c>
      <c r="K587" s="97">
        <f t="shared" si="9"/>
        <v>2312</v>
      </c>
      <c r="L587" s="97">
        <f>_xlfn.XLOOKUP(E587,Emp_Data!$B$2:$B$9,Emp_Data!$A$2:$A$9)</f>
        <v>2</v>
      </c>
    </row>
    <row r="588" spans="1:12">
      <c r="A588" s="99">
        <v>876</v>
      </c>
      <c r="B588" s="101">
        <v>44468</v>
      </c>
      <c r="C588" s="96">
        <v>7</v>
      </c>
      <c r="D588" s="104" t="s">
        <v>28</v>
      </c>
      <c r="E588" s="97" t="s">
        <v>11</v>
      </c>
      <c r="F588" s="97" t="str">
        <f>VLOOKUP(E588,Emp_Data!$B$2:$C$9,2,)</f>
        <v>Steve</v>
      </c>
      <c r="G588" s="97" t="s">
        <v>12</v>
      </c>
      <c r="H588" s="97" t="s">
        <v>40</v>
      </c>
      <c r="I588" s="97">
        <v>289</v>
      </c>
      <c r="J588" s="97">
        <v>0</v>
      </c>
      <c r="K588" s="97">
        <f t="shared" si="9"/>
        <v>0</v>
      </c>
      <c r="L588" s="97">
        <f>_xlfn.XLOOKUP(E588,Emp_Data!$B$2:$B$9,Emp_Data!$A$2:$A$9)</f>
        <v>4</v>
      </c>
    </row>
    <row r="589" spans="1:12">
      <c r="A589" s="99">
        <v>877</v>
      </c>
      <c r="B589" s="101">
        <v>44469</v>
      </c>
      <c r="C589" s="96">
        <v>11</v>
      </c>
      <c r="D589" s="104" t="s">
        <v>38</v>
      </c>
      <c r="E589" s="97" t="s">
        <v>18</v>
      </c>
      <c r="F589" s="97" t="str">
        <f>VLOOKUP(E589,Emp_Data!$B$2:$C$9,2,)</f>
        <v>Sara</v>
      </c>
      <c r="G589" s="97" t="s">
        <v>19</v>
      </c>
      <c r="H589" s="97" t="s">
        <v>40</v>
      </c>
      <c r="I589" s="97">
        <v>289</v>
      </c>
      <c r="J589" s="97">
        <v>1</v>
      </c>
      <c r="K589" s="97">
        <f t="shared" si="9"/>
        <v>289</v>
      </c>
      <c r="L589" s="97">
        <f>_xlfn.XLOOKUP(E589,Emp_Data!$B$2:$B$9,Emp_Data!$A$2:$A$9)</f>
        <v>5</v>
      </c>
    </row>
    <row r="590" spans="1:12">
      <c r="A590" s="99">
        <v>884</v>
      </c>
      <c r="B590" s="101">
        <v>44471</v>
      </c>
      <c r="C590" s="96">
        <v>14</v>
      </c>
      <c r="D590" s="104" t="s">
        <v>33</v>
      </c>
      <c r="E590" s="97" t="s">
        <v>24</v>
      </c>
      <c r="F590" s="97" t="str">
        <f>VLOOKUP(E590,Emp_Data!$B$2:$C$9,2,)</f>
        <v>Steve</v>
      </c>
      <c r="G590" s="97" t="s">
        <v>19</v>
      </c>
      <c r="H590" s="97" t="s">
        <v>40</v>
      </c>
      <c r="I590" s="97">
        <v>289</v>
      </c>
      <c r="J590" s="97">
        <v>9</v>
      </c>
      <c r="K590" s="97">
        <f t="shared" si="9"/>
        <v>2601</v>
      </c>
      <c r="L590" s="97">
        <f>_xlfn.XLOOKUP(E590,Emp_Data!$B$2:$B$9,Emp_Data!$A$2:$A$9)</f>
        <v>6</v>
      </c>
    </row>
    <row r="591" spans="1:12">
      <c r="A591" s="99">
        <v>887</v>
      </c>
      <c r="B591" s="101">
        <v>44473</v>
      </c>
      <c r="C591" s="96">
        <v>20</v>
      </c>
      <c r="D591" s="104" t="s">
        <v>7</v>
      </c>
      <c r="E591" s="97" t="s">
        <v>8</v>
      </c>
      <c r="F591" s="97" t="str">
        <f>VLOOKUP(E591,Emp_Data!$B$2:$C$9,2,)</f>
        <v>Jeff</v>
      </c>
      <c r="G591" s="97" t="s">
        <v>9</v>
      </c>
      <c r="H591" s="97" t="s">
        <v>40</v>
      </c>
      <c r="I591" s="97">
        <v>289</v>
      </c>
      <c r="J591" s="97">
        <v>1</v>
      </c>
      <c r="K591" s="97">
        <f t="shared" si="9"/>
        <v>289</v>
      </c>
      <c r="L591" s="97">
        <f>_xlfn.XLOOKUP(E591,Emp_Data!$B$2:$B$9,Emp_Data!$A$2:$A$9)</f>
        <v>3</v>
      </c>
    </row>
    <row r="592" spans="1:12">
      <c r="A592" s="99">
        <v>890</v>
      </c>
      <c r="B592" s="101">
        <v>44474</v>
      </c>
      <c r="C592" s="96">
        <v>9</v>
      </c>
      <c r="D592" s="104" t="s">
        <v>26</v>
      </c>
      <c r="E592" s="97" t="s">
        <v>11</v>
      </c>
      <c r="F592" s="97" t="str">
        <f>VLOOKUP(E592,Emp_Data!$B$2:$C$9,2,)</f>
        <v>Steve</v>
      </c>
      <c r="G592" s="97" t="s">
        <v>12</v>
      </c>
      <c r="H592" s="97" t="s">
        <v>40</v>
      </c>
      <c r="I592" s="97">
        <v>289</v>
      </c>
      <c r="J592" s="97">
        <v>9</v>
      </c>
      <c r="K592" s="97">
        <f t="shared" si="9"/>
        <v>2601</v>
      </c>
      <c r="L592" s="97">
        <f>_xlfn.XLOOKUP(E592,Emp_Data!$B$2:$B$9,Emp_Data!$A$2:$A$9)</f>
        <v>4</v>
      </c>
    </row>
    <row r="593" spans="1:12">
      <c r="A593" s="99">
        <v>903</v>
      </c>
      <c r="B593" s="101">
        <v>44479</v>
      </c>
      <c r="C593" s="96">
        <v>6</v>
      </c>
      <c r="D593" s="104" t="s">
        <v>10</v>
      </c>
      <c r="E593" s="97" t="s">
        <v>27</v>
      </c>
      <c r="F593" s="97" t="str">
        <f>VLOOKUP(E593,Emp_Data!$B$2:$C$9,2,)</f>
        <v>Philip</v>
      </c>
      <c r="G593" s="97" t="s">
        <v>12</v>
      </c>
      <c r="H593" s="97" t="s">
        <v>40</v>
      </c>
      <c r="I593" s="97">
        <v>289</v>
      </c>
      <c r="J593" s="97">
        <v>3</v>
      </c>
      <c r="K593" s="97">
        <f t="shared" si="9"/>
        <v>867</v>
      </c>
      <c r="L593" s="97">
        <f>_xlfn.XLOOKUP(E593,Emp_Data!$B$2:$B$9,Emp_Data!$A$2:$A$9)</f>
        <v>8</v>
      </c>
    </row>
    <row r="594" spans="1:12">
      <c r="A594" s="99">
        <v>904</v>
      </c>
      <c r="B594" s="101">
        <v>44479</v>
      </c>
      <c r="C594" s="96">
        <v>5</v>
      </c>
      <c r="D594" s="104" t="s">
        <v>16</v>
      </c>
      <c r="E594" s="97" t="s">
        <v>14</v>
      </c>
      <c r="F594" s="97" t="str">
        <f>VLOOKUP(E594,Emp_Data!$B$2:$C$9,2,)</f>
        <v>Jeff</v>
      </c>
      <c r="G594" s="97" t="s">
        <v>15</v>
      </c>
      <c r="H594" s="97" t="s">
        <v>40</v>
      </c>
      <c r="I594" s="97">
        <v>289</v>
      </c>
      <c r="J594" s="97">
        <v>1</v>
      </c>
      <c r="K594" s="97">
        <f t="shared" si="9"/>
        <v>289</v>
      </c>
      <c r="L594" s="97">
        <f>_xlfn.XLOOKUP(E594,Emp_Data!$B$2:$B$9,Emp_Data!$A$2:$A$9)</f>
        <v>2</v>
      </c>
    </row>
    <row r="595" spans="1:12">
      <c r="A595" s="99">
        <v>905</v>
      </c>
      <c r="B595" s="101">
        <v>44480</v>
      </c>
      <c r="C595" s="96">
        <v>13</v>
      </c>
      <c r="D595" s="104" t="s">
        <v>23</v>
      </c>
      <c r="E595" s="97" t="s">
        <v>18</v>
      </c>
      <c r="F595" s="97" t="str">
        <f>VLOOKUP(E595,Emp_Data!$B$2:$C$9,2,)</f>
        <v>Sara</v>
      </c>
      <c r="G595" s="97" t="s">
        <v>19</v>
      </c>
      <c r="H595" s="97" t="s">
        <v>40</v>
      </c>
      <c r="I595" s="97">
        <v>289</v>
      </c>
      <c r="J595" s="97">
        <v>7</v>
      </c>
      <c r="K595" s="97">
        <f t="shared" si="9"/>
        <v>2023</v>
      </c>
      <c r="L595" s="97">
        <f>_xlfn.XLOOKUP(E595,Emp_Data!$B$2:$B$9,Emp_Data!$A$2:$A$9)</f>
        <v>5</v>
      </c>
    </row>
    <row r="596" spans="1:12">
      <c r="A596" s="99">
        <v>908</v>
      </c>
      <c r="B596" s="101">
        <v>44481</v>
      </c>
      <c r="C596" s="96">
        <v>20</v>
      </c>
      <c r="D596" s="104" t="s">
        <v>7</v>
      </c>
      <c r="E596" s="97" t="s">
        <v>25</v>
      </c>
      <c r="F596" s="97" t="str">
        <f>VLOOKUP(E596,Emp_Data!$B$2:$C$9,2,)</f>
        <v>Jeff</v>
      </c>
      <c r="G596" s="97" t="s">
        <v>9</v>
      </c>
      <c r="H596" s="97" t="s">
        <v>40</v>
      </c>
      <c r="I596" s="97">
        <v>289</v>
      </c>
      <c r="J596" s="97">
        <v>3</v>
      </c>
      <c r="K596" s="97">
        <f t="shared" si="9"/>
        <v>867</v>
      </c>
      <c r="L596" s="97">
        <f>_xlfn.XLOOKUP(E596,Emp_Data!$B$2:$B$9,Emp_Data!$A$2:$A$9)</f>
        <v>5</v>
      </c>
    </row>
    <row r="597" spans="1:12">
      <c r="A597" s="99">
        <v>912</v>
      </c>
      <c r="B597" s="101">
        <v>44482</v>
      </c>
      <c r="C597" s="96">
        <v>13</v>
      </c>
      <c r="D597" s="104" t="s">
        <v>23</v>
      </c>
      <c r="E597" s="97" t="s">
        <v>18</v>
      </c>
      <c r="F597" s="97" t="str">
        <f>VLOOKUP(E597,Emp_Data!$B$2:$C$9,2,)</f>
        <v>Sara</v>
      </c>
      <c r="G597" s="97" t="s">
        <v>19</v>
      </c>
      <c r="H597" s="97" t="s">
        <v>40</v>
      </c>
      <c r="I597" s="97">
        <v>289</v>
      </c>
      <c r="J597" s="97">
        <v>8</v>
      </c>
      <c r="K597" s="97">
        <f t="shared" si="9"/>
        <v>2312</v>
      </c>
      <c r="L597" s="97">
        <f>_xlfn.XLOOKUP(E597,Emp_Data!$B$2:$B$9,Emp_Data!$A$2:$A$9)</f>
        <v>5</v>
      </c>
    </row>
    <row r="598" spans="1:12">
      <c r="A598" s="99">
        <v>916</v>
      </c>
      <c r="B598" s="101">
        <v>44483</v>
      </c>
      <c r="C598" s="96">
        <v>10</v>
      </c>
      <c r="D598" s="104" t="s">
        <v>34</v>
      </c>
      <c r="E598" s="97" t="s">
        <v>11</v>
      </c>
      <c r="F598" s="97" t="str">
        <f>VLOOKUP(E598,Emp_Data!$B$2:$C$9,2,)</f>
        <v>Steve</v>
      </c>
      <c r="G598" s="97" t="s">
        <v>12</v>
      </c>
      <c r="H598" s="97" t="s">
        <v>40</v>
      </c>
      <c r="I598" s="97">
        <v>289</v>
      </c>
      <c r="J598" s="97">
        <v>5</v>
      </c>
      <c r="K598" s="97">
        <f t="shared" si="9"/>
        <v>1445</v>
      </c>
      <c r="L598" s="97">
        <f>_xlfn.XLOOKUP(E598,Emp_Data!$B$2:$B$9,Emp_Data!$A$2:$A$9)</f>
        <v>4</v>
      </c>
    </row>
    <row r="599" spans="1:12">
      <c r="A599" s="99">
        <v>922</v>
      </c>
      <c r="B599" s="101">
        <v>44485</v>
      </c>
      <c r="C599" s="96">
        <v>1</v>
      </c>
      <c r="D599" s="104" t="s">
        <v>31</v>
      </c>
      <c r="E599" s="97" t="s">
        <v>14</v>
      </c>
      <c r="F599" s="97" t="str">
        <f>VLOOKUP(E599,Emp_Data!$B$2:$C$9,2,)</f>
        <v>Jeff</v>
      </c>
      <c r="G599" s="97" t="s">
        <v>15</v>
      </c>
      <c r="H599" s="97" t="s">
        <v>40</v>
      </c>
      <c r="I599" s="97">
        <v>289</v>
      </c>
      <c r="J599" s="97">
        <v>7</v>
      </c>
      <c r="K599" s="97">
        <f t="shared" si="9"/>
        <v>2023</v>
      </c>
      <c r="L599" s="97">
        <f>_xlfn.XLOOKUP(E599,Emp_Data!$B$2:$B$9,Emp_Data!$A$2:$A$9)</f>
        <v>2</v>
      </c>
    </row>
    <row r="600" spans="1:12">
      <c r="A600" s="99">
        <v>924</v>
      </c>
      <c r="B600" s="101">
        <v>44485</v>
      </c>
      <c r="C600" s="96">
        <v>11</v>
      </c>
      <c r="D600" s="104" t="s">
        <v>38</v>
      </c>
      <c r="E600" s="97" t="s">
        <v>18</v>
      </c>
      <c r="F600" s="97" t="str">
        <f>VLOOKUP(E600,Emp_Data!$B$2:$C$9,2,)</f>
        <v>Sara</v>
      </c>
      <c r="G600" s="97" t="s">
        <v>19</v>
      </c>
      <c r="H600" s="97" t="s">
        <v>40</v>
      </c>
      <c r="I600" s="97">
        <v>289</v>
      </c>
      <c r="J600" s="97">
        <v>9</v>
      </c>
      <c r="K600" s="97">
        <f t="shared" si="9"/>
        <v>2601</v>
      </c>
      <c r="L600" s="97">
        <f>_xlfn.XLOOKUP(E600,Emp_Data!$B$2:$B$9,Emp_Data!$A$2:$A$9)</f>
        <v>5</v>
      </c>
    </row>
    <row r="601" spans="1:12">
      <c r="A601" s="99">
        <v>935</v>
      </c>
      <c r="B601" s="101">
        <v>44489</v>
      </c>
      <c r="C601" s="96">
        <v>18</v>
      </c>
      <c r="D601" s="104" t="s">
        <v>30</v>
      </c>
      <c r="E601" s="97" t="s">
        <v>25</v>
      </c>
      <c r="F601" s="97" t="str">
        <f>VLOOKUP(E601,Emp_Data!$B$2:$C$9,2,)</f>
        <v>Jeff</v>
      </c>
      <c r="G601" s="97" t="s">
        <v>9</v>
      </c>
      <c r="H601" s="97" t="s">
        <v>40</v>
      </c>
      <c r="I601" s="97">
        <v>289</v>
      </c>
      <c r="J601" s="97">
        <v>5</v>
      </c>
      <c r="K601" s="97">
        <f t="shared" si="9"/>
        <v>1445</v>
      </c>
      <c r="L601" s="97">
        <f>_xlfn.XLOOKUP(E601,Emp_Data!$B$2:$B$9,Emp_Data!$A$2:$A$9)</f>
        <v>5</v>
      </c>
    </row>
    <row r="602" spans="1:12">
      <c r="A602" s="99">
        <v>939</v>
      </c>
      <c r="B602" s="101">
        <v>44491</v>
      </c>
      <c r="C602" s="96">
        <v>1</v>
      </c>
      <c r="D602" s="104" t="s">
        <v>31</v>
      </c>
      <c r="E602" s="97" t="s">
        <v>21</v>
      </c>
      <c r="F602" s="97" t="str">
        <f>VLOOKUP(E602,Emp_Data!$B$2:$C$9,2,)</f>
        <v>Sara</v>
      </c>
      <c r="G602" s="97" t="s">
        <v>15</v>
      </c>
      <c r="H602" s="97" t="s">
        <v>40</v>
      </c>
      <c r="I602" s="97">
        <v>289</v>
      </c>
      <c r="J602" s="97">
        <v>7</v>
      </c>
      <c r="K602" s="97">
        <f t="shared" si="9"/>
        <v>2023</v>
      </c>
      <c r="L602" s="97">
        <f>_xlfn.XLOOKUP(E602,Emp_Data!$B$2:$B$9,Emp_Data!$A$2:$A$9)</f>
        <v>2</v>
      </c>
    </row>
    <row r="603" spans="1:12">
      <c r="A603" s="99">
        <v>957</v>
      </c>
      <c r="B603" s="101">
        <v>44498</v>
      </c>
      <c r="C603" s="96">
        <v>17</v>
      </c>
      <c r="D603" s="104" t="s">
        <v>32</v>
      </c>
      <c r="E603" s="97" t="s">
        <v>8</v>
      </c>
      <c r="F603" s="97" t="str">
        <f>VLOOKUP(E603,Emp_Data!$B$2:$C$9,2,)</f>
        <v>Jeff</v>
      </c>
      <c r="G603" s="97" t="s">
        <v>9</v>
      </c>
      <c r="H603" s="97" t="s">
        <v>40</v>
      </c>
      <c r="I603" s="97">
        <v>289</v>
      </c>
      <c r="J603" s="97">
        <v>9</v>
      </c>
      <c r="K603" s="97">
        <f t="shared" si="9"/>
        <v>2601</v>
      </c>
      <c r="L603" s="97">
        <f>_xlfn.XLOOKUP(E603,Emp_Data!$B$2:$B$9,Emp_Data!$A$2:$A$9)</f>
        <v>3</v>
      </c>
    </row>
    <row r="604" spans="1:12">
      <c r="A604" s="99">
        <v>980</v>
      </c>
      <c r="B604" s="101">
        <v>44507</v>
      </c>
      <c r="C604" s="96">
        <v>9</v>
      </c>
      <c r="D604" s="104" t="s">
        <v>26</v>
      </c>
      <c r="E604" s="97" t="s">
        <v>11</v>
      </c>
      <c r="F604" s="97" t="str">
        <f>VLOOKUP(E604,Emp_Data!$B$2:$C$9,2,)</f>
        <v>Steve</v>
      </c>
      <c r="G604" s="97" t="s">
        <v>12</v>
      </c>
      <c r="H604" s="97" t="s">
        <v>40</v>
      </c>
      <c r="I604" s="97">
        <v>289</v>
      </c>
      <c r="J604" s="97">
        <v>9</v>
      </c>
      <c r="K604" s="97">
        <f t="shared" si="9"/>
        <v>2601</v>
      </c>
      <c r="L604" s="97">
        <f>_xlfn.XLOOKUP(E604,Emp_Data!$B$2:$B$9,Emp_Data!$A$2:$A$9)</f>
        <v>4</v>
      </c>
    </row>
    <row r="605" spans="1:12">
      <c r="A605" s="99">
        <v>990</v>
      </c>
      <c r="B605" s="101">
        <v>44509</v>
      </c>
      <c r="C605" s="96">
        <v>16</v>
      </c>
      <c r="D605" s="104" t="s">
        <v>37</v>
      </c>
      <c r="E605" s="97" t="s">
        <v>8</v>
      </c>
      <c r="F605" s="97" t="str">
        <f>VLOOKUP(E605,Emp_Data!$B$2:$C$9,2,)</f>
        <v>Jeff</v>
      </c>
      <c r="G605" s="97" t="s">
        <v>9</v>
      </c>
      <c r="H605" s="97" t="s">
        <v>40</v>
      </c>
      <c r="I605" s="97">
        <v>289</v>
      </c>
      <c r="J605" s="97">
        <v>4</v>
      </c>
      <c r="K605" s="97">
        <f t="shared" si="9"/>
        <v>1156</v>
      </c>
      <c r="L605" s="97">
        <f>_xlfn.XLOOKUP(E605,Emp_Data!$B$2:$B$9,Emp_Data!$A$2:$A$9)</f>
        <v>3</v>
      </c>
    </row>
    <row r="606" spans="1:12">
      <c r="A606" s="99">
        <v>1001</v>
      </c>
      <c r="B606" s="101">
        <v>44515</v>
      </c>
      <c r="C606" s="96">
        <v>15</v>
      </c>
      <c r="D606" s="104" t="s">
        <v>29</v>
      </c>
      <c r="E606" s="97" t="s">
        <v>18</v>
      </c>
      <c r="F606" s="97" t="str">
        <f>VLOOKUP(E606,Emp_Data!$B$2:$C$9,2,)</f>
        <v>Sara</v>
      </c>
      <c r="G606" s="97" t="s">
        <v>19</v>
      </c>
      <c r="H606" s="97" t="s">
        <v>40</v>
      </c>
      <c r="I606" s="97">
        <v>289</v>
      </c>
      <c r="J606" s="97">
        <v>7</v>
      </c>
      <c r="K606" s="97">
        <f t="shared" si="9"/>
        <v>2023</v>
      </c>
      <c r="L606" s="97">
        <f>_xlfn.XLOOKUP(E606,Emp_Data!$B$2:$B$9,Emp_Data!$A$2:$A$9)</f>
        <v>5</v>
      </c>
    </row>
    <row r="607" spans="1:12">
      <c r="A607" s="99">
        <v>1008</v>
      </c>
      <c r="B607" s="101">
        <v>44516</v>
      </c>
      <c r="C607" s="96">
        <v>15</v>
      </c>
      <c r="D607" s="104" t="s">
        <v>29</v>
      </c>
      <c r="E607" s="97" t="s">
        <v>18</v>
      </c>
      <c r="F607" s="97" t="str">
        <f>VLOOKUP(E607,Emp_Data!$B$2:$C$9,2,)</f>
        <v>Sara</v>
      </c>
      <c r="G607" s="97" t="s">
        <v>19</v>
      </c>
      <c r="H607" s="97" t="s">
        <v>40</v>
      </c>
      <c r="I607" s="97">
        <v>289</v>
      </c>
      <c r="J607" s="97">
        <v>1</v>
      </c>
      <c r="K607" s="97">
        <f t="shared" si="9"/>
        <v>289</v>
      </c>
      <c r="L607" s="97">
        <f>_xlfn.XLOOKUP(E607,Emp_Data!$B$2:$B$9,Emp_Data!$A$2:$A$9)</f>
        <v>5</v>
      </c>
    </row>
    <row r="608" spans="1:12">
      <c r="A608" s="99">
        <v>1011</v>
      </c>
      <c r="B608" s="101">
        <v>44517</v>
      </c>
      <c r="C608" s="96">
        <v>7</v>
      </c>
      <c r="D608" s="104" t="s">
        <v>28</v>
      </c>
      <c r="E608" s="97" t="s">
        <v>11</v>
      </c>
      <c r="F608" s="97" t="str">
        <f>VLOOKUP(E608,Emp_Data!$B$2:$C$9,2,)</f>
        <v>Steve</v>
      </c>
      <c r="G608" s="97" t="s">
        <v>12</v>
      </c>
      <c r="H608" s="97" t="s">
        <v>40</v>
      </c>
      <c r="I608" s="97">
        <v>289</v>
      </c>
      <c r="J608" s="97">
        <v>0</v>
      </c>
      <c r="K608" s="97">
        <f t="shared" si="9"/>
        <v>0</v>
      </c>
      <c r="L608" s="97">
        <f>_xlfn.XLOOKUP(E608,Emp_Data!$B$2:$B$9,Emp_Data!$A$2:$A$9)</f>
        <v>4</v>
      </c>
    </row>
    <row r="609" spans="1:12">
      <c r="A609" s="99">
        <v>1012</v>
      </c>
      <c r="B609" s="101">
        <v>44517</v>
      </c>
      <c r="C609" s="96">
        <v>3</v>
      </c>
      <c r="D609" s="104" t="s">
        <v>20</v>
      </c>
      <c r="E609" s="97" t="s">
        <v>21</v>
      </c>
      <c r="F609" s="97" t="str">
        <f>VLOOKUP(E609,Emp_Data!$B$2:$C$9,2,)</f>
        <v>Sara</v>
      </c>
      <c r="G609" s="97" t="s">
        <v>15</v>
      </c>
      <c r="H609" s="97" t="s">
        <v>40</v>
      </c>
      <c r="I609" s="97">
        <v>289</v>
      </c>
      <c r="J609" s="97">
        <v>4</v>
      </c>
      <c r="K609" s="97">
        <f t="shared" si="9"/>
        <v>1156</v>
      </c>
      <c r="L609" s="97">
        <f>_xlfn.XLOOKUP(E609,Emp_Data!$B$2:$B$9,Emp_Data!$A$2:$A$9)</f>
        <v>2</v>
      </c>
    </row>
    <row r="610" spans="1:12">
      <c r="A610" s="99">
        <v>1016</v>
      </c>
      <c r="B610" s="101">
        <v>44519</v>
      </c>
      <c r="C610" s="96">
        <v>6</v>
      </c>
      <c r="D610" s="104" t="s">
        <v>10</v>
      </c>
      <c r="E610" s="97" t="s">
        <v>27</v>
      </c>
      <c r="F610" s="97" t="str">
        <f>VLOOKUP(E610,Emp_Data!$B$2:$C$9,2,)</f>
        <v>Philip</v>
      </c>
      <c r="G610" s="97" t="s">
        <v>12</v>
      </c>
      <c r="H610" s="97" t="s">
        <v>40</v>
      </c>
      <c r="I610" s="97">
        <v>289</v>
      </c>
      <c r="J610" s="97">
        <v>5</v>
      </c>
      <c r="K610" s="97">
        <f t="shared" si="9"/>
        <v>1445</v>
      </c>
      <c r="L610" s="97">
        <f>_xlfn.XLOOKUP(E610,Emp_Data!$B$2:$B$9,Emp_Data!$A$2:$A$9)</f>
        <v>8</v>
      </c>
    </row>
    <row r="611" spans="1:12">
      <c r="A611" s="99">
        <v>1037</v>
      </c>
      <c r="B611" s="101">
        <v>44523</v>
      </c>
      <c r="C611" s="96">
        <v>12</v>
      </c>
      <c r="D611" s="104" t="s">
        <v>17</v>
      </c>
      <c r="E611" s="97" t="s">
        <v>18</v>
      </c>
      <c r="F611" s="97" t="str">
        <f>VLOOKUP(E611,Emp_Data!$B$2:$C$9,2,)</f>
        <v>Sara</v>
      </c>
      <c r="G611" s="97" t="s">
        <v>19</v>
      </c>
      <c r="H611" s="97" t="s">
        <v>40</v>
      </c>
      <c r="I611" s="97">
        <v>289</v>
      </c>
      <c r="J611" s="97">
        <v>6</v>
      </c>
      <c r="K611" s="97">
        <f t="shared" si="9"/>
        <v>1734</v>
      </c>
      <c r="L611" s="97">
        <f>_xlfn.XLOOKUP(E611,Emp_Data!$B$2:$B$9,Emp_Data!$A$2:$A$9)</f>
        <v>5</v>
      </c>
    </row>
    <row r="612" spans="1:12">
      <c r="A612" s="99">
        <v>1039</v>
      </c>
      <c r="B612" s="101">
        <v>44524</v>
      </c>
      <c r="C612" s="96">
        <v>13</v>
      </c>
      <c r="D612" s="104" t="s">
        <v>23</v>
      </c>
      <c r="E612" s="97" t="s">
        <v>24</v>
      </c>
      <c r="F612" s="97" t="str">
        <f>VLOOKUP(E612,Emp_Data!$B$2:$C$9,2,)</f>
        <v>Steve</v>
      </c>
      <c r="G612" s="97" t="s">
        <v>19</v>
      </c>
      <c r="H612" s="97" t="s">
        <v>40</v>
      </c>
      <c r="I612" s="97">
        <v>289</v>
      </c>
      <c r="J612" s="97">
        <v>1</v>
      </c>
      <c r="K612" s="97">
        <f t="shared" si="9"/>
        <v>289</v>
      </c>
      <c r="L612" s="97">
        <f>_xlfn.XLOOKUP(E612,Emp_Data!$B$2:$B$9,Emp_Data!$A$2:$A$9)</f>
        <v>6</v>
      </c>
    </row>
    <row r="613" spans="1:12">
      <c r="A613" s="99">
        <v>1042</v>
      </c>
      <c r="B613" s="101">
        <v>44524</v>
      </c>
      <c r="C613" s="96">
        <v>14</v>
      </c>
      <c r="D613" s="104" t="s">
        <v>33</v>
      </c>
      <c r="E613" s="97" t="s">
        <v>24</v>
      </c>
      <c r="F613" s="97" t="str">
        <f>VLOOKUP(E613,Emp_Data!$B$2:$C$9,2,)</f>
        <v>Steve</v>
      </c>
      <c r="G613" s="97" t="s">
        <v>19</v>
      </c>
      <c r="H613" s="97" t="s">
        <v>40</v>
      </c>
      <c r="I613" s="97">
        <v>289</v>
      </c>
      <c r="J613" s="97">
        <v>2</v>
      </c>
      <c r="K613" s="97">
        <f t="shared" si="9"/>
        <v>578</v>
      </c>
      <c r="L613" s="97">
        <f>_xlfn.XLOOKUP(E613,Emp_Data!$B$2:$B$9,Emp_Data!$A$2:$A$9)</f>
        <v>6</v>
      </c>
    </row>
    <row r="614" spans="1:12">
      <c r="A614" s="99">
        <v>1047</v>
      </c>
      <c r="B614" s="101">
        <v>44526</v>
      </c>
      <c r="C614" s="96">
        <v>6</v>
      </c>
      <c r="D614" s="104" t="s">
        <v>10</v>
      </c>
      <c r="E614" s="97" t="s">
        <v>11</v>
      </c>
      <c r="F614" s="97" t="str">
        <f>VLOOKUP(E614,Emp_Data!$B$2:$C$9,2,)</f>
        <v>Steve</v>
      </c>
      <c r="G614" s="97" t="s">
        <v>12</v>
      </c>
      <c r="H614" s="97" t="s">
        <v>40</v>
      </c>
      <c r="I614" s="97">
        <v>289</v>
      </c>
      <c r="J614" s="97">
        <v>1</v>
      </c>
      <c r="K614" s="97">
        <f t="shared" si="9"/>
        <v>289</v>
      </c>
      <c r="L614" s="97">
        <f>_xlfn.XLOOKUP(E614,Emp_Data!$B$2:$B$9,Emp_Data!$A$2:$A$9)</f>
        <v>4</v>
      </c>
    </row>
    <row r="615" spans="1:12">
      <c r="A615" s="99">
        <v>1048</v>
      </c>
      <c r="B615" s="101">
        <v>44526</v>
      </c>
      <c r="C615" s="96">
        <v>13</v>
      </c>
      <c r="D615" s="104" t="s">
        <v>23</v>
      </c>
      <c r="E615" s="97" t="s">
        <v>24</v>
      </c>
      <c r="F615" s="97" t="str">
        <f>VLOOKUP(E615,Emp_Data!$B$2:$C$9,2,)</f>
        <v>Steve</v>
      </c>
      <c r="G615" s="97" t="s">
        <v>19</v>
      </c>
      <c r="H615" s="97" t="s">
        <v>40</v>
      </c>
      <c r="I615" s="97">
        <v>289</v>
      </c>
      <c r="J615" s="97">
        <v>7</v>
      </c>
      <c r="K615" s="97">
        <f t="shared" si="9"/>
        <v>2023</v>
      </c>
      <c r="L615" s="97">
        <f>_xlfn.XLOOKUP(E615,Emp_Data!$B$2:$B$9,Emp_Data!$A$2:$A$9)</f>
        <v>6</v>
      </c>
    </row>
    <row r="616" spans="1:12">
      <c r="A616" s="99">
        <v>1055</v>
      </c>
      <c r="B616" s="101">
        <v>44528</v>
      </c>
      <c r="C616" s="96">
        <v>11</v>
      </c>
      <c r="D616" s="104" t="s">
        <v>38</v>
      </c>
      <c r="E616" s="97" t="s">
        <v>18</v>
      </c>
      <c r="F616" s="97" t="str">
        <f>VLOOKUP(E616,Emp_Data!$B$2:$C$9,2,)</f>
        <v>Sara</v>
      </c>
      <c r="G616" s="97" t="s">
        <v>19</v>
      </c>
      <c r="H616" s="97" t="s">
        <v>40</v>
      </c>
      <c r="I616" s="97">
        <v>289</v>
      </c>
      <c r="J616" s="97">
        <v>8</v>
      </c>
      <c r="K616" s="97">
        <f t="shared" si="9"/>
        <v>2312</v>
      </c>
      <c r="L616" s="97">
        <f>_xlfn.XLOOKUP(E616,Emp_Data!$B$2:$B$9,Emp_Data!$A$2:$A$9)</f>
        <v>5</v>
      </c>
    </row>
    <row r="617" spans="1:12">
      <c r="A617" s="99">
        <v>1056</v>
      </c>
      <c r="B617" s="101">
        <v>44528</v>
      </c>
      <c r="C617" s="96">
        <v>4</v>
      </c>
      <c r="D617" s="104" t="s">
        <v>13</v>
      </c>
      <c r="E617" s="97" t="s">
        <v>14</v>
      </c>
      <c r="F617" s="97" t="str">
        <f>VLOOKUP(E617,Emp_Data!$B$2:$C$9,2,)</f>
        <v>Jeff</v>
      </c>
      <c r="G617" s="97" t="s">
        <v>15</v>
      </c>
      <c r="H617" s="97" t="s">
        <v>40</v>
      </c>
      <c r="I617" s="97">
        <v>289</v>
      </c>
      <c r="J617" s="97">
        <v>7</v>
      </c>
      <c r="K617" s="97">
        <f t="shared" si="9"/>
        <v>2023</v>
      </c>
      <c r="L617" s="97">
        <f>_xlfn.XLOOKUP(E617,Emp_Data!$B$2:$B$9,Emp_Data!$A$2:$A$9)</f>
        <v>2</v>
      </c>
    </row>
    <row r="618" spans="1:12">
      <c r="A618" s="99">
        <v>1059</v>
      </c>
      <c r="B618" s="101">
        <v>44529</v>
      </c>
      <c r="C618" s="96">
        <v>12</v>
      </c>
      <c r="D618" s="104" t="s">
        <v>17</v>
      </c>
      <c r="E618" s="97" t="s">
        <v>24</v>
      </c>
      <c r="F618" s="97" t="str">
        <f>VLOOKUP(E618,Emp_Data!$B$2:$C$9,2,)</f>
        <v>Steve</v>
      </c>
      <c r="G618" s="97" t="s">
        <v>19</v>
      </c>
      <c r="H618" s="97" t="s">
        <v>40</v>
      </c>
      <c r="I618" s="97">
        <v>289</v>
      </c>
      <c r="J618" s="97">
        <v>9</v>
      </c>
      <c r="K618" s="97">
        <f t="shared" si="9"/>
        <v>2601</v>
      </c>
      <c r="L618" s="97">
        <f>_xlfn.XLOOKUP(E618,Emp_Data!$B$2:$B$9,Emp_Data!$A$2:$A$9)</f>
        <v>6</v>
      </c>
    </row>
    <row r="619" spans="1:12">
      <c r="A619" s="99">
        <v>1062</v>
      </c>
      <c r="B619" s="101">
        <v>44531</v>
      </c>
      <c r="C619" s="96">
        <v>17</v>
      </c>
      <c r="D619" s="104" t="s">
        <v>32</v>
      </c>
      <c r="E619" s="97" t="s">
        <v>8</v>
      </c>
      <c r="F619" s="97" t="str">
        <f>VLOOKUP(E619,Emp_Data!$B$2:$C$9,2,)</f>
        <v>Jeff</v>
      </c>
      <c r="G619" s="97" t="s">
        <v>9</v>
      </c>
      <c r="H619" s="97" t="s">
        <v>40</v>
      </c>
      <c r="I619" s="97">
        <v>289</v>
      </c>
      <c r="J619" s="97">
        <v>0</v>
      </c>
      <c r="K619" s="97">
        <f t="shared" si="9"/>
        <v>0</v>
      </c>
      <c r="L619" s="97">
        <f>_xlfn.XLOOKUP(E619,Emp_Data!$B$2:$B$9,Emp_Data!$A$2:$A$9)</f>
        <v>3</v>
      </c>
    </row>
    <row r="620" spans="1:12">
      <c r="A620" s="99">
        <v>1064</v>
      </c>
      <c r="B620" s="101">
        <v>44533</v>
      </c>
      <c r="C620" s="96">
        <v>1</v>
      </c>
      <c r="D620" s="104" t="s">
        <v>31</v>
      </c>
      <c r="E620" s="97" t="s">
        <v>21</v>
      </c>
      <c r="F620" s="97" t="str">
        <f>VLOOKUP(E620,Emp_Data!$B$2:$C$9,2,)</f>
        <v>Sara</v>
      </c>
      <c r="G620" s="97" t="s">
        <v>15</v>
      </c>
      <c r="H620" s="97" t="s">
        <v>40</v>
      </c>
      <c r="I620" s="97">
        <v>289</v>
      </c>
      <c r="J620" s="97">
        <v>4</v>
      </c>
      <c r="K620" s="97">
        <f t="shared" si="9"/>
        <v>1156</v>
      </c>
      <c r="L620" s="97">
        <f>_xlfn.XLOOKUP(E620,Emp_Data!$B$2:$B$9,Emp_Data!$A$2:$A$9)</f>
        <v>2</v>
      </c>
    </row>
    <row r="621" spans="1:12">
      <c r="A621" s="99">
        <v>1065</v>
      </c>
      <c r="B621" s="101">
        <v>44533</v>
      </c>
      <c r="C621" s="96">
        <v>19</v>
      </c>
      <c r="D621" s="104" t="s">
        <v>22</v>
      </c>
      <c r="E621" s="97" t="s">
        <v>25</v>
      </c>
      <c r="F621" s="97" t="str">
        <f>VLOOKUP(E621,Emp_Data!$B$2:$C$9,2,)</f>
        <v>Jeff</v>
      </c>
      <c r="G621" s="97" t="s">
        <v>9</v>
      </c>
      <c r="H621" s="97" t="s">
        <v>40</v>
      </c>
      <c r="I621" s="97">
        <v>289</v>
      </c>
      <c r="J621" s="97">
        <v>2</v>
      </c>
      <c r="K621" s="97">
        <f t="shared" si="9"/>
        <v>578</v>
      </c>
      <c r="L621" s="97">
        <f>_xlfn.XLOOKUP(E621,Emp_Data!$B$2:$B$9,Emp_Data!$A$2:$A$9)</f>
        <v>5</v>
      </c>
    </row>
    <row r="622" spans="1:12">
      <c r="A622" s="99">
        <v>1073</v>
      </c>
      <c r="B622" s="101">
        <v>44537</v>
      </c>
      <c r="C622" s="96">
        <v>9</v>
      </c>
      <c r="D622" s="104" t="s">
        <v>26</v>
      </c>
      <c r="E622" s="97" t="s">
        <v>27</v>
      </c>
      <c r="F622" s="97" t="str">
        <f>VLOOKUP(E622,Emp_Data!$B$2:$C$9,2,)</f>
        <v>Philip</v>
      </c>
      <c r="G622" s="97" t="s">
        <v>12</v>
      </c>
      <c r="H622" s="97" t="s">
        <v>40</v>
      </c>
      <c r="I622" s="97">
        <v>289</v>
      </c>
      <c r="J622" s="97">
        <v>7</v>
      </c>
      <c r="K622" s="97">
        <f t="shared" si="9"/>
        <v>2023</v>
      </c>
      <c r="L622" s="97">
        <f>_xlfn.XLOOKUP(E622,Emp_Data!$B$2:$B$9,Emp_Data!$A$2:$A$9)</f>
        <v>8</v>
      </c>
    </row>
    <row r="623" spans="1:12">
      <c r="A623" s="99">
        <v>1076</v>
      </c>
      <c r="B623" s="101">
        <v>44539</v>
      </c>
      <c r="C623" s="96">
        <v>20</v>
      </c>
      <c r="D623" s="104" t="s">
        <v>7</v>
      </c>
      <c r="E623" s="97" t="s">
        <v>25</v>
      </c>
      <c r="F623" s="97" t="str">
        <f>VLOOKUP(E623,Emp_Data!$B$2:$C$9,2,)</f>
        <v>Jeff</v>
      </c>
      <c r="G623" s="97" t="s">
        <v>9</v>
      </c>
      <c r="H623" s="97" t="s">
        <v>40</v>
      </c>
      <c r="I623" s="97">
        <v>289</v>
      </c>
      <c r="J623" s="97">
        <v>8</v>
      </c>
      <c r="K623" s="97">
        <f t="shared" si="9"/>
        <v>2312</v>
      </c>
      <c r="L623" s="97">
        <f>_xlfn.XLOOKUP(E623,Emp_Data!$B$2:$B$9,Emp_Data!$A$2:$A$9)</f>
        <v>5</v>
      </c>
    </row>
    <row r="624" spans="1:12">
      <c r="A624" s="99">
        <v>1077</v>
      </c>
      <c r="B624" s="101">
        <v>44540</v>
      </c>
      <c r="C624" s="96">
        <v>11</v>
      </c>
      <c r="D624" s="104" t="s">
        <v>38</v>
      </c>
      <c r="E624" s="97" t="s">
        <v>18</v>
      </c>
      <c r="F624" s="97" t="str">
        <f>VLOOKUP(E624,Emp_Data!$B$2:$C$9,2,)</f>
        <v>Sara</v>
      </c>
      <c r="G624" s="97" t="s">
        <v>19</v>
      </c>
      <c r="H624" s="97" t="s">
        <v>40</v>
      </c>
      <c r="I624" s="97">
        <v>289</v>
      </c>
      <c r="J624" s="97">
        <v>9</v>
      </c>
      <c r="K624" s="97">
        <f t="shared" si="9"/>
        <v>2601</v>
      </c>
      <c r="L624" s="97">
        <f>_xlfn.XLOOKUP(E624,Emp_Data!$B$2:$B$9,Emp_Data!$A$2:$A$9)</f>
        <v>5</v>
      </c>
    </row>
    <row r="625" spans="1:12">
      <c r="A625" s="99">
        <v>1078</v>
      </c>
      <c r="B625" s="101">
        <v>44541</v>
      </c>
      <c r="C625" s="96">
        <v>13</v>
      </c>
      <c r="D625" s="104" t="s">
        <v>23</v>
      </c>
      <c r="E625" s="97" t="s">
        <v>18</v>
      </c>
      <c r="F625" s="97" t="str">
        <f>VLOOKUP(E625,Emp_Data!$B$2:$C$9,2,)</f>
        <v>Sara</v>
      </c>
      <c r="G625" s="97" t="s">
        <v>19</v>
      </c>
      <c r="H625" s="97" t="s">
        <v>40</v>
      </c>
      <c r="I625" s="97">
        <v>289</v>
      </c>
      <c r="J625" s="97">
        <v>8</v>
      </c>
      <c r="K625" s="97">
        <f t="shared" si="9"/>
        <v>2312</v>
      </c>
      <c r="L625" s="97">
        <f>_xlfn.XLOOKUP(E625,Emp_Data!$B$2:$B$9,Emp_Data!$A$2:$A$9)</f>
        <v>5</v>
      </c>
    </row>
    <row r="626" spans="1:12">
      <c r="A626" s="99">
        <v>1080</v>
      </c>
      <c r="B626" s="101">
        <v>44541</v>
      </c>
      <c r="C626" s="96">
        <v>19</v>
      </c>
      <c r="D626" s="104" t="s">
        <v>22</v>
      </c>
      <c r="E626" s="97" t="s">
        <v>25</v>
      </c>
      <c r="F626" s="97" t="str">
        <f>VLOOKUP(E626,Emp_Data!$B$2:$C$9,2,)</f>
        <v>Jeff</v>
      </c>
      <c r="G626" s="97" t="s">
        <v>9</v>
      </c>
      <c r="H626" s="97" t="s">
        <v>40</v>
      </c>
      <c r="I626" s="97">
        <v>289</v>
      </c>
      <c r="J626" s="97">
        <v>9</v>
      </c>
      <c r="K626" s="97">
        <f t="shared" si="9"/>
        <v>2601</v>
      </c>
      <c r="L626" s="97">
        <f>_xlfn.XLOOKUP(E626,Emp_Data!$B$2:$B$9,Emp_Data!$A$2:$A$9)</f>
        <v>5</v>
      </c>
    </row>
    <row r="627" spans="1:12">
      <c r="A627" s="99">
        <v>1081</v>
      </c>
      <c r="B627" s="101">
        <v>44542</v>
      </c>
      <c r="C627" s="96">
        <v>14</v>
      </c>
      <c r="D627" s="104" t="s">
        <v>33</v>
      </c>
      <c r="E627" s="97" t="s">
        <v>18</v>
      </c>
      <c r="F627" s="97" t="str">
        <f>VLOOKUP(E627,Emp_Data!$B$2:$C$9,2,)</f>
        <v>Sara</v>
      </c>
      <c r="G627" s="97" t="s">
        <v>19</v>
      </c>
      <c r="H627" s="97" t="s">
        <v>40</v>
      </c>
      <c r="I627" s="97">
        <v>289</v>
      </c>
      <c r="J627" s="97">
        <v>5</v>
      </c>
      <c r="K627" s="97">
        <f t="shared" si="9"/>
        <v>1445</v>
      </c>
      <c r="L627" s="97">
        <f>_xlfn.XLOOKUP(E627,Emp_Data!$B$2:$B$9,Emp_Data!$A$2:$A$9)</f>
        <v>5</v>
      </c>
    </row>
    <row r="628" spans="1:12">
      <c r="A628" s="99">
        <v>1083</v>
      </c>
      <c r="B628" s="101">
        <v>44543</v>
      </c>
      <c r="C628" s="96">
        <v>13</v>
      </c>
      <c r="D628" s="104" t="s">
        <v>23</v>
      </c>
      <c r="E628" s="97" t="s">
        <v>18</v>
      </c>
      <c r="F628" s="97" t="str">
        <f>VLOOKUP(E628,Emp_Data!$B$2:$C$9,2,)</f>
        <v>Sara</v>
      </c>
      <c r="G628" s="97" t="s">
        <v>19</v>
      </c>
      <c r="H628" s="97" t="s">
        <v>40</v>
      </c>
      <c r="I628" s="97">
        <v>289</v>
      </c>
      <c r="J628" s="97">
        <v>5</v>
      </c>
      <c r="K628" s="97">
        <f t="shared" si="9"/>
        <v>1445</v>
      </c>
      <c r="L628" s="97">
        <f>_xlfn.XLOOKUP(E628,Emp_Data!$B$2:$B$9,Emp_Data!$A$2:$A$9)</f>
        <v>5</v>
      </c>
    </row>
    <row r="629" spans="1:12">
      <c r="A629" s="99">
        <v>1090</v>
      </c>
      <c r="B629" s="101">
        <v>44544</v>
      </c>
      <c r="C629" s="96">
        <v>18</v>
      </c>
      <c r="D629" s="104" t="s">
        <v>30</v>
      </c>
      <c r="E629" s="97" t="s">
        <v>25</v>
      </c>
      <c r="F629" s="97" t="str">
        <f>VLOOKUP(E629,Emp_Data!$B$2:$C$9,2,)</f>
        <v>Jeff</v>
      </c>
      <c r="G629" s="97" t="s">
        <v>9</v>
      </c>
      <c r="H629" s="97" t="s">
        <v>40</v>
      </c>
      <c r="I629" s="97">
        <v>289</v>
      </c>
      <c r="J629" s="97">
        <v>9</v>
      </c>
      <c r="K629" s="97">
        <f t="shared" si="9"/>
        <v>2601</v>
      </c>
      <c r="L629" s="97">
        <f>_xlfn.XLOOKUP(E629,Emp_Data!$B$2:$B$9,Emp_Data!$A$2:$A$9)</f>
        <v>5</v>
      </c>
    </row>
    <row r="630" spans="1:12">
      <c r="A630" s="99">
        <v>1091</v>
      </c>
      <c r="B630" s="101">
        <v>44545</v>
      </c>
      <c r="C630" s="96">
        <v>15</v>
      </c>
      <c r="D630" s="104" t="s">
        <v>29</v>
      </c>
      <c r="E630" s="97" t="s">
        <v>24</v>
      </c>
      <c r="F630" s="97" t="str">
        <f>VLOOKUP(E630,Emp_Data!$B$2:$C$9,2,)</f>
        <v>Steve</v>
      </c>
      <c r="G630" s="97" t="s">
        <v>19</v>
      </c>
      <c r="H630" s="97" t="s">
        <v>40</v>
      </c>
      <c r="I630" s="97">
        <v>289</v>
      </c>
      <c r="J630" s="97">
        <v>9</v>
      </c>
      <c r="K630" s="97">
        <f t="shared" si="9"/>
        <v>2601</v>
      </c>
      <c r="L630" s="97">
        <f>_xlfn.XLOOKUP(E630,Emp_Data!$B$2:$B$9,Emp_Data!$A$2:$A$9)</f>
        <v>6</v>
      </c>
    </row>
    <row r="631" spans="1:12">
      <c r="A631" s="99">
        <v>1092</v>
      </c>
      <c r="B631" s="101">
        <v>44545</v>
      </c>
      <c r="C631" s="96">
        <v>8</v>
      </c>
      <c r="D631" s="104" t="s">
        <v>36</v>
      </c>
      <c r="E631" s="97" t="s">
        <v>27</v>
      </c>
      <c r="F631" s="97" t="str">
        <f>VLOOKUP(E631,Emp_Data!$B$2:$C$9,2,)</f>
        <v>Philip</v>
      </c>
      <c r="G631" s="97" t="s">
        <v>12</v>
      </c>
      <c r="H631" s="97" t="s">
        <v>40</v>
      </c>
      <c r="I631" s="97">
        <v>289</v>
      </c>
      <c r="J631" s="97">
        <v>2</v>
      </c>
      <c r="K631" s="97">
        <f t="shared" si="9"/>
        <v>578</v>
      </c>
      <c r="L631" s="97">
        <f>_xlfn.XLOOKUP(E631,Emp_Data!$B$2:$B$9,Emp_Data!$A$2:$A$9)</f>
        <v>8</v>
      </c>
    </row>
    <row r="632" spans="1:12">
      <c r="A632" s="99">
        <v>1095</v>
      </c>
      <c r="B632" s="101">
        <v>44546</v>
      </c>
      <c r="C632" s="96">
        <v>20</v>
      </c>
      <c r="D632" s="104" t="s">
        <v>7</v>
      </c>
      <c r="E632" s="97" t="s">
        <v>8</v>
      </c>
      <c r="F632" s="97" t="str">
        <f>VLOOKUP(E632,Emp_Data!$B$2:$C$9,2,)</f>
        <v>Jeff</v>
      </c>
      <c r="G632" s="97" t="s">
        <v>9</v>
      </c>
      <c r="H632" s="97" t="s">
        <v>40</v>
      </c>
      <c r="I632" s="97">
        <v>289</v>
      </c>
      <c r="J632" s="97">
        <v>3</v>
      </c>
      <c r="K632" s="97">
        <f t="shared" si="9"/>
        <v>867</v>
      </c>
      <c r="L632" s="97">
        <f>_xlfn.XLOOKUP(E632,Emp_Data!$B$2:$B$9,Emp_Data!$A$2:$A$9)</f>
        <v>3</v>
      </c>
    </row>
    <row r="633" spans="1:12">
      <c r="A633" s="99">
        <v>1106</v>
      </c>
      <c r="B633" s="101">
        <v>44548</v>
      </c>
      <c r="C633" s="96">
        <v>20</v>
      </c>
      <c r="D633" s="104" t="s">
        <v>7</v>
      </c>
      <c r="E633" s="97" t="s">
        <v>25</v>
      </c>
      <c r="F633" s="97" t="str">
        <f>VLOOKUP(E633,Emp_Data!$B$2:$C$9,2,)</f>
        <v>Jeff</v>
      </c>
      <c r="G633" s="97" t="s">
        <v>9</v>
      </c>
      <c r="H633" s="97" t="s">
        <v>40</v>
      </c>
      <c r="I633" s="97">
        <v>289</v>
      </c>
      <c r="J633" s="97">
        <v>4</v>
      </c>
      <c r="K633" s="97">
        <f t="shared" si="9"/>
        <v>1156</v>
      </c>
      <c r="L633" s="97">
        <f>_xlfn.XLOOKUP(E633,Emp_Data!$B$2:$B$9,Emp_Data!$A$2:$A$9)</f>
        <v>5</v>
      </c>
    </row>
    <row r="634" spans="1:12">
      <c r="A634" s="99">
        <v>1117</v>
      </c>
      <c r="B634" s="101">
        <v>44550</v>
      </c>
      <c r="C634" s="96">
        <v>9</v>
      </c>
      <c r="D634" s="104" t="s">
        <v>26</v>
      </c>
      <c r="E634" s="97" t="s">
        <v>27</v>
      </c>
      <c r="F634" s="97" t="str">
        <f>VLOOKUP(E634,Emp_Data!$B$2:$C$9,2,)</f>
        <v>Philip</v>
      </c>
      <c r="G634" s="97" t="s">
        <v>12</v>
      </c>
      <c r="H634" s="97" t="s">
        <v>40</v>
      </c>
      <c r="I634" s="97">
        <v>289</v>
      </c>
      <c r="J634" s="97">
        <v>5</v>
      </c>
      <c r="K634" s="97">
        <f t="shared" si="9"/>
        <v>1445</v>
      </c>
      <c r="L634" s="97">
        <f>_xlfn.XLOOKUP(E634,Emp_Data!$B$2:$B$9,Emp_Data!$A$2:$A$9)</f>
        <v>8</v>
      </c>
    </row>
    <row r="635" spans="1:12">
      <c r="A635" s="99">
        <v>1126</v>
      </c>
      <c r="B635" s="101">
        <v>44553</v>
      </c>
      <c r="C635" s="96">
        <v>11</v>
      </c>
      <c r="D635" s="104" t="s">
        <v>38</v>
      </c>
      <c r="E635" s="97" t="s">
        <v>18</v>
      </c>
      <c r="F635" s="97" t="str">
        <f>VLOOKUP(E635,Emp_Data!$B$2:$C$9,2,)</f>
        <v>Sara</v>
      </c>
      <c r="G635" s="97" t="s">
        <v>19</v>
      </c>
      <c r="H635" s="97" t="s">
        <v>40</v>
      </c>
      <c r="I635" s="97">
        <v>289</v>
      </c>
      <c r="J635" s="97">
        <v>9</v>
      </c>
      <c r="K635" s="97">
        <f t="shared" si="9"/>
        <v>2601</v>
      </c>
      <c r="L635" s="97">
        <f>_xlfn.XLOOKUP(E635,Emp_Data!$B$2:$B$9,Emp_Data!$A$2:$A$9)</f>
        <v>5</v>
      </c>
    </row>
    <row r="636" spans="1:12">
      <c r="A636" s="99">
        <v>1135</v>
      </c>
      <c r="B636" s="101">
        <v>44555</v>
      </c>
      <c r="C636" s="96">
        <v>5</v>
      </c>
      <c r="D636" s="104" t="s">
        <v>16</v>
      </c>
      <c r="E636" s="97" t="s">
        <v>14</v>
      </c>
      <c r="F636" s="97" t="str">
        <f>VLOOKUP(E636,Emp_Data!$B$2:$C$9,2,)</f>
        <v>Jeff</v>
      </c>
      <c r="G636" s="97" t="s">
        <v>15</v>
      </c>
      <c r="H636" s="97" t="s">
        <v>40</v>
      </c>
      <c r="I636" s="97">
        <v>289</v>
      </c>
      <c r="J636" s="97">
        <v>4</v>
      </c>
      <c r="K636" s="97">
        <f t="shared" si="9"/>
        <v>1156</v>
      </c>
      <c r="L636" s="97">
        <f>_xlfn.XLOOKUP(E636,Emp_Data!$B$2:$B$9,Emp_Data!$A$2:$A$9)</f>
        <v>2</v>
      </c>
    </row>
    <row r="637" spans="1:12">
      <c r="A637" s="99">
        <v>1137</v>
      </c>
      <c r="B637" s="101">
        <v>44555</v>
      </c>
      <c r="C637" s="96">
        <v>3</v>
      </c>
      <c r="D637" s="104" t="s">
        <v>20</v>
      </c>
      <c r="E637" s="97" t="s">
        <v>21</v>
      </c>
      <c r="F637" s="97" t="str">
        <f>VLOOKUP(E637,Emp_Data!$B$2:$C$9,2,)</f>
        <v>Sara</v>
      </c>
      <c r="G637" s="97" t="s">
        <v>15</v>
      </c>
      <c r="H637" s="97" t="s">
        <v>40</v>
      </c>
      <c r="I637" s="97">
        <v>289</v>
      </c>
      <c r="J637" s="97">
        <v>6</v>
      </c>
      <c r="K637" s="97">
        <f t="shared" si="9"/>
        <v>1734</v>
      </c>
      <c r="L637" s="97">
        <f>_xlfn.XLOOKUP(E637,Emp_Data!$B$2:$B$9,Emp_Data!$A$2:$A$9)</f>
        <v>2</v>
      </c>
    </row>
    <row r="638" spans="1:12">
      <c r="A638" s="99">
        <v>1139</v>
      </c>
      <c r="B638" s="101">
        <v>44556</v>
      </c>
      <c r="C638" s="96">
        <v>11</v>
      </c>
      <c r="D638" s="104" t="s">
        <v>38</v>
      </c>
      <c r="E638" s="97" t="s">
        <v>18</v>
      </c>
      <c r="F638" s="97" t="str">
        <f>VLOOKUP(E638,Emp_Data!$B$2:$C$9,2,)</f>
        <v>Sara</v>
      </c>
      <c r="G638" s="97" t="s">
        <v>19</v>
      </c>
      <c r="H638" s="97" t="s">
        <v>40</v>
      </c>
      <c r="I638" s="97">
        <v>289</v>
      </c>
      <c r="J638" s="97">
        <v>2</v>
      </c>
      <c r="K638" s="97">
        <f t="shared" si="9"/>
        <v>578</v>
      </c>
      <c r="L638" s="97">
        <f>_xlfn.XLOOKUP(E638,Emp_Data!$B$2:$B$9,Emp_Data!$A$2:$A$9)</f>
        <v>5</v>
      </c>
    </row>
    <row r="639" spans="1:12">
      <c r="A639" s="99">
        <v>1151</v>
      </c>
      <c r="B639" s="101">
        <v>44564</v>
      </c>
      <c r="C639" s="96">
        <v>1</v>
      </c>
      <c r="D639" s="104" t="s">
        <v>31</v>
      </c>
      <c r="E639" s="97" t="s">
        <v>21</v>
      </c>
      <c r="F639" s="97" t="str">
        <f>VLOOKUP(E639,Emp_Data!$B$2:$C$9,2,)</f>
        <v>Sara</v>
      </c>
      <c r="G639" s="97" t="s">
        <v>15</v>
      </c>
      <c r="H639" s="97" t="s">
        <v>40</v>
      </c>
      <c r="I639" s="97">
        <v>289</v>
      </c>
      <c r="J639" s="97">
        <v>4</v>
      </c>
      <c r="K639" s="97">
        <f t="shared" si="9"/>
        <v>1156</v>
      </c>
      <c r="L639" s="97">
        <f>_xlfn.XLOOKUP(E639,Emp_Data!$B$2:$B$9,Emp_Data!$A$2:$A$9)</f>
        <v>2</v>
      </c>
    </row>
    <row r="640" spans="1:12">
      <c r="A640" s="99">
        <v>1156</v>
      </c>
      <c r="B640" s="101">
        <v>44566</v>
      </c>
      <c r="C640" s="96">
        <v>15</v>
      </c>
      <c r="D640" s="104" t="s">
        <v>29</v>
      </c>
      <c r="E640" s="97" t="s">
        <v>24</v>
      </c>
      <c r="F640" s="97" t="str">
        <f>VLOOKUP(E640,Emp_Data!$B$2:$C$9,2,)</f>
        <v>Steve</v>
      </c>
      <c r="G640" s="97" t="s">
        <v>19</v>
      </c>
      <c r="H640" s="97" t="s">
        <v>40</v>
      </c>
      <c r="I640" s="97">
        <v>289</v>
      </c>
      <c r="J640" s="97">
        <v>0</v>
      </c>
      <c r="K640" s="97">
        <f t="shared" si="9"/>
        <v>0</v>
      </c>
      <c r="L640" s="97">
        <f>_xlfn.XLOOKUP(E640,Emp_Data!$B$2:$B$9,Emp_Data!$A$2:$A$9)</f>
        <v>6</v>
      </c>
    </row>
    <row r="641" spans="1:12">
      <c r="A641" s="99">
        <v>1161</v>
      </c>
      <c r="B641" s="101">
        <v>44567</v>
      </c>
      <c r="C641" s="96">
        <v>10</v>
      </c>
      <c r="D641" s="104" t="s">
        <v>34</v>
      </c>
      <c r="E641" s="97" t="s">
        <v>11</v>
      </c>
      <c r="F641" s="97" t="str">
        <f>VLOOKUP(E641,Emp_Data!$B$2:$C$9,2,)</f>
        <v>Steve</v>
      </c>
      <c r="G641" s="97" t="s">
        <v>12</v>
      </c>
      <c r="H641" s="97" t="s">
        <v>40</v>
      </c>
      <c r="I641" s="97">
        <v>289</v>
      </c>
      <c r="J641" s="97">
        <v>3</v>
      </c>
      <c r="K641" s="97">
        <f t="shared" si="9"/>
        <v>867</v>
      </c>
      <c r="L641" s="97">
        <f>_xlfn.XLOOKUP(E641,Emp_Data!$B$2:$B$9,Emp_Data!$A$2:$A$9)</f>
        <v>4</v>
      </c>
    </row>
    <row r="642" spans="1:12">
      <c r="A642" s="99">
        <v>1166</v>
      </c>
      <c r="B642" s="101">
        <v>44568</v>
      </c>
      <c r="C642" s="96">
        <v>13</v>
      </c>
      <c r="D642" s="104" t="s">
        <v>23</v>
      </c>
      <c r="E642" s="97" t="s">
        <v>24</v>
      </c>
      <c r="F642" s="97" t="str">
        <f>VLOOKUP(E642,Emp_Data!$B$2:$C$9,2,)</f>
        <v>Steve</v>
      </c>
      <c r="G642" s="97" t="s">
        <v>19</v>
      </c>
      <c r="H642" s="97" t="s">
        <v>40</v>
      </c>
      <c r="I642" s="97">
        <v>289</v>
      </c>
      <c r="J642" s="97">
        <v>9</v>
      </c>
      <c r="K642" s="97">
        <f t="shared" si="9"/>
        <v>2601</v>
      </c>
      <c r="L642" s="97">
        <f>_xlfn.XLOOKUP(E642,Emp_Data!$B$2:$B$9,Emp_Data!$A$2:$A$9)</f>
        <v>6</v>
      </c>
    </row>
    <row r="643" spans="1:12">
      <c r="A643" s="99">
        <v>1182</v>
      </c>
      <c r="B643" s="101">
        <v>44574</v>
      </c>
      <c r="C643" s="96">
        <v>15</v>
      </c>
      <c r="D643" s="104" t="s">
        <v>29</v>
      </c>
      <c r="E643" s="97" t="s">
        <v>24</v>
      </c>
      <c r="F643" s="97" t="str">
        <f>VLOOKUP(E643,Emp_Data!$B$2:$C$9,2,)</f>
        <v>Steve</v>
      </c>
      <c r="G643" s="97" t="s">
        <v>19</v>
      </c>
      <c r="H643" s="97" t="s">
        <v>40</v>
      </c>
      <c r="I643" s="97">
        <v>289</v>
      </c>
      <c r="J643" s="97">
        <v>2</v>
      </c>
      <c r="K643" s="97">
        <f t="shared" ref="K643:K706" si="10">SUMPRODUCT(I643,J643)</f>
        <v>578</v>
      </c>
      <c r="L643" s="97">
        <f>_xlfn.XLOOKUP(E643,Emp_Data!$B$2:$B$9,Emp_Data!$A$2:$A$9)</f>
        <v>6</v>
      </c>
    </row>
    <row r="644" spans="1:12">
      <c r="A644" s="99">
        <v>1194</v>
      </c>
      <c r="B644" s="101">
        <v>44575</v>
      </c>
      <c r="C644" s="96">
        <v>12</v>
      </c>
      <c r="D644" s="104" t="s">
        <v>17</v>
      </c>
      <c r="E644" s="97" t="s">
        <v>24</v>
      </c>
      <c r="F644" s="97" t="str">
        <f>VLOOKUP(E644,Emp_Data!$B$2:$C$9,2,)</f>
        <v>Steve</v>
      </c>
      <c r="G644" s="97" t="s">
        <v>19</v>
      </c>
      <c r="H644" s="97" t="s">
        <v>40</v>
      </c>
      <c r="I644" s="97">
        <v>289</v>
      </c>
      <c r="J644" s="97">
        <v>7</v>
      </c>
      <c r="K644" s="97">
        <f t="shared" si="10"/>
        <v>2023</v>
      </c>
      <c r="L644" s="97">
        <f>_xlfn.XLOOKUP(E644,Emp_Data!$B$2:$B$9,Emp_Data!$A$2:$A$9)</f>
        <v>6</v>
      </c>
    </row>
    <row r="645" spans="1:12">
      <c r="A645" s="99">
        <v>1196</v>
      </c>
      <c r="B645" s="101">
        <v>44576</v>
      </c>
      <c r="C645" s="96">
        <v>16</v>
      </c>
      <c r="D645" s="104" t="s">
        <v>37</v>
      </c>
      <c r="E645" s="97" t="s">
        <v>8</v>
      </c>
      <c r="F645" s="97" t="str">
        <f>VLOOKUP(E645,Emp_Data!$B$2:$C$9,2,)</f>
        <v>Jeff</v>
      </c>
      <c r="G645" s="97" t="s">
        <v>9</v>
      </c>
      <c r="H645" s="97" t="s">
        <v>40</v>
      </c>
      <c r="I645" s="97">
        <v>289</v>
      </c>
      <c r="J645" s="97">
        <v>9</v>
      </c>
      <c r="K645" s="97">
        <f t="shared" si="10"/>
        <v>2601</v>
      </c>
      <c r="L645" s="97">
        <f>_xlfn.XLOOKUP(E645,Emp_Data!$B$2:$B$9,Emp_Data!$A$2:$A$9)</f>
        <v>3</v>
      </c>
    </row>
    <row r="646" spans="1:12">
      <c r="A646" s="99">
        <v>1202</v>
      </c>
      <c r="B646" s="101">
        <v>44578</v>
      </c>
      <c r="C646" s="96">
        <v>18</v>
      </c>
      <c r="D646" s="104" t="s">
        <v>30</v>
      </c>
      <c r="E646" s="97" t="s">
        <v>8</v>
      </c>
      <c r="F646" s="97" t="str">
        <f>VLOOKUP(E646,Emp_Data!$B$2:$C$9,2,)</f>
        <v>Jeff</v>
      </c>
      <c r="G646" s="97" t="s">
        <v>9</v>
      </c>
      <c r="H646" s="97" t="s">
        <v>40</v>
      </c>
      <c r="I646" s="97">
        <v>289</v>
      </c>
      <c r="J646" s="97">
        <v>2</v>
      </c>
      <c r="K646" s="97">
        <f t="shared" si="10"/>
        <v>578</v>
      </c>
      <c r="L646" s="97">
        <f>_xlfn.XLOOKUP(E646,Emp_Data!$B$2:$B$9,Emp_Data!$A$2:$A$9)</f>
        <v>3</v>
      </c>
    </row>
    <row r="647" spans="1:12">
      <c r="A647" s="99">
        <v>1205</v>
      </c>
      <c r="B647" s="101">
        <v>44578</v>
      </c>
      <c r="C647" s="96">
        <v>7</v>
      </c>
      <c r="D647" s="104" t="s">
        <v>28</v>
      </c>
      <c r="E647" s="97" t="s">
        <v>27</v>
      </c>
      <c r="F647" s="97" t="str">
        <f>VLOOKUP(E647,Emp_Data!$B$2:$C$9,2,)</f>
        <v>Philip</v>
      </c>
      <c r="G647" s="97" t="s">
        <v>12</v>
      </c>
      <c r="H647" s="97" t="s">
        <v>40</v>
      </c>
      <c r="I647" s="97">
        <v>289</v>
      </c>
      <c r="J647" s="97">
        <v>5</v>
      </c>
      <c r="K647" s="97">
        <f t="shared" si="10"/>
        <v>1445</v>
      </c>
      <c r="L647" s="97">
        <f>_xlfn.XLOOKUP(E647,Emp_Data!$B$2:$B$9,Emp_Data!$A$2:$A$9)</f>
        <v>8</v>
      </c>
    </row>
    <row r="648" spans="1:12">
      <c r="A648" s="99">
        <v>1214</v>
      </c>
      <c r="B648" s="101">
        <v>44582</v>
      </c>
      <c r="C648" s="96">
        <v>8</v>
      </c>
      <c r="D648" s="104" t="s">
        <v>36</v>
      </c>
      <c r="E648" s="97" t="s">
        <v>11</v>
      </c>
      <c r="F648" s="97" t="str">
        <f>VLOOKUP(E648,Emp_Data!$B$2:$C$9,2,)</f>
        <v>Steve</v>
      </c>
      <c r="G648" s="97" t="s">
        <v>12</v>
      </c>
      <c r="H648" s="97" t="s">
        <v>40</v>
      </c>
      <c r="I648" s="97">
        <v>289</v>
      </c>
      <c r="J648" s="97">
        <v>4</v>
      </c>
      <c r="K648" s="97">
        <f t="shared" si="10"/>
        <v>1156</v>
      </c>
      <c r="L648" s="97">
        <f>_xlfn.XLOOKUP(E648,Emp_Data!$B$2:$B$9,Emp_Data!$A$2:$A$9)</f>
        <v>4</v>
      </c>
    </row>
    <row r="649" spans="1:12">
      <c r="A649" s="99">
        <v>1219</v>
      </c>
      <c r="B649" s="101">
        <v>44583</v>
      </c>
      <c r="C649" s="96">
        <v>2</v>
      </c>
      <c r="D649" s="104" t="s">
        <v>35</v>
      </c>
      <c r="E649" s="97" t="s">
        <v>21</v>
      </c>
      <c r="F649" s="97" t="str">
        <f>VLOOKUP(E649,Emp_Data!$B$2:$C$9,2,)</f>
        <v>Sara</v>
      </c>
      <c r="G649" s="97" t="s">
        <v>15</v>
      </c>
      <c r="H649" s="97" t="s">
        <v>40</v>
      </c>
      <c r="I649" s="97">
        <v>289</v>
      </c>
      <c r="J649" s="97">
        <v>5</v>
      </c>
      <c r="K649" s="97">
        <f t="shared" si="10"/>
        <v>1445</v>
      </c>
      <c r="L649" s="97">
        <f>_xlfn.XLOOKUP(E649,Emp_Data!$B$2:$B$9,Emp_Data!$A$2:$A$9)</f>
        <v>2</v>
      </c>
    </row>
    <row r="650" spans="1:12">
      <c r="A650" s="99">
        <v>1220</v>
      </c>
      <c r="B650" s="101">
        <v>44583</v>
      </c>
      <c r="C650" s="96">
        <v>7</v>
      </c>
      <c r="D650" s="104" t="s">
        <v>28</v>
      </c>
      <c r="E650" s="97" t="s">
        <v>27</v>
      </c>
      <c r="F650" s="97" t="str">
        <f>VLOOKUP(E650,Emp_Data!$B$2:$C$9,2,)</f>
        <v>Philip</v>
      </c>
      <c r="G650" s="97" t="s">
        <v>12</v>
      </c>
      <c r="H650" s="97" t="s">
        <v>40</v>
      </c>
      <c r="I650" s="97">
        <v>289</v>
      </c>
      <c r="J650" s="97">
        <v>7</v>
      </c>
      <c r="K650" s="97">
        <f t="shared" si="10"/>
        <v>2023</v>
      </c>
      <c r="L650" s="97">
        <f>_xlfn.XLOOKUP(E650,Emp_Data!$B$2:$B$9,Emp_Data!$A$2:$A$9)</f>
        <v>8</v>
      </c>
    </row>
    <row r="651" spans="1:12">
      <c r="A651" s="99">
        <v>1228</v>
      </c>
      <c r="B651" s="101">
        <v>44588</v>
      </c>
      <c r="C651" s="96">
        <v>17</v>
      </c>
      <c r="D651" s="104" t="s">
        <v>32</v>
      </c>
      <c r="E651" s="97" t="s">
        <v>25</v>
      </c>
      <c r="F651" s="97" t="str">
        <f>VLOOKUP(E651,Emp_Data!$B$2:$C$9,2,)</f>
        <v>Jeff</v>
      </c>
      <c r="G651" s="97" t="s">
        <v>9</v>
      </c>
      <c r="H651" s="97" t="s">
        <v>40</v>
      </c>
      <c r="I651" s="97">
        <v>289</v>
      </c>
      <c r="J651" s="97">
        <v>2</v>
      </c>
      <c r="K651" s="97">
        <f t="shared" si="10"/>
        <v>578</v>
      </c>
      <c r="L651" s="97">
        <f>_xlfn.XLOOKUP(E651,Emp_Data!$B$2:$B$9,Emp_Data!$A$2:$A$9)</f>
        <v>5</v>
      </c>
    </row>
    <row r="652" spans="1:12">
      <c r="A652" s="99">
        <v>1235</v>
      </c>
      <c r="B652" s="101">
        <v>44590</v>
      </c>
      <c r="C652" s="96">
        <v>9</v>
      </c>
      <c r="D652" s="104" t="s">
        <v>26</v>
      </c>
      <c r="E652" s="97" t="s">
        <v>11</v>
      </c>
      <c r="F652" s="97" t="str">
        <f>VLOOKUP(E652,Emp_Data!$B$2:$C$9,2,)</f>
        <v>Steve</v>
      </c>
      <c r="G652" s="97" t="s">
        <v>12</v>
      </c>
      <c r="H652" s="97" t="s">
        <v>40</v>
      </c>
      <c r="I652" s="97">
        <v>289</v>
      </c>
      <c r="J652" s="97">
        <v>1</v>
      </c>
      <c r="K652" s="97">
        <f t="shared" si="10"/>
        <v>289</v>
      </c>
      <c r="L652" s="97">
        <f>_xlfn.XLOOKUP(E652,Emp_Data!$B$2:$B$9,Emp_Data!$A$2:$A$9)</f>
        <v>4</v>
      </c>
    </row>
    <row r="653" spans="1:12">
      <c r="A653" s="99">
        <v>1238</v>
      </c>
      <c r="B653" s="101">
        <v>44593</v>
      </c>
      <c r="C653" s="96">
        <v>13</v>
      </c>
      <c r="D653" s="104" t="s">
        <v>23</v>
      </c>
      <c r="E653" s="97" t="s">
        <v>24</v>
      </c>
      <c r="F653" s="97" t="str">
        <f>VLOOKUP(E653,Emp_Data!$B$2:$C$9,2,)</f>
        <v>Steve</v>
      </c>
      <c r="G653" s="97" t="s">
        <v>19</v>
      </c>
      <c r="H653" s="97" t="s">
        <v>40</v>
      </c>
      <c r="I653" s="97">
        <v>289</v>
      </c>
      <c r="J653" s="97">
        <v>9</v>
      </c>
      <c r="K653" s="97">
        <f t="shared" si="10"/>
        <v>2601</v>
      </c>
      <c r="L653" s="97">
        <f>_xlfn.XLOOKUP(E653,Emp_Data!$B$2:$B$9,Emp_Data!$A$2:$A$9)</f>
        <v>6</v>
      </c>
    </row>
    <row r="654" spans="1:12">
      <c r="A654" s="99">
        <v>1239</v>
      </c>
      <c r="B654" s="101">
        <v>44594</v>
      </c>
      <c r="C654" s="96">
        <v>8</v>
      </c>
      <c r="D654" s="104" t="s">
        <v>36</v>
      </c>
      <c r="E654" s="97" t="s">
        <v>27</v>
      </c>
      <c r="F654" s="97" t="str">
        <f>VLOOKUP(E654,Emp_Data!$B$2:$C$9,2,)</f>
        <v>Philip</v>
      </c>
      <c r="G654" s="97" t="s">
        <v>12</v>
      </c>
      <c r="H654" s="97" t="s">
        <v>40</v>
      </c>
      <c r="I654" s="97">
        <v>289</v>
      </c>
      <c r="J654" s="97">
        <v>3</v>
      </c>
      <c r="K654" s="97">
        <f t="shared" si="10"/>
        <v>867</v>
      </c>
      <c r="L654" s="97">
        <f>_xlfn.XLOOKUP(E654,Emp_Data!$B$2:$B$9,Emp_Data!$A$2:$A$9)</f>
        <v>8</v>
      </c>
    </row>
    <row r="655" spans="1:12">
      <c r="A655" s="99">
        <v>1242</v>
      </c>
      <c r="B655" s="101">
        <v>44596</v>
      </c>
      <c r="C655" s="96">
        <v>9</v>
      </c>
      <c r="D655" s="104" t="s">
        <v>26</v>
      </c>
      <c r="E655" s="97" t="s">
        <v>11</v>
      </c>
      <c r="F655" s="97" t="str">
        <f>VLOOKUP(E655,Emp_Data!$B$2:$C$9,2,)</f>
        <v>Steve</v>
      </c>
      <c r="G655" s="97" t="s">
        <v>12</v>
      </c>
      <c r="H655" s="97" t="s">
        <v>40</v>
      </c>
      <c r="I655" s="97">
        <v>289</v>
      </c>
      <c r="J655" s="97">
        <v>0</v>
      </c>
      <c r="K655" s="97">
        <f t="shared" si="10"/>
        <v>0</v>
      </c>
      <c r="L655" s="97">
        <f>_xlfn.XLOOKUP(E655,Emp_Data!$B$2:$B$9,Emp_Data!$A$2:$A$9)</f>
        <v>4</v>
      </c>
    </row>
    <row r="656" spans="1:12">
      <c r="A656" s="99">
        <v>1243</v>
      </c>
      <c r="B656" s="101">
        <v>44597</v>
      </c>
      <c r="C656" s="96">
        <v>16</v>
      </c>
      <c r="D656" s="104" t="s">
        <v>37</v>
      </c>
      <c r="E656" s="97" t="s">
        <v>8</v>
      </c>
      <c r="F656" s="97" t="str">
        <f>VLOOKUP(E656,Emp_Data!$B$2:$C$9,2,)</f>
        <v>Jeff</v>
      </c>
      <c r="G656" s="97" t="s">
        <v>9</v>
      </c>
      <c r="H656" s="97" t="s">
        <v>40</v>
      </c>
      <c r="I656" s="97">
        <v>289</v>
      </c>
      <c r="J656" s="97">
        <v>9</v>
      </c>
      <c r="K656" s="97">
        <f t="shared" si="10"/>
        <v>2601</v>
      </c>
      <c r="L656" s="97">
        <f>_xlfn.XLOOKUP(E656,Emp_Data!$B$2:$B$9,Emp_Data!$A$2:$A$9)</f>
        <v>3</v>
      </c>
    </row>
    <row r="657" spans="1:12">
      <c r="A657" s="99">
        <v>1244</v>
      </c>
      <c r="B657" s="101">
        <v>44597</v>
      </c>
      <c r="C657" s="96">
        <v>16</v>
      </c>
      <c r="D657" s="104" t="s">
        <v>37</v>
      </c>
      <c r="E657" s="97" t="s">
        <v>25</v>
      </c>
      <c r="F657" s="97" t="str">
        <f>VLOOKUP(E657,Emp_Data!$B$2:$C$9,2,)</f>
        <v>Jeff</v>
      </c>
      <c r="G657" s="97" t="s">
        <v>9</v>
      </c>
      <c r="H657" s="97" t="s">
        <v>40</v>
      </c>
      <c r="I657" s="97">
        <v>289</v>
      </c>
      <c r="J657" s="97">
        <v>9</v>
      </c>
      <c r="K657" s="97">
        <f t="shared" si="10"/>
        <v>2601</v>
      </c>
      <c r="L657" s="97">
        <f>_xlfn.XLOOKUP(E657,Emp_Data!$B$2:$B$9,Emp_Data!$A$2:$A$9)</f>
        <v>5</v>
      </c>
    </row>
    <row r="658" spans="1:12">
      <c r="A658" s="99">
        <v>1246</v>
      </c>
      <c r="B658" s="101">
        <v>44597</v>
      </c>
      <c r="C658" s="96">
        <v>3</v>
      </c>
      <c r="D658" s="104" t="s">
        <v>20</v>
      </c>
      <c r="E658" s="97" t="s">
        <v>21</v>
      </c>
      <c r="F658" s="97" t="str">
        <f>VLOOKUP(E658,Emp_Data!$B$2:$C$9,2,)</f>
        <v>Sara</v>
      </c>
      <c r="G658" s="97" t="s">
        <v>15</v>
      </c>
      <c r="H658" s="97" t="s">
        <v>40</v>
      </c>
      <c r="I658" s="97">
        <v>289</v>
      </c>
      <c r="J658" s="97">
        <v>9</v>
      </c>
      <c r="K658" s="97">
        <f t="shared" si="10"/>
        <v>2601</v>
      </c>
      <c r="L658" s="97">
        <f>_xlfn.XLOOKUP(E658,Emp_Data!$B$2:$B$9,Emp_Data!$A$2:$A$9)</f>
        <v>2</v>
      </c>
    </row>
    <row r="659" spans="1:12">
      <c r="A659" s="99">
        <v>1252</v>
      </c>
      <c r="B659" s="101">
        <v>44598</v>
      </c>
      <c r="C659" s="96">
        <v>9</v>
      </c>
      <c r="D659" s="104" t="s">
        <v>26</v>
      </c>
      <c r="E659" s="97" t="s">
        <v>27</v>
      </c>
      <c r="F659" s="97" t="str">
        <f>VLOOKUP(E659,Emp_Data!$B$2:$C$9,2,)</f>
        <v>Philip</v>
      </c>
      <c r="G659" s="97" t="s">
        <v>12</v>
      </c>
      <c r="H659" s="97" t="s">
        <v>40</v>
      </c>
      <c r="I659" s="97">
        <v>289</v>
      </c>
      <c r="J659" s="97">
        <v>4</v>
      </c>
      <c r="K659" s="97">
        <f t="shared" si="10"/>
        <v>1156</v>
      </c>
      <c r="L659" s="97">
        <f>_xlfn.XLOOKUP(E659,Emp_Data!$B$2:$B$9,Emp_Data!$A$2:$A$9)</f>
        <v>8</v>
      </c>
    </row>
    <row r="660" spans="1:12">
      <c r="A660" s="99">
        <v>1270</v>
      </c>
      <c r="B660" s="101">
        <v>44607</v>
      </c>
      <c r="C660" s="96">
        <v>1</v>
      </c>
      <c r="D660" s="104" t="s">
        <v>31</v>
      </c>
      <c r="E660" s="97" t="s">
        <v>21</v>
      </c>
      <c r="F660" s="97" t="str">
        <f>VLOOKUP(E660,Emp_Data!$B$2:$C$9,2,)</f>
        <v>Sara</v>
      </c>
      <c r="G660" s="97" t="s">
        <v>15</v>
      </c>
      <c r="H660" s="97" t="s">
        <v>40</v>
      </c>
      <c r="I660" s="97">
        <v>289</v>
      </c>
      <c r="J660" s="97">
        <v>7</v>
      </c>
      <c r="K660" s="97">
        <f t="shared" si="10"/>
        <v>2023</v>
      </c>
      <c r="L660" s="97">
        <f>_xlfn.XLOOKUP(E660,Emp_Data!$B$2:$B$9,Emp_Data!$A$2:$A$9)</f>
        <v>2</v>
      </c>
    </row>
    <row r="661" spans="1:12">
      <c r="A661" s="99">
        <v>1272</v>
      </c>
      <c r="B661" s="101">
        <v>44609</v>
      </c>
      <c r="C661" s="96">
        <v>11</v>
      </c>
      <c r="D661" s="104" t="s">
        <v>38</v>
      </c>
      <c r="E661" s="97" t="s">
        <v>24</v>
      </c>
      <c r="F661" s="97" t="str">
        <f>VLOOKUP(E661,Emp_Data!$B$2:$C$9,2,)</f>
        <v>Steve</v>
      </c>
      <c r="G661" s="97" t="s">
        <v>19</v>
      </c>
      <c r="H661" s="97" t="s">
        <v>40</v>
      </c>
      <c r="I661" s="97">
        <v>289</v>
      </c>
      <c r="J661" s="97">
        <v>4</v>
      </c>
      <c r="K661" s="97">
        <f t="shared" si="10"/>
        <v>1156</v>
      </c>
      <c r="L661" s="97">
        <f>_xlfn.XLOOKUP(E661,Emp_Data!$B$2:$B$9,Emp_Data!$A$2:$A$9)</f>
        <v>6</v>
      </c>
    </row>
    <row r="662" spans="1:12">
      <c r="A662" s="99">
        <v>1274</v>
      </c>
      <c r="B662" s="101">
        <v>44610</v>
      </c>
      <c r="C662" s="96">
        <v>5</v>
      </c>
      <c r="D662" s="104" t="s">
        <v>16</v>
      </c>
      <c r="E662" s="97" t="s">
        <v>21</v>
      </c>
      <c r="F662" s="97" t="str">
        <f>VLOOKUP(E662,Emp_Data!$B$2:$C$9,2,)</f>
        <v>Sara</v>
      </c>
      <c r="G662" s="97" t="s">
        <v>15</v>
      </c>
      <c r="H662" s="97" t="s">
        <v>40</v>
      </c>
      <c r="I662" s="97">
        <v>289</v>
      </c>
      <c r="J662" s="97">
        <v>0</v>
      </c>
      <c r="K662" s="97">
        <f t="shared" si="10"/>
        <v>0</v>
      </c>
      <c r="L662" s="97">
        <f>_xlfn.XLOOKUP(E662,Emp_Data!$B$2:$B$9,Emp_Data!$A$2:$A$9)</f>
        <v>2</v>
      </c>
    </row>
    <row r="663" spans="1:12">
      <c r="A663" s="99">
        <v>1280</v>
      </c>
      <c r="B663" s="101">
        <v>44611</v>
      </c>
      <c r="C663" s="96">
        <v>3</v>
      </c>
      <c r="D663" s="104" t="s">
        <v>20</v>
      </c>
      <c r="E663" s="97" t="s">
        <v>14</v>
      </c>
      <c r="F663" s="97" t="str">
        <f>VLOOKUP(E663,Emp_Data!$B$2:$C$9,2,)</f>
        <v>Jeff</v>
      </c>
      <c r="G663" s="97" t="s">
        <v>15</v>
      </c>
      <c r="H663" s="97" t="s">
        <v>40</v>
      </c>
      <c r="I663" s="97">
        <v>289</v>
      </c>
      <c r="J663" s="97">
        <v>7</v>
      </c>
      <c r="K663" s="97">
        <f t="shared" si="10"/>
        <v>2023</v>
      </c>
      <c r="L663" s="97">
        <f>_xlfn.XLOOKUP(E663,Emp_Data!$B$2:$B$9,Emp_Data!$A$2:$A$9)</f>
        <v>2</v>
      </c>
    </row>
    <row r="664" spans="1:12">
      <c r="A664" s="99">
        <v>1286</v>
      </c>
      <c r="B664" s="101">
        <v>44611</v>
      </c>
      <c r="C664" s="96">
        <v>3</v>
      </c>
      <c r="D664" s="104" t="s">
        <v>20</v>
      </c>
      <c r="E664" s="97" t="s">
        <v>14</v>
      </c>
      <c r="F664" s="97" t="str">
        <f>VLOOKUP(E664,Emp_Data!$B$2:$C$9,2,)</f>
        <v>Jeff</v>
      </c>
      <c r="G664" s="97" t="s">
        <v>15</v>
      </c>
      <c r="H664" s="97" t="s">
        <v>40</v>
      </c>
      <c r="I664" s="97">
        <v>289</v>
      </c>
      <c r="J664" s="97">
        <v>7</v>
      </c>
      <c r="K664" s="97">
        <f t="shared" si="10"/>
        <v>2023</v>
      </c>
      <c r="L664" s="97">
        <f>_xlfn.XLOOKUP(E664,Emp_Data!$B$2:$B$9,Emp_Data!$A$2:$A$9)</f>
        <v>2</v>
      </c>
    </row>
    <row r="665" spans="1:12">
      <c r="A665" s="99">
        <v>1290</v>
      </c>
      <c r="B665" s="101">
        <v>44611</v>
      </c>
      <c r="C665" s="96">
        <v>14</v>
      </c>
      <c r="D665" s="104" t="s">
        <v>33</v>
      </c>
      <c r="E665" s="97" t="s">
        <v>24</v>
      </c>
      <c r="F665" s="97" t="str">
        <f>VLOOKUP(E665,Emp_Data!$B$2:$C$9,2,)</f>
        <v>Steve</v>
      </c>
      <c r="G665" s="97" t="s">
        <v>19</v>
      </c>
      <c r="H665" s="97" t="s">
        <v>40</v>
      </c>
      <c r="I665" s="97">
        <v>289</v>
      </c>
      <c r="J665" s="97">
        <v>9</v>
      </c>
      <c r="K665" s="97">
        <f t="shared" si="10"/>
        <v>2601</v>
      </c>
      <c r="L665" s="97">
        <f>_xlfn.XLOOKUP(E665,Emp_Data!$B$2:$B$9,Emp_Data!$A$2:$A$9)</f>
        <v>6</v>
      </c>
    </row>
    <row r="666" spans="1:12">
      <c r="A666" s="99">
        <v>1291</v>
      </c>
      <c r="B666" s="101">
        <v>44612</v>
      </c>
      <c r="C666" s="96">
        <v>8</v>
      </c>
      <c r="D666" s="104" t="s">
        <v>36</v>
      </c>
      <c r="E666" s="97" t="s">
        <v>11</v>
      </c>
      <c r="F666" s="97" t="str">
        <f>VLOOKUP(E666,Emp_Data!$B$2:$C$9,2,)</f>
        <v>Steve</v>
      </c>
      <c r="G666" s="97" t="s">
        <v>12</v>
      </c>
      <c r="H666" s="97" t="s">
        <v>40</v>
      </c>
      <c r="I666" s="97">
        <v>289</v>
      </c>
      <c r="J666" s="97">
        <v>5</v>
      </c>
      <c r="K666" s="97">
        <f t="shared" si="10"/>
        <v>1445</v>
      </c>
      <c r="L666" s="97">
        <f>_xlfn.XLOOKUP(E666,Emp_Data!$B$2:$B$9,Emp_Data!$A$2:$A$9)</f>
        <v>4</v>
      </c>
    </row>
    <row r="667" spans="1:12">
      <c r="A667" s="99">
        <v>1294</v>
      </c>
      <c r="B667" s="101">
        <v>44613</v>
      </c>
      <c r="C667" s="96">
        <v>8</v>
      </c>
      <c r="D667" s="104" t="s">
        <v>36</v>
      </c>
      <c r="E667" s="97" t="s">
        <v>11</v>
      </c>
      <c r="F667" s="97" t="str">
        <f>VLOOKUP(E667,Emp_Data!$B$2:$C$9,2,)</f>
        <v>Steve</v>
      </c>
      <c r="G667" s="97" t="s">
        <v>12</v>
      </c>
      <c r="H667" s="97" t="s">
        <v>40</v>
      </c>
      <c r="I667" s="97">
        <v>289</v>
      </c>
      <c r="J667" s="97">
        <v>1</v>
      </c>
      <c r="K667" s="97">
        <f t="shared" si="10"/>
        <v>289</v>
      </c>
      <c r="L667" s="97">
        <f>_xlfn.XLOOKUP(E667,Emp_Data!$B$2:$B$9,Emp_Data!$A$2:$A$9)</f>
        <v>4</v>
      </c>
    </row>
    <row r="668" spans="1:12">
      <c r="A668" s="99">
        <v>1296</v>
      </c>
      <c r="B668" s="101">
        <v>44614</v>
      </c>
      <c r="C668" s="96">
        <v>20</v>
      </c>
      <c r="D668" s="104" t="s">
        <v>7</v>
      </c>
      <c r="E668" s="97" t="s">
        <v>25</v>
      </c>
      <c r="F668" s="97" t="str">
        <f>VLOOKUP(E668,Emp_Data!$B$2:$C$9,2,)</f>
        <v>Jeff</v>
      </c>
      <c r="G668" s="97" t="s">
        <v>9</v>
      </c>
      <c r="H668" s="97" t="s">
        <v>40</v>
      </c>
      <c r="I668" s="97">
        <v>289</v>
      </c>
      <c r="J668" s="97">
        <v>0</v>
      </c>
      <c r="K668" s="97">
        <f t="shared" si="10"/>
        <v>0</v>
      </c>
      <c r="L668" s="97">
        <f>_xlfn.XLOOKUP(E668,Emp_Data!$B$2:$B$9,Emp_Data!$A$2:$A$9)</f>
        <v>5</v>
      </c>
    </row>
    <row r="669" spans="1:12">
      <c r="A669" s="99">
        <v>1297</v>
      </c>
      <c r="B669" s="101">
        <v>44614</v>
      </c>
      <c r="C669" s="96">
        <v>13</v>
      </c>
      <c r="D669" s="104" t="s">
        <v>23</v>
      </c>
      <c r="E669" s="97" t="s">
        <v>18</v>
      </c>
      <c r="F669" s="97" t="str">
        <f>VLOOKUP(E669,Emp_Data!$B$2:$C$9,2,)</f>
        <v>Sara</v>
      </c>
      <c r="G669" s="97" t="s">
        <v>19</v>
      </c>
      <c r="H669" s="97" t="s">
        <v>40</v>
      </c>
      <c r="I669" s="97">
        <v>289</v>
      </c>
      <c r="J669" s="97">
        <v>7</v>
      </c>
      <c r="K669" s="97">
        <f t="shared" si="10"/>
        <v>2023</v>
      </c>
      <c r="L669" s="97">
        <f>_xlfn.XLOOKUP(E669,Emp_Data!$B$2:$B$9,Emp_Data!$A$2:$A$9)</f>
        <v>5</v>
      </c>
    </row>
    <row r="670" spans="1:12">
      <c r="A670" s="99">
        <v>1300</v>
      </c>
      <c r="B670" s="101">
        <v>44614</v>
      </c>
      <c r="C670" s="96">
        <v>16</v>
      </c>
      <c r="D670" s="104" t="s">
        <v>37</v>
      </c>
      <c r="E670" s="97" t="s">
        <v>25</v>
      </c>
      <c r="F670" s="97" t="str">
        <f>VLOOKUP(E670,Emp_Data!$B$2:$C$9,2,)</f>
        <v>Jeff</v>
      </c>
      <c r="G670" s="97" t="s">
        <v>9</v>
      </c>
      <c r="H670" s="97" t="s">
        <v>40</v>
      </c>
      <c r="I670" s="97">
        <v>289</v>
      </c>
      <c r="J670" s="97">
        <v>3</v>
      </c>
      <c r="K670" s="97">
        <f t="shared" si="10"/>
        <v>867</v>
      </c>
      <c r="L670" s="97">
        <f>_xlfn.XLOOKUP(E670,Emp_Data!$B$2:$B$9,Emp_Data!$A$2:$A$9)</f>
        <v>5</v>
      </c>
    </row>
    <row r="671" spans="1:12">
      <c r="A671" s="99">
        <v>1302</v>
      </c>
      <c r="B671" s="101">
        <v>44614</v>
      </c>
      <c r="C671" s="96">
        <v>20</v>
      </c>
      <c r="D671" s="104" t="s">
        <v>7</v>
      </c>
      <c r="E671" s="97" t="s">
        <v>8</v>
      </c>
      <c r="F671" s="97" t="str">
        <f>VLOOKUP(E671,Emp_Data!$B$2:$C$9,2,)</f>
        <v>Jeff</v>
      </c>
      <c r="G671" s="97" t="s">
        <v>9</v>
      </c>
      <c r="H671" s="97" t="s">
        <v>40</v>
      </c>
      <c r="I671" s="97">
        <v>289</v>
      </c>
      <c r="J671" s="97">
        <v>0</v>
      </c>
      <c r="K671" s="97">
        <f t="shared" si="10"/>
        <v>0</v>
      </c>
      <c r="L671" s="97">
        <f>_xlfn.XLOOKUP(E671,Emp_Data!$B$2:$B$9,Emp_Data!$A$2:$A$9)</f>
        <v>3</v>
      </c>
    </row>
    <row r="672" spans="1:12">
      <c r="A672" s="99">
        <v>1303</v>
      </c>
      <c r="B672" s="101">
        <v>44614</v>
      </c>
      <c r="C672" s="96">
        <v>3</v>
      </c>
      <c r="D672" s="104" t="s">
        <v>20</v>
      </c>
      <c r="E672" s="97" t="s">
        <v>14</v>
      </c>
      <c r="F672" s="97" t="str">
        <f>VLOOKUP(E672,Emp_Data!$B$2:$C$9,2,)</f>
        <v>Jeff</v>
      </c>
      <c r="G672" s="97" t="s">
        <v>15</v>
      </c>
      <c r="H672" s="97" t="s">
        <v>40</v>
      </c>
      <c r="I672" s="97">
        <v>289</v>
      </c>
      <c r="J672" s="97">
        <v>7</v>
      </c>
      <c r="K672" s="97">
        <f t="shared" si="10"/>
        <v>2023</v>
      </c>
      <c r="L672" s="97">
        <f>_xlfn.XLOOKUP(E672,Emp_Data!$B$2:$B$9,Emp_Data!$A$2:$A$9)</f>
        <v>2</v>
      </c>
    </row>
    <row r="673" spans="1:12">
      <c r="A673" s="99">
        <v>1310</v>
      </c>
      <c r="B673" s="101">
        <v>44616</v>
      </c>
      <c r="C673" s="96">
        <v>8</v>
      </c>
      <c r="D673" s="104" t="s">
        <v>36</v>
      </c>
      <c r="E673" s="97" t="s">
        <v>11</v>
      </c>
      <c r="F673" s="97" t="str">
        <f>VLOOKUP(E673,Emp_Data!$B$2:$C$9,2,)</f>
        <v>Steve</v>
      </c>
      <c r="G673" s="97" t="s">
        <v>12</v>
      </c>
      <c r="H673" s="97" t="s">
        <v>40</v>
      </c>
      <c r="I673" s="97">
        <v>289</v>
      </c>
      <c r="J673" s="97">
        <v>0</v>
      </c>
      <c r="K673" s="97">
        <f t="shared" si="10"/>
        <v>0</v>
      </c>
      <c r="L673" s="97">
        <f>_xlfn.XLOOKUP(E673,Emp_Data!$B$2:$B$9,Emp_Data!$A$2:$A$9)</f>
        <v>4</v>
      </c>
    </row>
    <row r="674" spans="1:12">
      <c r="A674" s="99">
        <v>1317</v>
      </c>
      <c r="B674" s="101">
        <v>44618</v>
      </c>
      <c r="C674" s="96">
        <v>3</v>
      </c>
      <c r="D674" s="104" t="s">
        <v>20</v>
      </c>
      <c r="E674" s="97" t="s">
        <v>14</v>
      </c>
      <c r="F674" s="97" t="str">
        <f>VLOOKUP(E674,Emp_Data!$B$2:$C$9,2,)</f>
        <v>Jeff</v>
      </c>
      <c r="G674" s="97" t="s">
        <v>15</v>
      </c>
      <c r="H674" s="97" t="s">
        <v>40</v>
      </c>
      <c r="I674" s="97">
        <v>289</v>
      </c>
      <c r="J674" s="97">
        <v>3</v>
      </c>
      <c r="K674" s="97">
        <f t="shared" si="10"/>
        <v>867</v>
      </c>
      <c r="L674" s="97">
        <f>_xlfn.XLOOKUP(E674,Emp_Data!$B$2:$B$9,Emp_Data!$A$2:$A$9)</f>
        <v>2</v>
      </c>
    </row>
    <row r="675" spans="1:12">
      <c r="A675" s="99">
        <v>1323</v>
      </c>
      <c r="B675" s="101">
        <v>44620</v>
      </c>
      <c r="C675" s="96">
        <v>12</v>
      </c>
      <c r="D675" s="104" t="s">
        <v>17</v>
      </c>
      <c r="E675" s="97" t="s">
        <v>18</v>
      </c>
      <c r="F675" s="97" t="str">
        <f>VLOOKUP(E675,Emp_Data!$B$2:$C$9,2,)</f>
        <v>Sara</v>
      </c>
      <c r="G675" s="97" t="s">
        <v>19</v>
      </c>
      <c r="H675" s="97" t="s">
        <v>40</v>
      </c>
      <c r="I675" s="97">
        <v>289</v>
      </c>
      <c r="J675" s="97">
        <v>1</v>
      </c>
      <c r="K675" s="97">
        <f t="shared" si="10"/>
        <v>289</v>
      </c>
      <c r="L675" s="97">
        <f>_xlfn.XLOOKUP(E675,Emp_Data!$B$2:$B$9,Emp_Data!$A$2:$A$9)</f>
        <v>5</v>
      </c>
    </row>
    <row r="676" spans="1:12">
      <c r="A676" s="99">
        <v>1329</v>
      </c>
      <c r="B676" s="101">
        <v>44622</v>
      </c>
      <c r="C676" s="96">
        <v>19</v>
      </c>
      <c r="D676" s="104" t="s">
        <v>22</v>
      </c>
      <c r="E676" s="97" t="s">
        <v>8</v>
      </c>
      <c r="F676" s="97" t="str">
        <f>VLOOKUP(E676,Emp_Data!$B$2:$C$9,2,)</f>
        <v>Jeff</v>
      </c>
      <c r="G676" s="97" t="s">
        <v>9</v>
      </c>
      <c r="H676" s="97" t="s">
        <v>40</v>
      </c>
      <c r="I676" s="97">
        <v>289</v>
      </c>
      <c r="J676" s="97">
        <v>7</v>
      </c>
      <c r="K676" s="97">
        <f t="shared" si="10"/>
        <v>2023</v>
      </c>
      <c r="L676" s="97">
        <f>_xlfn.XLOOKUP(E676,Emp_Data!$B$2:$B$9,Emp_Data!$A$2:$A$9)</f>
        <v>3</v>
      </c>
    </row>
    <row r="677" spans="1:12">
      <c r="A677" s="99">
        <v>1331</v>
      </c>
      <c r="B677" s="101">
        <v>44623</v>
      </c>
      <c r="C677" s="96">
        <v>5</v>
      </c>
      <c r="D677" s="104" t="s">
        <v>16</v>
      </c>
      <c r="E677" s="97" t="s">
        <v>21</v>
      </c>
      <c r="F677" s="97" t="str">
        <f>VLOOKUP(E677,Emp_Data!$B$2:$C$9,2,)</f>
        <v>Sara</v>
      </c>
      <c r="G677" s="97" t="s">
        <v>15</v>
      </c>
      <c r="H677" s="97" t="s">
        <v>40</v>
      </c>
      <c r="I677" s="97">
        <v>289</v>
      </c>
      <c r="J677" s="97">
        <v>5</v>
      </c>
      <c r="K677" s="97">
        <f t="shared" si="10"/>
        <v>1445</v>
      </c>
      <c r="L677" s="97">
        <f>_xlfn.XLOOKUP(E677,Emp_Data!$B$2:$B$9,Emp_Data!$A$2:$A$9)</f>
        <v>2</v>
      </c>
    </row>
    <row r="678" spans="1:12">
      <c r="A678" s="99">
        <v>1332</v>
      </c>
      <c r="B678" s="101">
        <v>44624</v>
      </c>
      <c r="C678" s="96">
        <v>2</v>
      </c>
      <c r="D678" s="104" t="s">
        <v>35</v>
      </c>
      <c r="E678" s="97" t="s">
        <v>14</v>
      </c>
      <c r="F678" s="97" t="str">
        <f>VLOOKUP(E678,Emp_Data!$B$2:$C$9,2,)</f>
        <v>Jeff</v>
      </c>
      <c r="G678" s="97" t="s">
        <v>15</v>
      </c>
      <c r="H678" s="97" t="s">
        <v>40</v>
      </c>
      <c r="I678" s="97">
        <v>289</v>
      </c>
      <c r="J678" s="97">
        <v>0</v>
      </c>
      <c r="K678" s="97">
        <f t="shared" si="10"/>
        <v>0</v>
      </c>
      <c r="L678" s="97">
        <f>_xlfn.XLOOKUP(E678,Emp_Data!$B$2:$B$9,Emp_Data!$A$2:$A$9)</f>
        <v>2</v>
      </c>
    </row>
    <row r="679" spans="1:12">
      <c r="A679" s="99">
        <v>1351</v>
      </c>
      <c r="B679" s="101">
        <v>44630</v>
      </c>
      <c r="C679" s="96">
        <v>8</v>
      </c>
      <c r="D679" s="104" t="s">
        <v>36</v>
      </c>
      <c r="E679" s="97" t="s">
        <v>11</v>
      </c>
      <c r="F679" s="97" t="str">
        <f>VLOOKUP(E679,Emp_Data!$B$2:$C$9,2,)</f>
        <v>Steve</v>
      </c>
      <c r="G679" s="97" t="s">
        <v>12</v>
      </c>
      <c r="H679" s="97" t="s">
        <v>40</v>
      </c>
      <c r="I679" s="97">
        <v>289</v>
      </c>
      <c r="J679" s="97">
        <v>9</v>
      </c>
      <c r="K679" s="97">
        <f t="shared" si="10"/>
        <v>2601</v>
      </c>
      <c r="L679" s="97">
        <f>_xlfn.XLOOKUP(E679,Emp_Data!$B$2:$B$9,Emp_Data!$A$2:$A$9)</f>
        <v>4</v>
      </c>
    </row>
    <row r="680" spans="1:12">
      <c r="A680" s="99">
        <v>1355</v>
      </c>
      <c r="B680" s="101">
        <v>44631</v>
      </c>
      <c r="C680" s="96">
        <v>16</v>
      </c>
      <c r="D680" s="104" t="s">
        <v>37</v>
      </c>
      <c r="E680" s="97" t="s">
        <v>25</v>
      </c>
      <c r="F680" s="97" t="str">
        <f>VLOOKUP(E680,Emp_Data!$B$2:$C$9,2,)</f>
        <v>Jeff</v>
      </c>
      <c r="G680" s="97" t="s">
        <v>9</v>
      </c>
      <c r="H680" s="97" t="s">
        <v>40</v>
      </c>
      <c r="I680" s="97">
        <v>289</v>
      </c>
      <c r="J680" s="97">
        <v>6</v>
      </c>
      <c r="K680" s="97">
        <f t="shared" si="10"/>
        <v>1734</v>
      </c>
      <c r="L680" s="97">
        <f>_xlfn.XLOOKUP(E680,Emp_Data!$B$2:$B$9,Emp_Data!$A$2:$A$9)</f>
        <v>5</v>
      </c>
    </row>
    <row r="681" spans="1:12">
      <c r="A681" s="99">
        <v>1357</v>
      </c>
      <c r="B681" s="101">
        <v>44631</v>
      </c>
      <c r="C681" s="96">
        <v>4</v>
      </c>
      <c r="D681" s="104" t="s">
        <v>13</v>
      </c>
      <c r="E681" s="97" t="s">
        <v>14</v>
      </c>
      <c r="F681" s="97" t="str">
        <f>VLOOKUP(E681,Emp_Data!$B$2:$C$9,2,)</f>
        <v>Jeff</v>
      </c>
      <c r="G681" s="97" t="s">
        <v>15</v>
      </c>
      <c r="H681" s="97" t="s">
        <v>40</v>
      </c>
      <c r="I681" s="97">
        <v>289</v>
      </c>
      <c r="J681" s="97">
        <v>6</v>
      </c>
      <c r="K681" s="97">
        <f t="shared" si="10"/>
        <v>1734</v>
      </c>
      <c r="L681" s="97">
        <f>_xlfn.XLOOKUP(E681,Emp_Data!$B$2:$B$9,Emp_Data!$A$2:$A$9)</f>
        <v>2</v>
      </c>
    </row>
    <row r="682" spans="1:12">
      <c r="A682" s="99">
        <v>1359</v>
      </c>
      <c r="B682" s="101">
        <v>44631</v>
      </c>
      <c r="C682" s="96">
        <v>4</v>
      </c>
      <c r="D682" s="104" t="s">
        <v>13</v>
      </c>
      <c r="E682" s="97" t="s">
        <v>14</v>
      </c>
      <c r="F682" s="97" t="str">
        <f>VLOOKUP(E682,Emp_Data!$B$2:$C$9,2,)</f>
        <v>Jeff</v>
      </c>
      <c r="G682" s="97" t="s">
        <v>15</v>
      </c>
      <c r="H682" s="97" t="s">
        <v>40</v>
      </c>
      <c r="I682" s="97">
        <v>289</v>
      </c>
      <c r="J682" s="97">
        <v>2</v>
      </c>
      <c r="K682" s="97">
        <f t="shared" si="10"/>
        <v>578</v>
      </c>
      <c r="L682" s="97">
        <f>_xlfn.XLOOKUP(E682,Emp_Data!$B$2:$B$9,Emp_Data!$A$2:$A$9)</f>
        <v>2</v>
      </c>
    </row>
    <row r="683" spans="1:12">
      <c r="A683" s="99">
        <v>1361</v>
      </c>
      <c r="B683" s="101">
        <v>44631</v>
      </c>
      <c r="C683" s="96">
        <v>3</v>
      </c>
      <c r="D683" s="104" t="s">
        <v>20</v>
      </c>
      <c r="E683" s="97" t="s">
        <v>14</v>
      </c>
      <c r="F683" s="97" t="str">
        <f>VLOOKUP(E683,Emp_Data!$B$2:$C$9,2,)</f>
        <v>Jeff</v>
      </c>
      <c r="G683" s="97" t="s">
        <v>15</v>
      </c>
      <c r="H683" s="97" t="s">
        <v>40</v>
      </c>
      <c r="I683" s="97">
        <v>289</v>
      </c>
      <c r="J683" s="97">
        <v>5</v>
      </c>
      <c r="K683" s="97">
        <f t="shared" si="10"/>
        <v>1445</v>
      </c>
      <c r="L683" s="97">
        <f>_xlfn.XLOOKUP(E683,Emp_Data!$B$2:$B$9,Emp_Data!$A$2:$A$9)</f>
        <v>2</v>
      </c>
    </row>
    <row r="684" spans="1:12">
      <c r="A684" s="99">
        <v>1379</v>
      </c>
      <c r="B684" s="101">
        <v>44637</v>
      </c>
      <c r="C684" s="96">
        <v>14</v>
      </c>
      <c r="D684" s="104" t="s">
        <v>33</v>
      </c>
      <c r="E684" s="97" t="s">
        <v>18</v>
      </c>
      <c r="F684" s="97" t="str">
        <f>VLOOKUP(E684,Emp_Data!$B$2:$C$9,2,)</f>
        <v>Sara</v>
      </c>
      <c r="G684" s="97" t="s">
        <v>19</v>
      </c>
      <c r="H684" s="97" t="s">
        <v>40</v>
      </c>
      <c r="I684" s="97">
        <v>289</v>
      </c>
      <c r="J684" s="97">
        <v>6</v>
      </c>
      <c r="K684" s="97">
        <f t="shared" si="10"/>
        <v>1734</v>
      </c>
      <c r="L684" s="97">
        <f>_xlfn.XLOOKUP(E684,Emp_Data!$B$2:$B$9,Emp_Data!$A$2:$A$9)</f>
        <v>5</v>
      </c>
    </row>
    <row r="685" spans="1:12">
      <c r="A685" s="99">
        <v>1394</v>
      </c>
      <c r="B685" s="101">
        <v>44640</v>
      </c>
      <c r="C685" s="96">
        <v>1</v>
      </c>
      <c r="D685" s="104" t="s">
        <v>31</v>
      </c>
      <c r="E685" s="97" t="s">
        <v>21</v>
      </c>
      <c r="F685" s="97" t="str">
        <f>VLOOKUP(E685,Emp_Data!$B$2:$C$9,2,)</f>
        <v>Sara</v>
      </c>
      <c r="G685" s="97" t="s">
        <v>15</v>
      </c>
      <c r="H685" s="97" t="s">
        <v>40</v>
      </c>
      <c r="I685" s="97">
        <v>289</v>
      </c>
      <c r="J685" s="97">
        <v>3</v>
      </c>
      <c r="K685" s="97">
        <f t="shared" si="10"/>
        <v>867</v>
      </c>
      <c r="L685" s="97">
        <f>_xlfn.XLOOKUP(E685,Emp_Data!$B$2:$B$9,Emp_Data!$A$2:$A$9)</f>
        <v>2</v>
      </c>
    </row>
    <row r="686" spans="1:12">
      <c r="A686" s="99">
        <v>1398</v>
      </c>
      <c r="B686" s="101">
        <v>44643</v>
      </c>
      <c r="C686" s="96">
        <v>17</v>
      </c>
      <c r="D686" s="104" t="s">
        <v>32</v>
      </c>
      <c r="E686" s="97" t="s">
        <v>25</v>
      </c>
      <c r="F686" s="97" t="str">
        <f>VLOOKUP(E686,Emp_Data!$B$2:$C$9,2,)</f>
        <v>Jeff</v>
      </c>
      <c r="G686" s="97" t="s">
        <v>9</v>
      </c>
      <c r="H686" s="97" t="s">
        <v>40</v>
      </c>
      <c r="I686" s="97">
        <v>289</v>
      </c>
      <c r="J686" s="97">
        <v>2</v>
      </c>
      <c r="K686" s="97">
        <f t="shared" si="10"/>
        <v>578</v>
      </c>
      <c r="L686" s="97">
        <f>_xlfn.XLOOKUP(E686,Emp_Data!$B$2:$B$9,Emp_Data!$A$2:$A$9)</f>
        <v>5</v>
      </c>
    </row>
    <row r="687" spans="1:12">
      <c r="A687" s="99">
        <v>1401</v>
      </c>
      <c r="B687" s="101">
        <v>44643</v>
      </c>
      <c r="C687" s="96">
        <v>15</v>
      </c>
      <c r="D687" s="104" t="s">
        <v>29</v>
      </c>
      <c r="E687" s="97" t="s">
        <v>24</v>
      </c>
      <c r="F687" s="97" t="str">
        <f>VLOOKUP(E687,Emp_Data!$B$2:$C$9,2,)</f>
        <v>Steve</v>
      </c>
      <c r="G687" s="97" t="s">
        <v>19</v>
      </c>
      <c r="H687" s="97" t="s">
        <v>40</v>
      </c>
      <c r="I687" s="97">
        <v>289</v>
      </c>
      <c r="J687" s="97">
        <v>6</v>
      </c>
      <c r="K687" s="97">
        <f t="shared" si="10"/>
        <v>1734</v>
      </c>
      <c r="L687" s="97">
        <f>_xlfn.XLOOKUP(E687,Emp_Data!$B$2:$B$9,Emp_Data!$A$2:$A$9)</f>
        <v>6</v>
      </c>
    </row>
    <row r="688" spans="1:12">
      <c r="A688" s="99">
        <v>1404</v>
      </c>
      <c r="B688" s="101">
        <v>44643</v>
      </c>
      <c r="C688" s="96">
        <v>5</v>
      </c>
      <c r="D688" s="104" t="s">
        <v>16</v>
      </c>
      <c r="E688" s="97" t="s">
        <v>14</v>
      </c>
      <c r="F688" s="97" t="str">
        <f>VLOOKUP(E688,Emp_Data!$B$2:$C$9,2,)</f>
        <v>Jeff</v>
      </c>
      <c r="G688" s="97" t="s">
        <v>15</v>
      </c>
      <c r="H688" s="97" t="s">
        <v>40</v>
      </c>
      <c r="I688" s="97">
        <v>289</v>
      </c>
      <c r="J688" s="97">
        <v>6</v>
      </c>
      <c r="K688" s="97">
        <f t="shared" si="10"/>
        <v>1734</v>
      </c>
      <c r="L688" s="97">
        <f>_xlfn.XLOOKUP(E688,Emp_Data!$B$2:$B$9,Emp_Data!$A$2:$A$9)</f>
        <v>2</v>
      </c>
    </row>
    <row r="689" spans="1:12">
      <c r="A689" s="99">
        <v>1410</v>
      </c>
      <c r="B689" s="101">
        <v>44645</v>
      </c>
      <c r="C689" s="96">
        <v>12</v>
      </c>
      <c r="D689" s="104" t="s">
        <v>17</v>
      </c>
      <c r="E689" s="97" t="s">
        <v>24</v>
      </c>
      <c r="F689" s="97" t="str">
        <f>VLOOKUP(E689,Emp_Data!$B$2:$C$9,2,)</f>
        <v>Steve</v>
      </c>
      <c r="G689" s="97" t="s">
        <v>19</v>
      </c>
      <c r="H689" s="97" t="s">
        <v>40</v>
      </c>
      <c r="I689" s="97">
        <v>289</v>
      </c>
      <c r="J689" s="97">
        <v>6</v>
      </c>
      <c r="K689" s="97">
        <f t="shared" si="10"/>
        <v>1734</v>
      </c>
      <c r="L689" s="97">
        <f>_xlfn.XLOOKUP(E689,Emp_Data!$B$2:$B$9,Emp_Data!$A$2:$A$9)</f>
        <v>6</v>
      </c>
    </row>
    <row r="690" spans="1:12">
      <c r="A690" s="99">
        <v>1412</v>
      </c>
      <c r="B690" s="101">
        <v>44646</v>
      </c>
      <c r="C690" s="96">
        <v>19</v>
      </c>
      <c r="D690" s="104" t="s">
        <v>22</v>
      </c>
      <c r="E690" s="97" t="s">
        <v>8</v>
      </c>
      <c r="F690" s="97" t="str">
        <f>VLOOKUP(E690,Emp_Data!$B$2:$C$9,2,)</f>
        <v>Jeff</v>
      </c>
      <c r="G690" s="97" t="s">
        <v>9</v>
      </c>
      <c r="H690" s="97" t="s">
        <v>40</v>
      </c>
      <c r="I690" s="97">
        <v>289</v>
      </c>
      <c r="J690" s="97">
        <v>3</v>
      </c>
      <c r="K690" s="97">
        <f t="shared" si="10"/>
        <v>867</v>
      </c>
      <c r="L690" s="97">
        <f>_xlfn.XLOOKUP(E690,Emp_Data!$B$2:$B$9,Emp_Data!$A$2:$A$9)</f>
        <v>3</v>
      </c>
    </row>
    <row r="691" spans="1:12">
      <c r="A691" s="99">
        <v>1414</v>
      </c>
      <c r="B691" s="101">
        <v>44647</v>
      </c>
      <c r="C691" s="96">
        <v>6</v>
      </c>
      <c r="D691" s="104" t="s">
        <v>10</v>
      </c>
      <c r="E691" s="97" t="s">
        <v>11</v>
      </c>
      <c r="F691" s="97" t="str">
        <f>VLOOKUP(E691,Emp_Data!$B$2:$C$9,2,)</f>
        <v>Steve</v>
      </c>
      <c r="G691" s="97" t="s">
        <v>12</v>
      </c>
      <c r="H691" s="97" t="s">
        <v>40</v>
      </c>
      <c r="I691" s="97">
        <v>289</v>
      </c>
      <c r="J691" s="97">
        <v>7</v>
      </c>
      <c r="K691" s="97">
        <f t="shared" si="10"/>
        <v>2023</v>
      </c>
      <c r="L691" s="97">
        <f>_xlfn.XLOOKUP(E691,Emp_Data!$B$2:$B$9,Emp_Data!$A$2:$A$9)</f>
        <v>4</v>
      </c>
    </row>
    <row r="692" spans="1:12">
      <c r="A692" s="99">
        <v>1416</v>
      </c>
      <c r="B692" s="101">
        <v>44647</v>
      </c>
      <c r="C692" s="96">
        <v>13</v>
      </c>
      <c r="D692" s="104" t="s">
        <v>23</v>
      </c>
      <c r="E692" s="97" t="s">
        <v>24</v>
      </c>
      <c r="F692" s="97" t="str">
        <f>VLOOKUP(E692,Emp_Data!$B$2:$C$9,2,)</f>
        <v>Steve</v>
      </c>
      <c r="G692" s="97" t="s">
        <v>19</v>
      </c>
      <c r="H692" s="97" t="s">
        <v>40</v>
      </c>
      <c r="I692" s="97">
        <v>289</v>
      </c>
      <c r="J692" s="97">
        <v>9</v>
      </c>
      <c r="K692" s="97">
        <f t="shared" si="10"/>
        <v>2601</v>
      </c>
      <c r="L692" s="97">
        <f>_xlfn.XLOOKUP(E692,Emp_Data!$B$2:$B$9,Emp_Data!$A$2:$A$9)</f>
        <v>6</v>
      </c>
    </row>
    <row r="693" spans="1:12">
      <c r="A693" s="99">
        <v>1418</v>
      </c>
      <c r="B693" s="101">
        <v>44648</v>
      </c>
      <c r="C693" s="96">
        <v>1</v>
      </c>
      <c r="D693" s="104" t="s">
        <v>31</v>
      </c>
      <c r="E693" s="97" t="s">
        <v>21</v>
      </c>
      <c r="F693" s="97" t="str">
        <f>VLOOKUP(E693,Emp_Data!$B$2:$C$9,2,)</f>
        <v>Sara</v>
      </c>
      <c r="G693" s="97" t="s">
        <v>15</v>
      </c>
      <c r="H693" s="97" t="s">
        <v>40</v>
      </c>
      <c r="I693" s="97">
        <v>289</v>
      </c>
      <c r="J693" s="97">
        <v>9</v>
      </c>
      <c r="K693" s="97">
        <f t="shared" si="10"/>
        <v>2601</v>
      </c>
      <c r="L693" s="97">
        <f>_xlfn.XLOOKUP(E693,Emp_Data!$B$2:$B$9,Emp_Data!$A$2:$A$9)</f>
        <v>2</v>
      </c>
    </row>
    <row r="694" spans="1:12">
      <c r="A694" s="99">
        <v>1424</v>
      </c>
      <c r="B694" s="101">
        <v>44651</v>
      </c>
      <c r="C694" s="96">
        <v>19</v>
      </c>
      <c r="D694" s="104" t="s">
        <v>22</v>
      </c>
      <c r="E694" s="97" t="s">
        <v>8</v>
      </c>
      <c r="F694" s="97" t="str">
        <f>VLOOKUP(E694,Emp_Data!$B$2:$C$9,2,)</f>
        <v>Jeff</v>
      </c>
      <c r="G694" s="97" t="s">
        <v>9</v>
      </c>
      <c r="H694" s="97" t="s">
        <v>40</v>
      </c>
      <c r="I694" s="97">
        <v>289</v>
      </c>
      <c r="J694" s="97">
        <v>8</v>
      </c>
      <c r="K694" s="97">
        <f t="shared" si="10"/>
        <v>2312</v>
      </c>
      <c r="L694" s="97">
        <f>_xlfn.XLOOKUP(E694,Emp_Data!$B$2:$B$9,Emp_Data!$A$2:$A$9)</f>
        <v>3</v>
      </c>
    </row>
    <row r="695" spans="1:12">
      <c r="A695" s="99">
        <v>1435</v>
      </c>
      <c r="B695" s="101">
        <v>44655</v>
      </c>
      <c r="C695" s="96">
        <v>19</v>
      </c>
      <c r="D695" s="104" t="s">
        <v>22</v>
      </c>
      <c r="E695" s="97" t="s">
        <v>25</v>
      </c>
      <c r="F695" s="97" t="str">
        <f>VLOOKUP(E695,Emp_Data!$B$2:$C$9,2,)</f>
        <v>Jeff</v>
      </c>
      <c r="G695" s="97" t="s">
        <v>9</v>
      </c>
      <c r="H695" s="97" t="s">
        <v>40</v>
      </c>
      <c r="I695" s="97">
        <v>289</v>
      </c>
      <c r="J695" s="97">
        <v>2</v>
      </c>
      <c r="K695" s="97">
        <f t="shared" si="10"/>
        <v>578</v>
      </c>
      <c r="L695" s="97">
        <f>_xlfn.XLOOKUP(E695,Emp_Data!$B$2:$B$9,Emp_Data!$A$2:$A$9)</f>
        <v>5</v>
      </c>
    </row>
    <row r="696" spans="1:12">
      <c r="A696" s="99">
        <v>1443</v>
      </c>
      <c r="B696" s="101">
        <v>44656</v>
      </c>
      <c r="C696" s="96">
        <v>15</v>
      </c>
      <c r="D696" s="104" t="s">
        <v>29</v>
      </c>
      <c r="E696" s="97" t="s">
        <v>24</v>
      </c>
      <c r="F696" s="97" t="str">
        <f>VLOOKUP(E696,Emp_Data!$B$2:$C$9,2,)</f>
        <v>Steve</v>
      </c>
      <c r="G696" s="97" t="s">
        <v>19</v>
      </c>
      <c r="H696" s="97" t="s">
        <v>40</v>
      </c>
      <c r="I696" s="97">
        <v>289</v>
      </c>
      <c r="J696" s="97">
        <v>8</v>
      </c>
      <c r="K696" s="97">
        <f t="shared" si="10"/>
        <v>2312</v>
      </c>
      <c r="L696" s="97">
        <f>_xlfn.XLOOKUP(E696,Emp_Data!$B$2:$B$9,Emp_Data!$A$2:$A$9)</f>
        <v>6</v>
      </c>
    </row>
    <row r="697" spans="1:12">
      <c r="A697" s="99">
        <v>1444</v>
      </c>
      <c r="B697" s="101">
        <v>44657</v>
      </c>
      <c r="C697" s="96">
        <v>3</v>
      </c>
      <c r="D697" s="104" t="s">
        <v>20</v>
      </c>
      <c r="E697" s="97" t="s">
        <v>14</v>
      </c>
      <c r="F697" s="97" t="str">
        <f>VLOOKUP(E697,Emp_Data!$B$2:$C$9,2,)</f>
        <v>Jeff</v>
      </c>
      <c r="G697" s="97" t="s">
        <v>15</v>
      </c>
      <c r="H697" s="97" t="s">
        <v>40</v>
      </c>
      <c r="I697" s="97">
        <v>289</v>
      </c>
      <c r="J697" s="97">
        <v>2</v>
      </c>
      <c r="K697" s="97">
        <f t="shared" si="10"/>
        <v>578</v>
      </c>
      <c r="L697" s="97">
        <f>_xlfn.XLOOKUP(E697,Emp_Data!$B$2:$B$9,Emp_Data!$A$2:$A$9)</f>
        <v>2</v>
      </c>
    </row>
    <row r="698" spans="1:12">
      <c r="A698" s="99">
        <v>1454</v>
      </c>
      <c r="B698" s="101">
        <v>44660</v>
      </c>
      <c r="C698" s="96">
        <v>7</v>
      </c>
      <c r="D698" s="104" t="s">
        <v>28</v>
      </c>
      <c r="E698" s="97" t="s">
        <v>11</v>
      </c>
      <c r="F698" s="97" t="str">
        <f>VLOOKUP(E698,Emp_Data!$B$2:$C$9,2,)</f>
        <v>Steve</v>
      </c>
      <c r="G698" s="97" t="s">
        <v>12</v>
      </c>
      <c r="H698" s="97" t="s">
        <v>40</v>
      </c>
      <c r="I698" s="97">
        <v>289</v>
      </c>
      <c r="J698" s="97">
        <v>3</v>
      </c>
      <c r="K698" s="97">
        <f t="shared" si="10"/>
        <v>867</v>
      </c>
      <c r="L698" s="97">
        <f>_xlfn.XLOOKUP(E698,Emp_Data!$B$2:$B$9,Emp_Data!$A$2:$A$9)</f>
        <v>4</v>
      </c>
    </row>
    <row r="699" spans="1:12">
      <c r="A699" s="99">
        <v>1462</v>
      </c>
      <c r="B699" s="101">
        <v>44663</v>
      </c>
      <c r="C699" s="96">
        <v>19</v>
      </c>
      <c r="D699" s="104" t="s">
        <v>22</v>
      </c>
      <c r="E699" s="97" t="s">
        <v>8</v>
      </c>
      <c r="F699" s="97" t="str">
        <f>VLOOKUP(E699,Emp_Data!$B$2:$C$9,2,)</f>
        <v>Jeff</v>
      </c>
      <c r="G699" s="97" t="s">
        <v>9</v>
      </c>
      <c r="H699" s="97" t="s">
        <v>40</v>
      </c>
      <c r="I699" s="97">
        <v>289</v>
      </c>
      <c r="J699" s="97">
        <v>3</v>
      </c>
      <c r="K699" s="97">
        <f t="shared" si="10"/>
        <v>867</v>
      </c>
      <c r="L699" s="97">
        <f>_xlfn.XLOOKUP(E699,Emp_Data!$B$2:$B$9,Emp_Data!$A$2:$A$9)</f>
        <v>3</v>
      </c>
    </row>
    <row r="700" spans="1:12">
      <c r="A700" s="99">
        <v>1464</v>
      </c>
      <c r="B700" s="101">
        <v>44663</v>
      </c>
      <c r="C700" s="96">
        <v>5</v>
      </c>
      <c r="D700" s="104" t="s">
        <v>16</v>
      </c>
      <c r="E700" s="97" t="s">
        <v>21</v>
      </c>
      <c r="F700" s="97" t="str">
        <f>VLOOKUP(E700,Emp_Data!$B$2:$C$9,2,)</f>
        <v>Sara</v>
      </c>
      <c r="G700" s="97" t="s">
        <v>15</v>
      </c>
      <c r="H700" s="97" t="s">
        <v>40</v>
      </c>
      <c r="I700" s="97">
        <v>289</v>
      </c>
      <c r="J700" s="97">
        <v>5</v>
      </c>
      <c r="K700" s="97">
        <f t="shared" si="10"/>
        <v>1445</v>
      </c>
      <c r="L700" s="97">
        <f>_xlfn.XLOOKUP(E700,Emp_Data!$B$2:$B$9,Emp_Data!$A$2:$A$9)</f>
        <v>2</v>
      </c>
    </row>
    <row r="701" spans="1:12">
      <c r="A701" s="99">
        <v>1473</v>
      </c>
      <c r="B701" s="101">
        <v>44669</v>
      </c>
      <c r="C701" s="96">
        <v>12</v>
      </c>
      <c r="D701" s="104" t="s">
        <v>17</v>
      </c>
      <c r="E701" s="97" t="s">
        <v>18</v>
      </c>
      <c r="F701" s="97" t="str">
        <f>VLOOKUP(E701,Emp_Data!$B$2:$C$9,2,)</f>
        <v>Sara</v>
      </c>
      <c r="G701" s="97" t="s">
        <v>19</v>
      </c>
      <c r="H701" s="97" t="s">
        <v>40</v>
      </c>
      <c r="I701" s="97">
        <v>289</v>
      </c>
      <c r="J701" s="97">
        <v>5</v>
      </c>
      <c r="K701" s="97">
        <f t="shared" si="10"/>
        <v>1445</v>
      </c>
      <c r="L701" s="97">
        <f>_xlfn.XLOOKUP(E701,Emp_Data!$B$2:$B$9,Emp_Data!$A$2:$A$9)</f>
        <v>5</v>
      </c>
    </row>
    <row r="702" spans="1:12">
      <c r="A702" s="99">
        <v>1485</v>
      </c>
      <c r="B702" s="101">
        <v>44672</v>
      </c>
      <c r="C702" s="96">
        <v>6</v>
      </c>
      <c r="D702" s="104" t="s">
        <v>10</v>
      </c>
      <c r="E702" s="97" t="s">
        <v>11</v>
      </c>
      <c r="F702" s="97" t="str">
        <f>VLOOKUP(E702,Emp_Data!$B$2:$C$9,2,)</f>
        <v>Steve</v>
      </c>
      <c r="G702" s="97" t="s">
        <v>12</v>
      </c>
      <c r="H702" s="97" t="s">
        <v>40</v>
      </c>
      <c r="I702" s="97">
        <v>289</v>
      </c>
      <c r="J702" s="97">
        <v>5</v>
      </c>
      <c r="K702" s="97">
        <f t="shared" si="10"/>
        <v>1445</v>
      </c>
      <c r="L702" s="97">
        <f>_xlfn.XLOOKUP(E702,Emp_Data!$B$2:$B$9,Emp_Data!$A$2:$A$9)</f>
        <v>4</v>
      </c>
    </row>
    <row r="703" spans="1:12">
      <c r="A703" s="99">
        <v>1494</v>
      </c>
      <c r="B703" s="101">
        <v>44675</v>
      </c>
      <c r="C703" s="96">
        <v>3</v>
      </c>
      <c r="D703" s="104" t="s">
        <v>20</v>
      </c>
      <c r="E703" s="97" t="s">
        <v>21</v>
      </c>
      <c r="F703" s="97" t="str">
        <f>VLOOKUP(E703,Emp_Data!$B$2:$C$9,2,)</f>
        <v>Sara</v>
      </c>
      <c r="G703" s="97" t="s">
        <v>15</v>
      </c>
      <c r="H703" s="97" t="s">
        <v>40</v>
      </c>
      <c r="I703" s="97">
        <v>289</v>
      </c>
      <c r="J703" s="97">
        <v>6</v>
      </c>
      <c r="K703" s="97">
        <f t="shared" si="10"/>
        <v>1734</v>
      </c>
      <c r="L703" s="97">
        <f>_xlfn.XLOOKUP(E703,Emp_Data!$B$2:$B$9,Emp_Data!$A$2:$A$9)</f>
        <v>2</v>
      </c>
    </row>
    <row r="704" spans="1:12">
      <c r="A704" s="99">
        <v>1498</v>
      </c>
      <c r="B704" s="101">
        <v>44677</v>
      </c>
      <c r="C704" s="96">
        <v>1</v>
      </c>
      <c r="D704" s="104" t="s">
        <v>31</v>
      </c>
      <c r="E704" s="97" t="s">
        <v>21</v>
      </c>
      <c r="F704" s="97" t="str">
        <f>VLOOKUP(E704,Emp_Data!$B$2:$C$9,2,)</f>
        <v>Sara</v>
      </c>
      <c r="G704" s="97" t="s">
        <v>15</v>
      </c>
      <c r="H704" s="97" t="s">
        <v>40</v>
      </c>
      <c r="I704" s="97">
        <v>289</v>
      </c>
      <c r="J704" s="97">
        <v>4</v>
      </c>
      <c r="K704" s="97">
        <f t="shared" si="10"/>
        <v>1156</v>
      </c>
      <c r="L704" s="97">
        <f>_xlfn.XLOOKUP(E704,Emp_Data!$B$2:$B$9,Emp_Data!$A$2:$A$9)</f>
        <v>2</v>
      </c>
    </row>
    <row r="705" spans="1:12">
      <c r="A705" s="99">
        <v>1500</v>
      </c>
      <c r="B705" s="101">
        <v>44678</v>
      </c>
      <c r="C705" s="96">
        <v>18</v>
      </c>
      <c r="D705" s="104" t="s">
        <v>30</v>
      </c>
      <c r="E705" s="97" t="s">
        <v>8</v>
      </c>
      <c r="F705" s="97" t="str">
        <f>VLOOKUP(E705,Emp_Data!$B$2:$C$9,2,)</f>
        <v>Jeff</v>
      </c>
      <c r="G705" s="97" t="s">
        <v>9</v>
      </c>
      <c r="H705" s="97" t="s">
        <v>40</v>
      </c>
      <c r="I705" s="97">
        <v>289</v>
      </c>
      <c r="J705" s="97">
        <v>8</v>
      </c>
      <c r="K705" s="97">
        <f t="shared" si="10"/>
        <v>2312</v>
      </c>
      <c r="L705" s="97">
        <f>_xlfn.XLOOKUP(E705,Emp_Data!$B$2:$B$9,Emp_Data!$A$2:$A$9)</f>
        <v>3</v>
      </c>
    </row>
    <row r="706" spans="1:12">
      <c r="A706" s="99">
        <v>1503</v>
      </c>
      <c r="B706" s="101">
        <v>44681</v>
      </c>
      <c r="C706" s="96">
        <v>6</v>
      </c>
      <c r="D706" s="104" t="s">
        <v>10</v>
      </c>
      <c r="E706" s="97" t="s">
        <v>11</v>
      </c>
      <c r="F706" s="97" t="str">
        <f>VLOOKUP(E706,Emp_Data!$B$2:$C$9,2,)</f>
        <v>Steve</v>
      </c>
      <c r="G706" s="97" t="s">
        <v>12</v>
      </c>
      <c r="H706" s="97" t="s">
        <v>40</v>
      </c>
      <c r="I706" s="97">
        <v>289</v>
      </c>
      <c r="J706" s="97">
        <v>7</v>
      </c>
      <c r="K706" s="97">
        <f t="shared" si="10"/>
        <v>2023</v>
      </c>
      <c r="L706" s="97">
        <f>_xlfn.XLOOKUP(E706,Emp_Data!$B$2:$B$9,Emp_Data!$A$2:$A$9)</f>
        <v>4</v>
      </c>
    </row>
    <row r="707" spans="1:12">
      <c r="A707" s="99">
        <v>1505</v>
      </c>
      <c r="B707" s="101">
        <v>44681</v>
      </c>
      <c r="C707" s="96">
        <v>9</v>
      </c>
      <c r="D707" s="104" t="s">
        <v>26</v>
      </c>
      <c r="E707" s="97" t="s">
        <v>27</v>
      </c>
      <c r="F707" s="97" t="str">
        <f>VLOOKUP(E707,Emp_Data!$B$2:$C$9,2,)</f>
        <v>Philip</v>
      </c>
      <c r="G707" s="97" t="s">
        <v>12</v>
      </c>
      <c r="H707" s="97" t="s">
        <v>40</v>
      </c>
      <c r="I707" s="97">
        <v>289</v>
      </c>
      <c r="J707" s="97">
        <v>6</v>
      </c>
      <c r="K707" s="97">
        <f t="shared" ref="K707:K770" si="11">SUMPRODUCT(I707,J707)</f>
        <v>1734</v>
      </c>
      <c r="L707" s="97">
        <f>_xlfn.XLOOKUP(E707,Emp_Data!$B$2:$B$9,Emp_Data!$A$2:$A$9)</f>
        <v>8</v>
      </c>
    </row>
    <row r="708" spans="1:12">
      <c r="A708" s="99">
        <v>1507</v>
      </c>
      <c r="B708" s="101">
        <v>44682</v>
      </c>
      <c r="C708" s="96">
        <v>1</v>
      </c>
      <c r="D708" s="104" t="s">
        <v>31</v>
      </c>
      <c r="E708" s="97" t="s">
        <v>21</v>
      </c>
      <c r="F708" s="97" t="str">
        <f>VLOOKUP(E708,Emp_Data!$B$2:$C$9,2,)</f>
        <v>Sara</v>
      </c>
      <c r="G708" s="97" t="s">
        <v>15</v>
      </c>
      <c r="H708" s="97" t="s">
        <v>40</v>
      </c>
      <c r="I708" s="97">
        <v>289</v>
      </c>
      <c r="J708" s="97">
        <v>6</v>
      </c>
      <c r="K708" s="97">
        <f t="shared" si="11"/>
        <v>1734</v>
      </c>
      <c r="L708" s="97">
        <f>_xlfn.XLOOKUP(E708,Emp_Data!$B$2:$B$9,Emp_Data!$A$2:$A$9)</f>
        <v>2</v>
      </c>
    </row>
    <row r="709" spans="1:12">
      <c r="A709" s="99">
        <v>1509</v>
      </c>
      <c r="B709" s="101">
        <v>44683</v>
      </c>
      <c r="C709" s="96">
        <v>17</v>
      </c>
      <c r="D709" s="104" t="s">
        <v>32</v>
      </c>
      <c r="E709" s="97" t="s">
        <v>25</v>
      </c>
      <c r="F709" s="97" t="str">
        <f>VLOOKUP(E709,Emp_Data!$B$2:$C$9,2,)</f>
        <v>Jeff</v>
      </c>
      <c r="G709" s="97" t="s">
        <v>9</v>
      </c>
      <c r="H709" s="97" t="s">
        <v>40</v>
      </c>
      <c r="I709" s="97">
        <v>289</v>
      </c>
      <c r="J709" s="97">
        <v>7</v>
      </c>
      <c r="K709" s="97">
        <f t="shared" si="11"/>
        <v>2023</v>
      </c>
      <c r="L709" s="97">
        <f>_xlfn.XLOOKUP(E709,Emp_Data!$B$2:$B$9,Emp_Data!$A$2:$A$9)</f>
        <v>5</v>
      </c>
    </row>
    <row r="710" spans="1:12">
      <c r="A710" s="99">
        <v>1512</v>
      </c>
      <c r="B710" s="101">
        <v>44684</v>
      </c>
      <c r="C710" s="96">
        <v>12</v>
      </c>
      <c r="D710" s="104" t="s">
        <v>17</v>
      </c>
      <c r="E710" s="97" t="s">
        <v>24</v>
      </c>
      <c r="F710" s="97" t="str">
        <f>VLOOKUP(E710,Emp_Data!$B$2:$C$9,2,)</f>
        <v>Steve</v>
      </c>
      <c r="G710" s="97" t="s">
        <v>19</v>
      </c>
      <c r="H710" s="97" t="s">
        <v>40</v>
      </c>
      <c r="I710" s="97">
        <v>289</v>
      </c>
      <c r="J710" s="97">
        <v>1</v>
      </c>
      <c r="K710" s="97">
        <f t="shared" si="11"/>
        <v>289</v>
      </c>
      <c r="L710" s="97">
        <f>_xlfn.XLOOKUP(E710,Emp_Data!$B$2:$B$9,Emp_Data!$A$2:$A$9)</f>
        <v>6</v>
      </c>
    </row>
    <row r="711" spans="1:12">
      <c r="A711" s="99">
        <v>1526</v>
      </c>
      <c r="B711" s="101">
        <v>44688</v>
      </c>
      <c r="C711" s="96">
        <v>4</v>
      </c>
      <c r="D711" s="104" t="s">
        <v>13</v>
      </c>
      <c r="E711" s="97" t="s">
        <v>21</v>
      </c>
      <c r="F711" s="97" t="str">
        <f>VLOOKUP(E711,Emp_Data!$B$2:$C$9,2,)</f>
        <v>Sara</v>
      </c>
      <c r="G711" s="97" t="s">
        <v>15</v>
      </c>
      <c r="H711" s="97" t="s">
        <v>40</v>
      </c>
      <c r="I711" s="97">
        <v>289</v>
      </c>
      <c r="J711" s="97">
        <v>5</v>
      </c>
      <c r="K711" s="97">
        <f t="shared" si="11"/>
        <v>1445</v>
      </c>
      <c r="L711" s="97">
        <f>_xlfn.XLOOKUP(E711,Emp_Data!$B$2:$B$9,Emp_Data!$A$2:$A$9)</f>
        <v>2</v>
      </c>
    </row>
    <row r="712" spans="1:12">
      <c r="A712" s="99">
        <v>1532</v>
      </c>
      <c r="B712" s="101">
        <v>44690</v>
      </c>
      <c r="C712" s="96">
        <v>11</v>
      </c>
      <c r="D712" s="104" t="s">
        <v>38</v>
      </c>
      <c r="E712" s="97" t="s">
        <v>24</v>
      </c>
      <c r="F712" s="97" t="str">
        <f>VLOOKUP(E712,Emp_Data!$B$2:$C$9,2,)</f>
        <v>Steve</v>
      </c>
      <c r="G712" s="97" t="s">
        <v>19</v>
      </c>
      <c r="H712" s="97" t="s">
        <v>40</v>
      </c>
      <c r="I712" s="97">
        <v>289</v>
      </c>
      <c r="J712" s="97">
        <v>1</v>
      </c>
      <c r="K712" s="97">
        <f t="shared" si="11"/>
        <v>289</v>
      </c>
      <c r="L712" s="97">
        <f>_xlfn.XLOOKUP(E712,Emp_Data!$B$2:$B$9,Emp_Data!$A$2:$A$9)</f>
        <v>6</v>
      </c>
    </row>
    <row r="713" spans="1:12">
      <c r="A713" s="99">
        <v>1541</v>
      </c>
      <c r="B713" s="101">
        <v>44693</v>
      </c>
      <c r="C713" s="96">
        <v>3</v>
      </c>
      <c r="D713" s="104" t="s">
        <v>20</v>
      </c>
      <c r="E713" s="97" t="s">
        <v>14</v>
      </c>
      <c r="F713" s="97" t="str">
        <f>VLOOKUP(E713,Emp_Data!$B$2:$C$9,2,)</f>
        <v>Jeff</v>
      </c>
      <c r="G713" s="97" t="s">
        <v>15</v>
      </c>
      <c r="H713" s="97" t="s">
        <v>40</v>
      </c>
      <c r="I713" s="97">
        <v>289</v>
      </c>
      <c r="J713" s="97">
        <v>9</v>
      </c>
      <c r="K713" s="97">
        <f t="shared" si="11"/>
        <v>2601</v>
      </c>
      <c r="L713" s="97">
        <f>_xlfn.XLOOKUP(E713,Emp_Data!$B$2:$B$9,Emp_Data!$A$2:$A$9)</f>
        <v>2</v>
      </c>
    </row>
    <row r="714" spans="1:12">
      <c r="A714" s="99">
        <v>1549</v>
      </c>
      <c r="B714" s="101">
        <v>44697</v>
      </c>
      <c r="C714" s="96">
        <v>3</v>
      </c>
      <c r="D714" s="104" t="s">
        <v>20</v>
      </c>
      <c r="E714" s="97" t="s">
        <v>14</v>
      </c>
      <c r="F714" s="97" t="str">
        <f>VLOOKUP(E714,Emp_Data!$B$2:$C$9,2,)</f>
        <v>Jeff</v>
      </c>
      <c r="G714" s="97" t="s">
        <v>15</v>
      </c>
      <c r="H714" s="97" t="s">
        <v>40</v>
      </c>
      <c r="I714" s="97">
        <v>289</v>
      </c>
      <c r="J714" s="97">
        <v>4</v>
      </c>
      <c r="K714" s="97">
        <f t="shared" si="11"/>
        <v>1156</v>
      </c>
      <c r="L714" s="97">
        <f>_xlfn.XLOOKUP(E714,Emp_Data!$B$2:$B$9,Emp_Data!$A$2:$A$9)</f>
        <v>2</v>
      </c>
    </row>
    <row r="715" spans="1:12">
      <c r="A715" s="99">
        <v>1552</v>
      </c>
      <c r="B715" s="101">
        <v>44698</v>
      </c>
      <c r="C715" s="96">
        <v>1</v>
      </c>
      <c r="D715" s="104" t="s">
        <v>31</v>
      </c>
      <c r="E715" s="97" t="s">
        <v>14</v>
      </c>
      <c r="F715" s="97" t="str">
        <f>VLOOKUP(E715,Emp_Data!$B$2:$C$9,2,)</f>
        <v>Jeff</v>
      </c>
      <c r="G715" s="97" t="s">
        <v>15</v>
      </c>
      <c r="H715" s="97" t="s">
        <v>40</v>
      </c>
      <c r="I715" s="97">
        <v>289</v>
      </c>
      <c r="J715" s="97">
        <v>9</v>
      </c>
      <c r="K715" s="97">
        <f t="shared" si="11"/>
        <v>2601</v>
      </c>
      <c r="L715" s="97">
        <f>_xlfn.XLOOKUP(E715,Emp_Data!$B$2:$B$9,Emp_Data!$A$2:$A$9)</f>
        <v>2</v>
      </c>
    </row>
    <row r="716" spans="1:12">
      <c r="A716" s="99">
        <v>1553</v>
      </c>
      <c r="B716" s="101">
        <v>44698</v>
      </c>
      <c r="C716" s="96">
        <v>10</v>
      </c>
      <c r="D716" s="104" t="s">
        <v>34</v>
      </c>
      <c r="E716" s="97" t="s">
        <v>11</v>
      </c>
      <c r="F716" s="97" t="str">
        <f>VLOOKUP(E716,Emp_Data!$B$2:$C$9,2,)</f>
        <v>Steve</v>
      </c>
      <c r="G716" s="97" t="s">
        <v>12</v>
      </c>
      <c r="H716" s="97" t="s">
        <v>40</v>
      </c>
      <c r="I716" s="97">
        <v>289</v>
      </c>
      <c r="J716" s="97">
        <v>2</v>
      </c>
      <c r="K716" s="97">
        <f t="shared" si="11"/>
        <v>578</v>
      </c>
      <c r="L716" s="97">
        <f>_xlfn.XLOOKUP(E716,Emp_Data!$B$2:$B$9,Emp_Data!$A$2:$A$9)</f>
        <v>4</v>
      </c>
    </row>
    <row r="717" spans="1:12">
      <c r="A717" s="99">
        <v>1555</v>
      </c>
      <c r="B717" s="101">
        <v>44698</v>
      </c>
      <c r="C717" s="96">
        <v>14</v>
      </c>
      <c r="D717" s="104" t="s">
        <v>33</v>
      </c>
      <c r="E717" s="97" t="s">
        <v>18</v>
      </c>
      <c r="F717" s="97" t="str">
        <f>VLOOKUP(E717,Emp_Data!$B$2:$C$9,2,)</f>
        <v>Sara</v>
      </c>
      <c r="G717" s="97" t="s">
        <v>19</v>
      </c>
      <c r="H717" s="97" t="s">
        <v>40</v>
      </c>
      <c r="I717" s="97">
        <v>289</v>
      </c>
      <c r="J717" s="97">
        <v>6</v>
      </c>
      <c r="K717" s="97">
        <f t="shared" si="11"/>
        <v>1734</v>
      </c>
      <c r="L717" s="97">
        <f>_xlfn.XLOOKUP(E717,Emp_Data!$B$2:$B$9,Emp_Data!$A$2:$A$9)</f>
        <v>5</v>
      </c>
    </row>
    <row r="718" spans="1:12">
      <c r="A718" s="99">
        <v>1561</v>
      </c>
      <c r="B718" s="101">
        <v>44700</v>
      </c>
      <c r="C718" s="96">
        <v>1</v>
      </c>
      <c r="D718" s="104" t="s">
        <v>31</v>
      </c>
      <c r="E718" s="97" t="s">
        <v>14</v>
      </c>
      <c r="F718" s="97" t="str">
        <f>VLOOKUP(E718,Emp_Data!$B$2:$C$9,2,)</f>
        <v>Jeff</v>
      </c>
      <c r="G718" s="97" t="s">
        <v>15</v>
      </c>
      <c r="H718" s="97" t="s">
        <v>40</v>
      </c>
      <c r="I718" s="97">
        <v>289</v>
      </c>
      <c r="J718" s="97">
        <v>1</v>
      </c>
      <c r="K718" s="97">
        <f t="shared" si="11"/>
        <v>289</v>
      </c>
      <c r="L718" s="97">
        <f>_xlfn.XLOOKUP(E718,Emp_Data!$B$2:$B$9,Emp_Data!$A$2:$A$9)</f>
        <v>2</v>
      </c>
    </row>
    <row r="719" spans="1:12">
      <c r="A719" s="99">
        <v>1565</v>
      </c>
      <c r="B719" s="101">
        <v>44701</v>
      </c>
      <c r="C719" s="96">
        <v>7</v>
      </c>
      <c r="D719" s="104" t="s">
        <v>28</v>
      </c>
      <c r="E719" s="97" t="s">
        <v>27</v>
      </c>
      <c r="F719" s="97" t="str">
        <f>VLOOKUP(E719,Emp_Data!$B$2:$C$9,2,)</f>
        <v>Philip</v>
      </c>
      <c r="G719" s="97" t="s">
        <v>12</v>
      </c>
      <c r="H719" s="97" t="s">
        <v>40</v>
      </c>
      <c r="I719" s="97">
        <v>289</v>
      </c>
      <c r="J719" s="97">
        <v>8</v>
      </c>
      <c r="K719" s="97">
        <f t="shared" si="11"/>
        <v>2312</v>
      </c>
      <c r="L719" s="97">
        <f>_xlfn.XLOOKUP(E719,Emp_Data!$B$2:$B$9,Emp_Data!$A$2:$A$9)</f>
        <v>8</v>
      </c>
    </row>
    <row r="720" spans="1:12">
      <c r="A720" s="99">
        <v>1566</v>
      </c>
      <c r="B720" s="101">
        <v>44702</v>
      </c>
      <c r="C720" s="96">
        <v>5</v>
      </c>
      <c r="D720" s="104" t="s">
        <v>16</v>
      </c>
      <c r="E720" s="97" t="s">
        <v>14</v>
      </c>
      <c r="F720" s="97" t="str">
        <f>VLOOKUP(E720,Emp_Data!$B$2:$C$9,2,)</f>
        <v>Jeff</v>
      </c>
      <c r="G720" s="97" t="s">
        <v>15</v>
      </c>
      <c r="H720" s="97" t="s">
        <v>40</v>
      </c>
      <c r="I720" s="97">
        <v>289</v>
      </c>
      <c r="J720" s="97">
        <v>2</v>
      </c>
      <c r="K720" s="97">
        <f t="shared" si="11"/>
        <v>578</v>
      </c>
      <c r="L720" s="97">
        <f>_xlfn.XLOOKUP(E720,Emp_Data!$B$2:$B$9,Emp_Data!$A$2:$A$9)</f>
        <v>2</v>
      </c>
    </row>
    <row r="721" spans="1:12">
      <c r="A721" s="99">
        <v>1568</v>
      </c>
      <c r="B721" s="101">
        <v>44703</v>
      </c>
      <c r="C721" s="96">
        <v>10</v>
      </c>
      <c r="D721" s="104" t="s">
        <v>34</v>
      </c>
      <c r="E721" s="97" t="s">
        <v>27</v>
      </c>
      <c r="F721" s="97" t="str">
        <f>VLOOKUP(E721,Emp_Data!$B$2:$C$9,2,)</f>
        <v>Philip</v>
      </c>
      <c r="G721" s="97" t="s">
        <v>12</v>
      </c>
      <c r="H721" s="97" t="s">
        <v>40</v>
      </c>
      <c r="I721" s="97">
        <v>289</v>
      </c>
      <c r="J721" s="97">
        <v>7</v>
      </c>
      <c r="K721" s="97">
        <f t="shared" si="11"/>
        <v>2023</v>
      </c>
      <c r="L721" s="97">
        <f>_xlfn.XLOOKUP(E721,Emp_Data!$B$2:$B$9,Emp_Data!$A$2:$A$9)</f>
        <v>8</v>
      </c>
    </row>
    <row r="722" spans="1:12">
      <c r="A722" s="99">
        <v>1574</v>
      </c>
      <c r="B722" s="101">
        <v>44706</v>
      </c>
      <c r="C722" s="96">
        <v>17</v>
      </c>
      <c r="D722" s="104" t="s">
        <v>32</v>
      </c>
      <c r="E722" s="97" t="s">
        <v>25</v>
      </c>
      <c r="F722" s="97" t="str">
        <f>VLOOKUP(E722,Emp_Data!$B$2:$C$9,2,)</f>
        <v>Jeff</v>
      </c>
      <c r="G722" s="97" t="s">
        <v>9</v>
      </c>
      <c r="H722" s="97" t="s">
        <v>40</v>
      </c>
      <c r="I722" s="97">
        <v>289</v>
      </c>
      <c r="J722" s="97">
        <v>3</v>
      </c>
      <c r="K722" s="97">
        <f t="shared" si="11"/>
        <v>867</v>
      </c>
      <c r="L722" s="97">
        <f>_xlfn.XLOOKUP(E722,Emp_Data!$B$2:$B$9,Emp_Data!$A$2:$A$9)</f>
        <v>5</v>
      </c>
    </row>
    <row r="723" spans="1:12">
      <c r="A723" s="99">
        <v>1582</v>
      </c>
      <c r="B723" s="101">
        <v>44706</v>
      </c>
      <c r="C723" s="96">
        <v>16</v>
      </c>
      <c r="D723" s="104" t="s">
        <v>37</v>
      </c>
      <c r="E723" s="97" t="s">
        <v>25</v>
      </c>
      <c r="F723" s="97" t="str">
        <f>VLOOKUP(E723,Emp_Data!$B$2:$C$9,2,)</f>
        <v>Jeff</v>
      </c>
      <c r="G723" s="97" t="s">
        <v>9</v>
      </c>
      <c r="H723" s="97" t="s">
        <v>40</v>
      </c>
      <c r="I723" s="97">
        <v>289</v>
      </c>
      <c r="J723" s="97">
        <v>1</v>
      </c>
      <c r="K723" s="97">
        <f t="shared" si="11"/>
        <v>289</v>
      </c>
      <c r="L723" s="97">
        <f>_xlfn.XLOOKUP(E723,Emp_Data!$B$2:$B$9,Emp_Data!$A$2:$A$9)</f>
        <v>5</v>
      </c>
    </row>
    <row r="724" spans="1:12">
      <c r="A724" s="99">
        <v>1583</v>
      </c>
      <c r="B724" s="101">
        <v>44706</v>
      </c>
      <c r="C724" s="96">
        <v>1</v>
      </c>
      <c r="D724" s="104" t="s">
        <v>31</v>
      </c>
      <c r="E724" s="97" t="s">
        <v>21</v>
      </c>
      <c r="F724" s="97" t="str">
        <f>VLOOKUP(E724,Emp_Data!$B$2:$C$9,2,)</f>
        <v>Sara</v>
      </c>
      <c r="G724" s="97" t="s">
        <v>15</v>
      </c>
      <c r="H724" s="97" t="s">
        <v>40</v>
      </c>
      <c r="I724" s="97">
        <v>289</v>
      </c>
      <c r="J724" s="97">
        <v>9</v>
      </c>
      <c r="K724" s="97">
        <f t="shared" si="11"/>
        <v>2601</v>
      </c>
      <c r="L724" s="97">
        <f>_xlfn.XLOOKUP(E724,Emp_Data!$B$2:$B$9,Emp_Data!$A$2:$A$9)</f>
        <v>2</v>
      </c>
    </row>
    <row r="725" spans="1:12">
      <c r="A725" s="99">
        <v>1586</v>
      </c>
      <c r="B725" s="101">
        <v>44707</v>
      </c>
      <c r="C725" s="96">
        <v>4</v>
      </c>
      <c r="D725" s="104" t="s">
        <v>13</v>
      </c>
      <c r="E725" s="97" t="s">
        <v>14</v>
      </c>
      <c r="F725" s="97" t="str">
        <f>VLOOKUP(E725,Emp_Data!$B$2:$C$9,2,)</f>
        <v>Jeff</v>
      </c>
      <c r="G725" s="97" t="s">
        <v>15</v>
      </c>
      <c r="H725" s="97" t="s">
        <v>40</v>
      </c>
      <c r="I725" s="97">
        <v>289</v>
      </c>
      <c r="J725" s="97">
        <v>2</v>
      </c>
      <c r="K725" s="97">
        <f t="shared" si="11"/>
        <v>578</v>
      </c>
      <c r="L725" s="97">
        <f>_xlfn.XLOOKUP(E725,Emp_Data!$B$2:$B$9,Emp_Data!$A$2:$A$9)</f>
        <v>2</v>
      </c>
    </row>
    <row r="726" spans="1:12">
      <c r="A726" s="99">
        <v>1593</v>
      </c>
      <c r="B726" s="101">
        <v>44707</v>
      </c>
      <c r="C726" s="96">
        <v>16</v>
      </c>
      <c r="D726" s="104" t="s">
        <v>37</v>
      </c>
      <c r="E726" s="97" t="s">
        <v>8</v>
      </c>
      <c r="F726" s="97" t="str">
        <f>VLOOKUP(E726,Emp_Data!$B$2:$C$9,2,)</f>
        <v>Jeff</v>
      </c>
      <c r="G726" s="97" t="s">
        <v>9</v>
      </c>
      <c r="H726" s="97" t="s">
        <v>40</v>
      </c>
      <c r="I726" s="97">
        <v>289</v>
      </c>
      <c r="J726" s="97">
        <v>9</v>
      </c>
      <c r="K726" s="97">
        <f t="shared" si="11"/>
        <v>2601</v>
      </c>
      <c r="L726" s="97">
        <f>_xlfn.XLOOKUP(E726,Emp_Data!$B$2:$B$9,Emp_Data!$A$2:$A$9)</f>
        <v>3</v>
      </c>
    </row>
    <row r="727" spans="1:12">
      <c r="A727" s="99">
        <v>1607</v>
      </c>
      <c r="B727" s="101">
        <v>44711</v>
      </c>
      <c r="C727" s="96">
        <v>5</v>
      </c>
      <c r="D727" s="104" t="s">
        <v>16</v>
      </c>
      <c r="E727" s="97" t="s">
        <v>14</v>
      </c>
      <c r="F727" s="97" t="str">
        <f>VLOOKUP(E727,Emp_Data!$B$2:$C$9,2,)</f>
        <v>Jeff</v>
      </c>
      <c r="G727" s="97" t="s">
        <v>15</v>
      </c>
      <c r="H727" s="97" t="s">
        <v>40</v>
      </c>
      <c r="I727" s="97">
        <v>289</v>
      </c>
      <c r="J727" s="97">
        <v>3</v>
      </c>
      <c r="K727" s="97">
        <f t="shared" si="11"/>
        <v>867</v>
      </c>
      <c r="L727" s="97">
        <f>_xlfn.XLOOKUP(E727,Emp_Data!$B$2:$B$9,Emp_Data!$A$2:$A$9)</f>
        <v>2</v>
      </c>
    </row>
    <row r="728" spans="1:12">
      <c r="A728" s="99">
        <v>1613</v>
      </c>
      <c r="B728" s="101">
        <v>44713</v>
      </c>
      <c r="C728" s="96">
        <v>17</v>
      </c>
      <c r="D728" s="104" t="s">
        <v>32</v>
      </c>
      <c r="E728" s="97" t="s">
        <v>8</v>
      </c>
      <c r="F728" s="97" t="str">
        <f>VLOOKUP(E728,Emp_Data!$B$2:$C$9,2,)</f>
        <v>Jeff</v>
      </c>
      <c r="G728" s="97" t="s">
        <v>9</v>
      </c>
      <c r="H728" s="97" t="s">
        <v>40</v>
      </c>
      <c r="I728" s="97">
        <v>289</v>
      </c>
      <c r="J728" s="97">
        <v>0</v>
      </c>
      <c r="K728" s="97">
        <f t="shared" si="11"/>
        <v>0</v>
      </c>
      <c r="L728" s="97">
        <f>_xlfn.XLOOKUP(E728,Emp_Data!$B$2:$B$9,Emp_Data!$A$2:$A$9)</f>
        <v>3</v>
      </c>
    </row>
    <row r="729" spans="1:12">
      <c r="A729" s="99">
        <v>1614</v>
      </c>
      <c r="B729" s="101">
        <v>44714</v>
      </c>
      <c r="C729" s="96">
        <v>8</v>
      </c>
      <c r="D729" s="104" t="s">
        <v>36</v>
      </c>
      <c r="E729" s="97" t="s">
        <v>11</v>
      </c>
      <c r="F729" s="97" t="str">
        <f>VLOOKUP(E729,Emp_Data!$B$2:$C$9,2,)</f>
        <v>Steve</v>
      </c>
      <c r="G729" s="97" t="s">
        <v>12</v>
      </c>
      <c r="H729" s="97" t="s">
        <v>40</v>
      </c>
      <c r="I729" s="97">
        <v>289</v>
      </c>
      <c r="J729" s="97">
        <v>4</v>
      </c>
      <c r="K729" s="97">
        <f t="shared" si="11"/>
        <v>1156</v>
      </c>
      <c r="L729" s="97">
        <f>_xlfn.XLOOKUP(E729,Emp_Data!$B$2:$B$9,Emp_Data!$A$2:$A$9)</f>
        <v>4</v>
      </c>
    </row>
    <row r="730" spans="1:12">
      <c r="A730" s="99">
        <v>1622</v>
      </c>
      <c r="B730" s="101">
        <v>44717</v>
      </c>
      <c r="C730" s="96">
        <v>11</v>
      </c>
      <c r="D730" s="104" t="s">
        <v>38</v>
      </c>
      <c r="E730" s="97" t="s">
        <v>18</v>
      </c>
      <c r="F730" s="97" t="str">
        <f>VLOOKUP(E730,Emp_Data!$B$2:$C$9,2,)</f>
        <v>Sara</v>
      </c>
      <c r="G730" s="97" t="s">
        <v>19</v>
      </c>
      <c r="H730" s="97" t="s">
        <v>40</v>
      </c>
      <c r="I730" s="97">
        <v>289</v>
      </c>
      <c r="J730" s="97">
        <v>2</v>
      </c>
      <c r="K730" s="97">
        <f t="shared" si="11"/>
        <v>578</v>
      </c>
      <c r="L730" s="97">
        <f>_xlfn.XLOOKUP(E730,Emp_Data!$B$2:$B$9,Emp_Data!$A$2:$A$9)</f>
        <v>5</v>
      </c>
    </row>
    <row r="731" spans="1:12">
      <c r="A731" s="99">
        <v>1624</v>
      </c>
      <c r="B731" s="101">
        <v>44718</v>
      </c>
      <c r="C731" s="96">
        <v>6</v>
      </c>
      <c r="D731" s="104" t="s">
        <v>10</v>
      </c>
      <c r="E731" s="97" t="s">
        <v>11</v>
      </c>
      <c r="F731" s="97" t="str">
        <f>VLOOKUP(E731,Emp_Data!$B$2:$C$9,2,)</f>
        <v>Steve</v>
      </c>
      <c r="G731" s="97" t="s">
        <v>12</v>
      </c>
      <c r="H731" s="97" t="s">
        <v>40</v>
      </c>
      <c r="I731" s="97">
        <v>289</v>
      </c>
      <c r="J731" s="97">
        <v>1</v>
      </c>
      <c r="K731" s="97">
        <f t="shared" si="11"/>
        <v>289</v>
      </c>
      <c r="L731" s="97">
        <f>_xlfn.XLOOKUP(E731,Emp_Data!$B$2:$B$9,Emp_Data!$A$2:$A$9)</f>
        <v>4</v>
      </c>
    </row>
    <row r="732" spans="1:12">
      <c r="A732" s="99">
        <v>1635</v>
      </c>
      <c r="B732" s="101">
        <v>44718</v>
      </c>
      <c r="C732" s="96">
        <v>3</v>
      </c>
      <c r="D732" s="104" t="s">
        <v>20</v>
      </c>
      <c r="E732" s="97" t="s">
        <v>14</v>
      </c>
      <c r="F732" s="97" t="str">
        <f>VLOOKUP(E732,Emp_Data!$B$2:$C$9,2,)</f>
        <v>Jeff</v>
      </c>
      <c r="G732" s="97" t="s">
        <v>15</v>
      </c>
      <c r="H732" s="97" t="s">
        <v>40</v>
      </c>
      <c r="I732" s="97">
        <v>289</v>
      </c>
      <c r="J732" s="97">
        <v>9</v>
      </c>
      <c r="K732" s="97">
        <f t="shared" si="11"/>
        <v>2601</v>
      </c>
      <c r="L732" s="97">
        <f>_xlfn.XLOOKUP(E732,Emp_Data!$B$2:$B$9,Emp_Data!$A$2:$A$9)</f>
        <v>2</v>
      </c>
    </row>
    <row r="733" spans="1:12">
      <c r="A733" s="99">
        <v>1656</v>
      </c>
      <c r="B733" s="101">
        <v>44726</v>
      </c>
      <c r="C733" s="96">
        <v>16</v>
      </c>
      <c r="D733" s="104" t="s">
        <v>37</v>
      </c>
      <c r="E733" s="97" t="s">
        <v>8</v>
      </c>
      <c r="F733" s="97" t="str">
        <f>VLOOKUP(E733,Emp_Data!$B$2:$C$9,2,)</f>
        <v>Jeff</v>
      </c>
      <c r="G733" s="97" t="s">
        <v>9</v>
      </c>
      <c r="H733" s="97" t="s">
        <v>40</v>
      </c>
      <c r="I733" s="97">
        <v>289</v>
      </c>
      <c r="J733" s="97">
        <v>9</v>
      </c>
      <c r="K733" s="97">
        <f t="shared" si="11"/>
        <v>2601</v>
      </c>
      <c r="L733" s="97">
        <f>_xlfn.XLOOKUP(E733,Emp_Data!$B$2:$B$9,Emp_Data!$A$2:$A$9)</f>
        <v>3</v>
      </c>
    </row>
    <row r="734" spans="1:12">
      <c r="A734" s="99">
        <v>1660</v>
      </c>
      <c r="B734" s="101">
        <v>44727</v>
      </c>
      <c r="C734" s="96">
        <v>13</v>
      </c>
      <c r="D734" s="104" t="s">
        <v>23</v>
      </c>
      <c r="E734" s="97" t="s">
        <v>18</v>
      </c>
      <c r="F734" s="97" t="str">
        <f>VLOOKUP(E734,Emp_Data!$B$2:$C$9,2,)</f>
        <v>Sara</v>
      </c>
      <c r="G734" s="97" t="s">
        <v>19</v>
      </c>
      <c r="H734" s="97" t="s">
        <v>40</v>
      </c>
      <c r="I734" s="97">
        <v>289</v>
      </c>
      <c r="J734" s="97">
        <v>4</v>
      </c>
      <c r="K734" s="97">
        <f t="shared" si="11"/>
        <v>1156</v>
      </c>
      <c r="L734" s="97">
        <f>_xlfn.XLOOKUP(E734,Emp_Data!$B$2:$B$9,Emp_Data!$A$2:$A$9)</f>
        <v>5</v>
      </c>
    </row>
    <row r="735" spans="1:12">
      <c r="A735" s="99">
        <v>1663</v>
      </c>
      <c r="B735" s="101">
        <v>44727</v>
      </c>
      <c r="C735" s="96">
        <v>2</v>
      </c>
      <c r="D735" s="104" t="s">
        <v>35</v>
      </c>
      <c r="E735" s="97" t="s">
        <v>14</v>
      </c>
      <c r="F735" s="97" t="str">
        <f>VLOOKUP(E735,Emp_Data!$B$2:$C$9,2,)</f>
        <v>Jeff</v>
      </c>
      <c r="G735" s="97" t="s">
        <v>15</v>
      </c>
      <c r="H735" s="97" t="s">
        <v>40</v>
      </c>
      <c r="I735" s="97">
        <v>289</v>
      </c>
      <c r="J735" s="97">
        <v>5</v>
      </c>
      <c r="K735" s="97">
        <f t="shared" si="11"/>
        <v>1445</v>
      </c>
      <c r="L735" s="97">
        <f>_xlfn.XLOOKUP(E735,Emp_Data!$B$2:$B$9,Emp_Data!$A$2:$A$9)</f>
        <v>2</v>
      </c>
    </row>
    <row r="736" spans="1:12">
      <c r="A736" s="99">
        <v>1670</v>
      </c>
      <c r="B736" s="101">
        <v>44729</v>
      </c>
      <c r="C736" s="96">
        <v>1</v>
      </c>
      <c r="D736" s="104" t="s">
        <v>31</v>
      </c>
      <c r="E736" s="97" t="s">
        <v>14</v>
      </c>
      <c r="F736" s="97" t="str">
        <f>VLOOKUP(E736,Emp_Data!$B$2:$C$9,2,)</f>
        <v>Jeff</v>
      </c>
      <c r="G736" s="97" t="s">
        <v>15</v>
      </c>
      <c r="H736" s="97" t="s">
        <v>40</v>
      </c>
      <c r="I736" s="97">
        <v>289</v>
      </c>
      <c r="J736" s="97">
        <v>5</v>
      </c>
      <c r="K736" s="97">
        <f t="shared" si="11"/>
        <v>1445</v>
      </c>
      <c r="L736" s="97">
        <f>_xlfn.XLOOKUP(E736,Emp_Data!$B$2:$B$9,Emp_Data!$A$2:$A$9)</f>
        <v>2</v>
      </c>
    </row>
    <row r="737" spans="1:12">
      <c r="A737" s="99">
        <v>1671</v>
      </c>
      <c r="B737" s="101">
        <v>44729</v>
      </c>
      <c r="C737" s="96">
        <v>17</v>
      </c>
      <c r="D737" s="104" t="s">
        <v>32</v>
      </c>
      <c r="E737" s="97" t="s">
        <v>8</v>
      </c>
      <c r="F737" s="97" t="str">
        <f>VLOOKUP(E737,Emp_Data!$B$2:$C$9,2,)</f>
        <v>Jeff</v>
      </c>
      <c r="G737" s="97" t="s">
        <v>9</v>
      </c>
      <c r="H737" s="97" t="s">
        <v>40</v>
      </c>
      <c r="I737" s="97">
        <v>289</v>
      </c>
      <c r="J737" s="97">
        <v>1</v>
      </c>
      <c r="K737" s="97">
        <f t="shared" si="11"/>
        <v>289</v>
      </c>
      <c r="L737" s="97">
        <f>_xlfn.XLOOKUP(E737,Emp_Data!$B$2:$B$9,Emp_Data!$A$2:$A$9)</f>
        <v>3</v>
      </c>
    </row>
    <row r="738" spans="1:12">
      <c r="A738" s="99">
        <v>1691</v>
      </c>
      <c r="B738" s="101">
        <v>44738</v>
      </c>
      <c r="C738" s="96">
        <v>2</v>
      </c>
      <c r="D738" s="104" t="s">
        <v>35</v>
      </c>
      <c r="E738" s="97" t="s">
        <v>21</v>
      </c>
      <c r="F738" s="97" t="str">
        <f>VLOOKUP(E738,Emp_Data!$B$2:$C$9,2,)</f>
        <v>Sara</v>
      </c>
      <c r="G738" s="97" t="s">
        <v>15</v>
      </c>
      <c r="H738" s="97" t="s">
        <v>40</v>
      </c>
      <c r="I738" s="97">
        <v>289</v>
      </c>
      <c r="J738" s="97">
        <v>7</v>
      </c>
      <c r="K738" s="97">
        <f t="shared" si="11"/>
        <v>2023</v>
      </c>
      <c r="L738" s="97">
        <f>_xlfn.XLOOKUP(E738,Emp_Data!$B$2:$B$9,Emp_Data!$A$2:$A$9)</f>
        <v>2</v>
      </c>
    </row>
    <row r="739" spans="1:12">
      <c r="A739" s="99">
        <v>1693</v>
      </c>
      <c r="B739" s="101">
        <v>44740</v>
      </c>
      <c r="C739" s="96">
        <v>20</v>
      </c>
      <c r="D739" s="104" t="s">
        <v>7</v>
      </c>
      <c r="E739" s="97" t="s">
        <v>8</v>
      </c>
      <c r="F739" s="97" t="str">
        <f>VLOOKUP(E739,Emp_Data!$B$2:$C$9,2,)</f>
        <v>Jeff</v>
      </c>
      <c r="G739" s="97" t="s">
        <v>9</v>
      </c>
      <c r="H739" s="97" t="s">
        <v>40</v>
      </c>
      <c r="I739" s="97">
        <v>289</v>
      </c>
      <c r="J739" s="97">
        <v>8</v>
      </c>
      <c r="K739" s="97">
        <f t="shared" si="11"/>
        <v>2312</v>
      </c>
      <c r="L739" s="97">
        <f>_xlfn.XLOOKUP(E739,Emp_Data!$B$2:$B$9,Emp_Data!$A$2:$A$9)</f>
        <v>3</v>
      </c>
    </row>
    <row r="740" spans="1:12">
      <c r="A740" s="99">
        <v>1700</v>
      </c>
      <c r="B740" s="101">
        <v>44745</v>
      </c>
      <c r="C740" s="96">
        <v>12</v>
      </c>
      <c r="D740" s="104" t="s">
        <v>17</v>
      </c>
      <c r="E740" s="97" t="s">
        <v>18</v>
      </c>
      <c r="F740" s="97" t="str">
        <f>VLOOKUP(E740,Emp_Data!$B$2:$C$9,2,)</f>
        <v>Sara</v>
      </c>
      <c r="G740" s="97" t="s">
        <v>19</v>
      </c>
      <c r="H740" s="97" t="s">
        <v>40</v>
      </c>
      <c r="I740" s="97">
        <v>289</v>
      </c>
      <c r="J740" s="97">
        <v>5</v>
      </c>
      <c r="K740" s="97">
        <f t="shared" si="11"/>
        <v>1445</v>
      </c>
      <c r="L740" s="97">
        <f>_xlfn.XLOOKUP(E740,Emp_Data!$B$2:$B$9,Emp_Data!$A$2:$A$9)</f>
        <v>5</v>
      </c>
    </row>
    <row r="741" spans="1:12">
      <c r="A741" s="99">
        <v>1719</v>
      </c>
      <c r="B741" s="101">
        <v>44754</v>
      </c>
      <c r="C741" s="96">
        <v>5</v>
      </c>
      <c r="D741" s="104" t="s">
        <v>16</v>
      </c>
      <c r="E741" s="97" t="s">
        <v>21</v>
      </c>
      <c r="F741" s="97" t="str">
        <f>VLOOKUP(E741,Emp_Data!$B$2:$C$9,2,)</f>
        <v>Sara</v>
      </c>
      <c r="G741" s="97" t="s">
        <v>15</v>
      </c>
      <c r="H741" s="97" t="s">
        <v>40</v>
      </c>
      <c r="I741" s="97">
        <v>289</v>
      </c>
      <c r="J741" s="97">
        <v>0</v>
      </c>
      <c r="K741" s="97">
        <f t="shared" si="11"/>
        <v>0</v>
      </c>
      <c r="L741" s="97">
        <f>_xlfn.XLOOKUP(E741,Emp_Data!$B$2:$B$9,Emp_Data!$A$2:$A$9)</f>
        <v>2</v>
      </c>
    </row>
    <row r="742" spans="1:12">
      <c r="A742" s="99">
        <v>1720</v>
      </c>
      <c r="B742" s="101">
        <v>44754</v>
      </c>
      <c r="C742" s="96">
        <v>1</v>
      </c>
      <c r="D742" s="104" t="s">
        <v>31</v>
      </c>
      <c r="E742" s="97" t="s">
        <v>21</v>
      </c>
      <c r="F742" s="97" t="str">
        <f>VLOOKUP(E742,Emp_Data!$B$2:$C$9,2,)</f>
        <v>Sara</v>
      </c>
      <c r="G742" s="97" t="s">
        <v>15</v>
      </c>
      <c r="H742" s="97" t="s">
        <v>40</v>
      </c>
      <c r="I742" s="97">
        <v>289</v>
      </c>
      <c r="J742" s="97">
        <v>3</v>
      </c>
      <c r="K742" s="97">
        <f t="shared" si="11"/>
        <v>867</v>
      </c>
      <c r="L742" s="97">
        <f>_xlfn.XLOOKUP(E742,Emp_Data!$B$2:$B$9,Emp_Data!$A$2:$A$9)</f>
        <v>2</v>
      </c>
    </row>
    <row r="743" spans="1:12">
      <c r="A743" s="99">
        <v>1725</v>
      </c>
      <c r="B743" s="101">
        <v>44756</v>
      </c>
      <c r="C743" s="96">
        <v>4</v>
      </c>
      <c r="D743" s="104" t="s">
        <v>13</v>
      </c>
      <c r="E743" s="97" t="s">
        <v>14</v>
      </c>
      <c r="F743" s="97" t="str">
        <f>VLOOKUP(E743,Emp_Data!$B$2:$C$9,2,)</f>
        <v>Jeff</v>
      </c>
      <c r="G743" s="97" t="s">
        <v>15</v>
      </c>
      <c r="H743" s="97" t="s">
        <v>40</v>
      </c>
      <c r="I743" s="97">
        <v>289</v>
      </c>
      <c r="J743" s="97">
        <v>8</v>
      </c>
      <c r="K743" s="97">
        <f t="shared" si="11"/>
        <v>2312</v>
      </c>
      <c r="L743" s="97">
        <f>_xlfn.XLOOKUP(E743,Emp_Data!$B$2:$B$9,Emp_Data!$A$2:$A$9)</f>
        <v>2</v>
      </c>
    </row>
    <row r="744" spans="1:12">
      <c r="A744" s="99">
        <v>1736</v>
      </c>
      <c r="B744" s="101">
        <v>44760</v>
      </c>
      <c r="C744" s="96">
        <v>7</v>
      </c>
      <c r="D744" s="104" t="s">
        <v>28</v>
      </c>
      <c r="E744" s="97" t="s">
        <v>11</v>
      </c>
      <c r="F744" s="97" t="str">
        <f>VLOOKUP(E744,Emp_Data!$B$2:$C$9,2,)</f>
        <v>Steve</v>
      </c>
      <c r="G744" s="97" t="s">
        <v>12</v>
      </c>
      <c r="H744" s="97" t="s">
        <v>40</v>
      </c>
      <c r="I744" s="97">
        <v>289</v>
      </c>
      <c r="J744" s="97">
        <v>7</v>
      </c>
      <c r="K744" s="97">
        <f t="shared" si="11"/>
        <v>2023</v>
      </c>
      <c r="L744" s="97">
        <f>_xlfn.XLOOKUP(E744,Emp_Data!$B$2:$B$9,Emp_Data!$A$2:$A$9)</f>
        <v>4</v>
      </c>
    </row>
    <row r="745" spans="1:12">
      <c r="A745" s="99">
        <v>1741</v>
      </c>
      <c r="B745" s="101">
        <v>44762</v>
      </c>
      <c r="C745" s="96">
        <v>17</v>
      </c>
      <c r="D745" s="104" t="s">
        <v>32</v>
      </c>
      <c r="E745" s="97" t="s">
        <v>25</v>
      </c>
      <c r="F745" s="97" t="str">
        <f>VLOOKUP(E745,Emp_Data!$B$2:$C$9,2,)</f>
        <v>Jeff</v>
      </c>
      <c r="G745" s="97" t="s">
        <v>9</v>
      </c>
      <c r="H745" s="97" t="s">
        <v>40</v>
      </c>
      <c r="I745" s="97">
        <v>289</v>
      </c>
      <c r="J745" s="97">
        <v>2</v>
      </c>
      <c r="K745" s="97">
        <f t="shared" si="11"/>
        <v>578</v>
      </c>
      <c r="L745" s="97">
        <f>_xlfn.XLOOKUP(E745,Emp_Data!$B$2:$B$9,Emp_Data!$A$2:$A$9)</f>
        <v>5</v>
      </c>
    </row>
    <row r="746" spans="1:12">
      <c r="A746" s="99">
        <v>1742</v>
      </c>
      <c r="B746" s="101">
        <v>44763</v>
      </c>
      <c r="C746" s="96">
        <v>14</v>
      </c>
      <c r="D746" s="104" t="s">
        <v>33</v>
      </c>
      <c r="E746" s="97" t="s">
        <v>24</v>
      </c>
      <c r="F746" s="97" t="str">
        <f>VLOOKUP(E746,Emp_Data!$B$2:$C$9,2,)</f>
        <v>Steve</v>
      </c>
      <c r="G746" s="97" t="s">
        <v>19</v>
      </c>
      <c r="H746" s="97" t="s">
        <v>40</v>
      </c>
      <c r="I746" s="97">
        <v>289</v>
      </c>
      <c r="J746" s="97">
        <v>9</v>
      </c>
      <c r="K746" s="97">
        <f t="shared" si="11"/>
        <v>2601</v>
      </c>
      <c r="L746" s="97">
        <f>_xlfn.XLOOKUP(E746,Emp_Data!$B$2:$B$9,Emp_Data!$A$2:$A$9)</f>
        <v>6</v>
      </c>
    </row>
    <row r="747" spans="1:12">
      <c r="A747" s="99">
        <v>1752</v>
      </c>
      <c r="B747" s="101">
        <v>44767</v>
      </c>
      <c r="C747" s="96">
        <v>6</v>
      </c>
      <c r="D747" s="104" t="s">
        <v>10</v>
      </c>
      <c r="E747" s="97" t="s">
        <v>27</v>
      </c>
      <c r="F747" s="97" t="str">
        <f>VLOOKUP(E747,Emp_Data!$B$2:$C$9,2,)</f>
        <v>Philip</v>
      </c>
      <c r="G747" s="97" t="s">
        <v>12</v>
      </c>
      <c r="H747" s="97" t="s">
        <v>40</v>
      </c>
      <c r="I747" s="97">
        <v>289</v>
      </c>
      <c r="J747" s="97">
        <v>7</v>
      </c>
      <c r="K747" s="97">
        <f t="shared" si="11"/>
        <v>2023</v>
      </c>
      <c r="L747" s="97">
        <f>_xlfn.XLOOKUP(E747,Emp_Data!$B$2:$B$9,Emp_Data!$A$2:$A$9)</f>
        <v>8</v>
      </c>
    </row>
    <row r="748" spans="1:12">
      <c r="A748" s="99">
        <v>1755</v>
      </c>
      <c r="B748" s="101">
        <v>44767</v>
      </c>
      <c r="C748" s="96">
        <v>15</v>
      </c>
      <c r="D748" s="104" t="s">
        <v>29</v>
      </c>
      <c r="E748" s="97" t="s">
        <v>24</v>
      </c>
      <c r="F748" s="97" t="str">
        <f>VLOOKUP(E748,Emp_Data!$B$2:$C$9,2,)</f>
        <v>Steve</v>
      </c>
      <c r="G748" s="97" t="s">
        <v>19</v>
      </c>
      <c r="H748" s="97" t="s">
        <v>40</v>
      </c>
      <c r="I748" s="97">
        <v>289</v>
      </c>
      <c r="J748" s="97">
        <v>4</v>
      </c>
      <c r="K748" s="97">
        <f t="shared" si="11"/>
        <v>1156</v>
      </c>
      <c r="L748" s="97">
        <f>_xlfn.XLOOKUP(E748,Emp_Data!$B$2:$B$9,Emp_Data!$A$2:$A$9)</f>
        <v>6</v>
      </c>
    </row>
    <row r="749" spans="1:12">
      <c r="A749" s="99">
        <v>1757</v>
      </c>
      <c r="B749" s="101">
        <v>44767</v>
      </c>
      <c r="C749" s="96">
        <v>4</v>
      </c>
      <c r="D749" s="104" t="s">
        <v>13</v>
      </c>
      <c r="E749" s="97" t="s">
        <v>14</v>
      </c>
      <c r="F749" s="97" t="str">
        <f>VLOOKUP(E749,Emp_Data!$B$2:$C$9,2,)</f>
        <v>Jeff</v>
      </c>
      <c r="G749" s="97" t="s">
        <v>15</v>
      </c>
      <c r="H749" s="97" t="s">
        <v>40</v>
      </c>
      <c r="I749" s="97">
        <v>289</v>
      </c>
      <c r="J749" s="97">
        <v>2</v>
      </c>
      <c r="K749" s="97">
        <f t="shared" si="11"/>
        <v>578</v>
      </c>
      <c r="L749" s="97">
        <f>_xlfn.XLOOKUP(E749,Emp_Data!$B$2:$B$9,Emp_Data!$A$2:$A$9)</f>
        <v>2</v>
      </c>
    </row>
    <row r="750" spans="1:12">
      <c r="A750" s="99">
        <v>1776</v>
      </c>
      <c r="B750" s="101">
        <v>44778</v>
      </c>
      <c r="C750" s="96">
        <v>2</v>
      </c>
      <c r="D750" s="104" t="s">
        <v>35</v>
      </c>
      <c r="E750" s="97" t="s">
        <v>14</v>
      </c>
      <c r="F750" s="97" t="str">
        <f>VLOOKUP(E750,Emp_Data!$B$2:$C$9,2,)</f>
        <v>Jeff</v>
      </c>
      <c r="G750" s="97" t="s">
        <v>15</v>
      </c>
      <c r="H750" s="97" t="s">
        <v>40</v>
      </c>
      <c r="I750" s="97">
        <v>289</v>
      </c>
      <c r="J750" s="97">
        <v>8</v>
      </c>
      <c r="K750" s="97">
        <f t="shared" si="11"/>
        <v>2312</v>
      </c>
      <c r="L750" s="97">
        <f>_xlfn.XLOOKUP(E750,Emp_Data!$B$2:$B$9,Emp_Data!$A$2:$A$9)</f>
        <v>2</v>
      </c>
    </row>
    <row r="751" spans="1:12">
      <c r="A751" s="99">
        <v>1780</v>
      </c>
      <c r="B751" s="101">
        <v>44780</v>
      </c>
      <c r="C751" s="96">
        <v>18</v>
      </c>
      <c r="D751" s="104" t="s">
        <v>30</v>
      </c>
      <c r="E751" s="97" t="s">
        <v>8</v>
      </c>
      <c r="F751" s="97" t="str">
        <f>VLOOKUP(E751,Emp_Data!$B$2:$C$9,2,)</f>
        <v>Jeff</v>
      </c>
      <c r="G751" s="97" t="s">
        <v>9</v>
      </c>
      <c r="H751" s="97" t="s">
        <v>40</v>
      </c>
      <c r="I751" s="97">
        <v>289</v>
      </c>
      <c r="J751" s="97">
        <v>0</v>
      </c>
      <c r="K751" s="97">
        <f t="shared" si="11"/>
        <v>0</v>
      </c>
      <c r="L751" s="97">
        <f>_xlfn.XLOOKUP(E751,Emp_Data!$B$2:$B$9,Emp_Data!$A$2:$A$9)</f>
        <v>3</v>
      </c>
    </row>
    <row r="752" spans="1:12">
      <c r="A752" s="99">
        <v>1781</v>
      </c>
      <c r="B752" s="101">
        <v>44780</v>
      </c>
      <c r="C752" s="96">
        <v>19</v>
      </c>
      <c r="D752" s="104" t="s">
        <v>22</v>
      </c>
      <c r="E752" s="97" t="s">
        <v>25</v>
      </c>
      <c r="F752" s="97" t="str">
        <f>VLOOKUP(E752,Emp_Data!$B$2:$C$9,2,)</f>
        <v>Jeff</v>
      </c>
      <c r="G752" s="97" t="s">
        <v>9</v>
      </c>
      <c r="H752" s="97" t="s">
        <v>40</v>
      </c>
      <c r="I752" s="97">
        <v>289</v>
      </c>
      <c r="J752" s="97">
        <v>8</v>
      </c>
      <c r="K752" s="97">
        <f t="shared" si="11"/>
        <v>2312</v>
      </c>
      <c r="L752" s="97">
        <f>_xlfn.XLOOKUP(E752,Emp_Data!$B$2:$B$9,Emp_Data!$A$2:$A$9)</f>
        <v>5</v>
      </c>
    </row>
    <row r="753" spans="1:12">
      <c r="A753" s="99">
        <v>1787</v>
      </c>
      <c r="B753" s="101">
        <v>44782</v>
      </c>
      <c r="C753" s="96">
        <v>15</v>
      </c>
      <c r="D753" s="104" t="s">
        <v>29</v>
      </c>
      <c r="E753" s="97" t="s">
        <v>24</v>
      </c>
      <c r="F753" s="97" t="str">
        <f>VLOOKUP(E753,Emp_Data!$B$2:$C$9,2,)</f>
        <v>Steve</v>
      </c>
      <c r="G753" s="97" t="s">
        <v>19</v>
      </c>
      <c r="H753" s="97" t="s">
        <v>40</v>
      </c>
      <c r="I753" s="97">
        <v>289</v>
      </c>
      <c r="J753" s="97">
        <v>8</v>
      </c>
      <c r="K753" s="97">
        <f t="shared" si="11"/>
        <v>2312</v>
      </c>
      <c r="L753" s="97">
        <f>_xlfn.XLOOKUP(E753,Emp_Data!$B$2:$B$9,Emp_Data!$A$2:$A$9)</f>
        <v>6</v>
      </c>
    </row>
    <row r="754" spans="1:12">
      <c r="A754" s="99">
        <v>1796</v>
      </c>
      <c r="B754" s="101">
        <v>44785</v>
      </c>
      <c r="C754" s="96">
        <v>2</v>
      </c>
      <c r="D754" s="104" t="s">
        <v>35</v>
      </c>
      <c r="E754" s="97" t="s">
        <v>21</v>
      </c>
      <c r="F754" s="97" t="str">
        <f>VLOOKUP(E754,Emp_Data!$B$2:$C$9,2,)</f>
        <v>Sara</v>
      </c>
      <c r="G754" s="97" t="s">
        <v>15</v>
      </c>
      <c r="H754" s="97" t="s">
        <v>40</v>
      </c>
      <c r="I754" s="97">
        <v>289</v>
      </c>
      <c r="J754" s="97">
        <v>5</v>
      </c>
      <c r="K754" s="97">
        <f t="shared" si="11"/>
        <v>1445</v>
      </c>
      <c r="L754" s="97">
        <f>_xlfn.XLOOKUP(E754,Emp_Data!$B$2:$B$9,Emp_Data!$A$2:$A$9)</f>
        <v>2</v>
      </c>
    </row>
    <row r="755" spans="1:12">
      <c r="A755" s="99">
        <v>1798</v>
      </c>
      <c r="B755" s="101">
        <v>44785</v>
      </c>
      <c r="C755" s="96">
        <v>13</v>
      </c>
      <c r="D755" s="104" t="s">
        <v>23</v>
      </c>
      <c r="E755" s="97" t="s">
        <v>24</v>
      </c>
      <c r="F755" s="97" t="str">
        <f>VLOOKUP(E755,Emp_Data!$B$2:$C$9,2,)</f>
        <v>Steve</v>
      </c>
      <c r="G755" s="97" t="s">
        <v>19</v>
      </c>
      <c r="H755" s="97" t="s">
        <v>40</v>
      </c>
      <c r="I755" s="97">
        <v>289</v>
      </c>
      <c r="J755" s="97">
        <v>4</v>
      </c>
      <c r="K755" s="97">
        <f t="shared" si="11"/>
        <v>1156</v>
      </c>
      <c r="L755" s="97">
        <f>_xlfn.XLOOKUP(E755,Emp_Data!$B$2:$B$9,Emp_Data!$A$2:$A$9)</f>
        <v>6</v>
      </c>
    </row>
    <row r="756" spans="1:12">
      <c r="A756" s="99">
        <v>1810</v>
      </c>
      <c r="B756" s="101">
        <v>44787</v>
      </c>
      <c r="C756" s="96">
        <v>3</v>
      </c>
      <c r="D756" s="104" t="s">
        <v>20</v>
      </c>
      <c r="E756" s="97" t="s">
        <v>21</v>
      </c>
      <c r="F756" s="97" t="str">
        <f>VLOOKUP(E756,Emp_Data!$B$2:$C$9,2,)</f>
        <v>Sara</v>
      </c>
      <c r="G756" s="97" t="s">
        <v>15</v>
      </c>
      <c r="H756" s="97" t="s">
        <v>40</v>
      </c>
      <c r="I756" s="97">
        <v>289</v>
      </c>
      <c r="J756" s="97">
        <v>3</v>
      </c>
      <c r="K756" s="97">
        <f t="shared" si="11"/>
        <v>867</v>
      </c>
      <c r="L756" s="97">
        <f>_xlfn.XLOOKUP(E756,Emp_Data!$B$2:$B$9,Emp_Data!$A$2:$A$9)</f>
        <v>2</v>
      </c>
    </row>
    <row r="757" spans="1:12">
      <c r="A757" s="99">
        <v>1822</v>
      </c>
      <c r="B757" s="101">
        <v>44791</v>
      </c>
      <c r="C757" s="96">
        <v>17</v>
      </c>
      <c r="D757" s="104" t="s">
        <v>32</v>
      </c>
      <c r="E757" s="97" t="s">
        <v>25</v>
      </c>
      <c r="F757" s="97" t="str">
        <f>VLOOKUP(E757,Emp_Data!$B$2:$C$9,2,)</f>
        <v>Jeff</v>
      </c>
      <c r="G757" s="97" t="s">
        <v>9</v>
      </c>
      <c r="H757" s="97" t="s">
        <v>40</v>
      </c>
      <c r="I757" s="97">
        <v>289</v>
      </c>
      <c r="J757" s="97">
        <v>7</v>
      </c>
      <c r="K757" s="97">
        <f t="shared" si="11"/>
        <v>2023</v>
      </c>
      <c r="L757" s="97">
        <f>_xlfn.XLOOKUP(E757,Emp_Data!$B$2:$B$9,Emp_Data!$A$2:$A$9)</f>
        <v>5</v>
      </c>
    </row>
    <row r="758" spans="1:12">
      <c r="A758" s="99">
        <v>1826</v>
      </c>
      <c r="B758" s="101">
        <v>44792</v>
      </c>
      <c r="C758" s="96">
        <v>18</v>
      </c>
      <c r="D758" s="104" t="s">
        <v>30</v>
      </c>
      <c r="E758" s="97" t="s">
        <v>8</v>
      </c>
      <c r="F758" s="97" t="str">
        <f>VLOOKUP(E758,Emp_Data!$B$2:$C$9,2,)</f>
        <v>Jeff</v>
      </c>
      <c r="G758" s="97" t="s">
        <v>9</v>
      </c>
      <c r="H758" s="97" t="s">
        <v>40</v>
      </c>
      <c r="I758" s="97">
        <v>289</v>
      </c>
      <c r="J758" s="97">
        <v>4</v>
      </c>
      <c r="K758" s="97">
        <f t="shared" si="11"/>
        <v>1156</v>
      </c>
      <c r="L758" s="97">
        <f>_xlfn.XLOOKUP(E758,Emp_Data!$B$2:$B$9,Emp_Data!$A$2:$A$9)</f>
        <v>3</v>
      </c>
    </row>
    <row r="759" spans="1:12">
      <c r="A759" s="99">
        <v>1827</v>
      </c>
      <c r="B759" s="101">
        <v>44792</v>
      </c>
      <c r="C759" s="96">
        <v>2</v>
      </c>
      <c r="D759" s="104" t="s">
        <v>35</v>
      </c>
      <c r="E759" s="97" t="s">
        <v>14</v>
      </c>
      <c r="F759" s="97" t="str">
        <f>VLOOKUP(E759,Emp_Data!$B$2:$C$9,2,)</f>
        <v>Jeff</v>
      </c>
      <c r="G759" s="97" t="s">
        <v>15</v>
      </c>
      <c r="H759" s="97" t="s">
        <v>40</v>
      </c>
      <c r="I759" s="97">
        <v>289</v>
      </c>
      <c r="J759" s="97">
        <v>2</v>
      </c>
      <c r="K759" s="97">
        <f t="shared" si="11"/>
        <v>578</v>
      </c>
      <c r="L759" s="97">
        <f>_xlfn.XLOOKUP(E759,Emp_Data!$B$2:$B$9,Emp_Data!$A$2:$A$9)</f>
        <v>2</v>
      </c>
    </row>
    <row r="760" spans="1:12">
      <c r="A760" s="99">
        <v>1830</v>
      </c>
      <c r="B760" s="101">
        <v>44793</v>
      </c>
      <c r="C760" s="96">
        <v>5</v>
      </c>
      <c r="D760" s="104" t="s">
        <v>16</v>
      </c>
      <c r="E760" s="97" t="s">
        <v>14</v>
      </c>
      <c r="F760" s="97" t="str">
        <f>VLOOKUP(E760,Emp_Data!$B$2:$C$9,2,)</f>
        <v>Jeff</v>
      </c>
      <c r="G760" s="97" t="s">
        <v>15</v>
      </c>
      <c r="H760" s="97" t="s">
        <v>40</v>
      </c>
      <c r="I760" s="97">
        <v>289</v>
      </c>
      <c r="J760" s="97">
        <v>2</v>
      </c>
      <c r="K760" s="97">
        <f t="shared" si="11"/>
        <v>578</v>
      </c>
      <c r="L760" s="97">
        <f>_xlfn.XLOOKUP(E760,Emp_Data!$B$2:$B$9,Emp_Data!$A$2:$A$9)</f>
        <v>2</v>
      </c>
    </row>
    <row r="761" spans="1:12">
      <c r="A761" s="99">
        <v>1835</v>
      </c>
      <c r="B761" s="101">
        <v>44794</v>
      </c>
      <c r="C761" s="96">
        <v>5</v>
      </c>
      <c r="D761" s="104" t="s">
        <v>16</v>
      </c>
      <c r="E761" s="97" t="s">
        <v>21</v>
      </c>
      <c r="F761" s="97" t="str">
        <f>VLOOKUP(E761,Emp_Data!$B$2:$C$9,2,)</f>
        <v>Sara</v>
      </c>
      <c r="G761" s="97" t="s">
        <v>15</v>
      </c>
      <c r="H761" s="97" t="s">
        <v>40</v>
      </c>
      <c r="I761" s="97">
        <v>289</v>
      </c>
      <c r="J761" s="97">
        <v>3</v>
      </c>
      <c r="K761" s="97">
        <f t="shared" si="11"/>
        <v>867</v>
      </c>
      <c r="L761" s="97">
        <f>_xlfn.XLOOKUP(E761,Emp_Data!$B$2:$B$9,Emp_Data!$A$2:$A$9)</f>
        <v>2</v>
      </c>
    </row>
    <row r="762" spans="1:12">
      <c r="A762" s="99">
        <v>1839</v>
      </c>
      <c r="B762" s="101">
        <v>44795</v>
      </c>
      <c r="C762" s="96">
        <v>19</v>
      </c>
      <c r="D762" s="104" t="s">
        <v>22</v>
      </c>
      <c r="E762" s="97" t="s">
        <v>25</v>
      </c>
      <c r="F762" s="97" t="str">
        <f>VLOOKUP(E762,Emp_Data!$B$2:$C$9,2,)</f>
        <v>Jeff</v>
      </c>
      <c r="G762" s="97" t="s">
        <v>9</v>
      </c>
      <c r="H762" s="97" t="s">
        <v>40</v>
      </c>
      <c r="I762" s="97">
        <v>289</v>
      </c>
      <c r="J762" s="97">
        <v>5</v>
      </c>
      <c r="K762" s="97">
        <f t="shared" si="11"/>
        <v>1445</v>
      </c>
      <c r="L762" s="97">
        <f>_xlfn.XLOOKUP(E762,Emp_Data!$B$2:$B$9,Emp_Data!$A$2:$A$9)</f>
        <v>5</v>
      </c>
    </row>
    <row r="763" spans="1:12">
      <c r="A763" s="99">
        <v>1862</v>
      </c>
      <c r="B763" s="101">
        <v>44803</v>
      </c>
      <c r="C763" s="96">
        <v>10</v>
      </c>
      <c r="D763" s="104" t="s">
        <v>34</v>
      </c>
      <c r="E763" s="97" t="s">
        <v>27</v>
      </c>
      <c r="F763" s="97" t="str">
        <f>VLOOKUP(E763,Emp_Data!$B$2:$C$9,2,)</f>
        <v>Philip</v>
      </c>
      <c r="G763" s="97" t="s">
        <v>12</v>
      </c>
      <c r="H763" s="97" t="s">
        <v>40</v>
      </c>
      <c r="I763" s="97">
        <v>289</v>
      </c>
      <c r="J763" s="97">
        <v>3</v>
      </c>
      <c r="K763" s="97">
        <f t="shared" si="11"/>
        <v>867</v>
      </c>
      <c r="L763" s="97">
        <f>_xlfn.XLOOKUP(E763,Emp_Data!$B$2:$B$9,Emp_Data!$A$2:$A$9)</f>
        <v>8</v>
      </c>
    </row>
    <row r="764" spans="1:12">
      <c r="A764" s="99">
        <v>1864</v>
      </c>
      <c r="B764" s="101">
        <v>44805</v>
      </c>
      <c r="C764" s="96">
        <v>16</v>
      </c>
      <c r="D764" s="104" t="s">
        <v>37</v>
      </c>
      <c r="E764" s="97" t="s">
        <v>25</v>
      </c>
      <c r="F764" s="97" t="str">
        <f>VLOOKUP(E764,Emp_Data!$B$2:$C$9,2,)</f>
        <v>Jeff</v>
      </c>
      <c r="G764" s="97" t="s">
        <v>9</v>
      </c>
      <c r="H764" s="97" t="s">
        <v>40</v>
      </c>
      <c r="I764" s="97">
        <v>289</v>
      </c>
      <c r="J764" s="97">
        <v>3</v>
      </c>
      <c r="K764" s="97">
        <f t="shared" si="11"/>
        <v>867</v>
      </c>
      <c r="L764" s="97">
        <f>_xlfn.XLOOKUP(E764,Emp_Data!$B$2:$B$9,Emp_Data!$A$2:$A$9)</f>
        <v>5</v>
      </c>
    </row>
    <row r="765" spans="1:12">
      <c r="A765" s="99">
        <v>1867</v>
      </c>
      <c r="B765" s="101">
        <v>44806</v>
      </c>
      <c r="C765" s="96">
        <v>3</v>
      </c>
      <c r="D765" s="104" t="s">
        <v>20</v>
      </c>
      <c r="E765" s="97" t="s">
        <v>14</v>
      </c>
      <c r="F765" s="97" t="str">
        <f>VLOOKUP(E765,Emp_Data!$B$2:$C$9,2,)</f>
        <v>Jeff</v>
      </c>
      <c r="G765" s="97" t="s">
        <v>15</v>
      </c>
      <c r="H765" s="97" t="s">
        <v>40</v>
      </c>
      <c r="I765" s="97">
        <v>289</v>
      </c>
      <c r="J765" s="97">
        <v>6</v>
      </c>
      <c r="K765" s="97">
        <f t="shared" si="11"/>
        <v>1734</v>
      </c>
      <c r="L765" s="97">
        <f>_xlfn.XLOOKUP(E765,Emp_Data!$B$2:$B$9,Emp_Data!$A$2:$A$9)</f>
        <v>2</v>
      </c>
    </row>
    <row r="766" spans="1:12">
      <c r="A766" s="99">
        <v>1874</v>
      </c>
      <c r="B766" s="101">
        <v>44810</v>
      </c>
      <c r="C766" s="96">
        <v>9</v>
      </c>
      <c r="D766" s="104" t="s">
        <v>26</v>
      </c>
      <c r="E766" s="97" t="s">
        <v>27</v>
      </c>
      <c r="F766" s="97" t="str">
        <f>VLOOKUP(E766,Emp_Data!$B$2:$C$9,2,)</f>
        <v>Philip</v>
      </c>
      <c r="G766" s="97" t="s">
        <v>12</v>
      </c>
      <c r="H766" s="97" t="s">
        <v>40</v>
      </c>
      <c r="I766" s="97">
        <v>289</v>
      </c>
      <c r="J766" s="97">
        <v>2</v>
      </c>
      <c r="K766" s="97">
        <f t="shared" si="11"/>
        <v>578</v>
      </c>
      <c r="L766" s="97">
        <f>_xlfn.XLOOKUP(E766,Emp_Data!$B$2:$B$9,Emp_Data!$A$2:$A$9)</f>
        <v>8</v>
      </c>
    </row>
    <row r="767" spans="1:12">
      <c r="A767" s="99">
        <v>1886</v>
      </c>
      <c r="B767" s="101">
        <v>44812</v>
      </c>
      <c r="C767" s="96">
        <v>10</v>
      </c>
      <c r="D767" s="104" t="s">
        <v>34</v>
      </c>
      <c r="E767" s="97" t="s">
        <v>11</v>
      </c>
      <c r="F767" s="97" t="str">
        <f>VLOOKUP(E767,Emp_Data!$B$2:$C$9,2,)</f>
        <v>Steve</v>
      </c>
      <c r="G767" s="97" t="s">
        <v>12</v>
      </c>
      <c r="H767" s="97" t="s">
        <v>40</v>
      </c>
      <c r="I767" s="97">
        <v>289</v>
      </c>
      <c r="J767" s="97">
        <v>2</v>
      </c>
      <c r="K767" s="97">
        <f t="shared" si="11"/>
        <v>578</v>
      </c>
      <c r="L767" s="97">
        <f>_xlfn.XLOOKUP(E767,Emp_Data!$B$2:$B$9,Emp_Data!$A$2:$A$9)</f>
        <v>4</v>
      </c>
    </row>
    <row r="768" spans="1:12">
      <c r="A768" s="99">
        <v>1896</v>
      </c>
      <c r="B768" s="101">
        <v>44816</v>
      </c>
      <c r="C768" s="96">
        <v>20</v>
      </c>
      <c r="D768" s="104" t="s">
        <v>7</v>
      </c>
      <c r="E768" s="97" t="s">
        <v>8</v>
      </c>
      <c r="F768" s="97" t="str">
        <f>VLOOKUP(E768,Emp_Data!$B$2:$C$9,2,)</f>
        <v>Jeff</v>
      </c>
      <c r="G768" s="97" t="s">
        <v>9</v>
      </c>
      <c r="H768" s="97" t="s">
        <v>40</v>
      </c>
      <c r="I768" s="97">
        <v>289</v>
      </c>
      <c r="J768" s="97">
        <v>0</v>
      </c>
      <c r="K768" s="97">
        <f t="shared" si="11"/>
        <v>0</v>
      </c>
      <c r="L768" s="97">
        <f>_xlfn.XLOOKUP(E768,Emp_Data!$B$2:$B$9,Emp_Data!$A$2:$A$9)</f>
        <v>3</v>
      </c>
    </row>
    <row r="769" spans="1:12">
      <c r="A769" s="99">
        <v>1912</v>
      </c>
      <c r="B769" s="101">
        <v>44823</v>
      </c>
      <c r="C769" s="96">
        <v>6</v>
      </c>
      <c r="D769" s="104" t="s">
        <v>10</v>
      </c>
      <c r="E769" s="97" t="s">
        <v>27</v>
      </c>
      <c r="F769" s="97" t="str">
        <f>VLOOKUP(E769,Emp_Data!$B$2:$C$9,2,)</f>
        <v>Philip</v>
      </c>
      <c r="G769" s="97" t="s">
        <v>12</v>
      </c>
      <c r="H769" s="97" t="s">
        <v>40</v>
      </c>
      <c r="I769" s="97">
        <v>289</v>
      </c>
      <c r="J769" s="97">
        <v>7</v>
      </c>
      <c r="K769" s="97">
        <f t="shared" si="11"/>
        <v>2023</v>
      </c>
      <c r="L769" s="97">
        <f>_xlfn.XLOOKUP(E769,Emp_Data!$B$2:$B$9,Emp_Data!$A$2:$A$9)</f>
        <v>8</v>
      </c>
    </row>
    <row r="770" spans="1:12">
      <c r="A770" s="99">
        <v>1917</v>
      </c>
      <c r="B770" s="101">
        <v>44824</v>
      </c>
      <c r="C770" s="96">
        <v>4</v>
      </c>
      <c r="D770" s="104" t="s">
        <v>13</v>
      </c>
      <c r="E770" s="97" t="s">
        <v>14</v>
      </c>
      <c r="F770" s="97" t="str">
        <f>VLOOKUP(E770,Emp_Data!$B$2:$C$9,2,)</f>
        <v>Jeff</v>
      </c>
      <c r="G770" s="97" t="s">
        <v>15</v>
      </c>
      <c r="H770" s="97" t="s">
        <v>40</v>
      </c>
      <c r="I770" s="97">
        <v>289</v>
      </c>
      <c r="J770" s="97">
        <v>8</v>
      </c>
      <c r="K770" s="97">
        <f t="shared" si="11"/>
        <v>2312</v>
      </c>
      <c r="L770" s="97">
        <f>_xlfn.XLOOKUP(E770,Emp_Data!$B$2:$B$9,Emp_Data!$A$2:$A$9)</f>
        <v>2</v>
      </c>
    </row>
    <row r="771" spans="1:12">
      <c r="A771" s="99">
        <v>1925</v>
      </c>
      <c r="B771" s="101">
        <v>44825</v>
      </c>
      <c r="C771" s="96">
        <v>19</v>
      </c>
      <c r="D771" s="104" t="s">
        <v>22</v>
      </c>
      <c r="E771" s="97" t="s">
        <v>25</v>
      </c>
      <c r="F771" s="97" t="str">
        <f>VLOOKUP(E771,Emp_Data!$B$2:$C$9,2,)</f>
        <v>Jeff</v>
      </c>
      <c r="G771" s="97" t="s">
        <v>9</v>
      </c>
      <c r="H771" s="97" t="s">
        <v>40</v>
      </c>
      <c r="I771" s="97">
        <v>289</v>
      </c>
      <c r="J771" s="97">
        <v>1</v>
      </c>
      <c r="K771" s="97">
        <f t="shared" ref="K771:K834" si="12">SUMPRODUCT(I771,J771)</f>
        <v>289</v>
      </c>
      <c r="L771" s="97">
        <f>_xlfn.XLOOKUP(E771,Emp_Data!$B$2:$B$9,Emp_Data!$A$2:$A$9)</f>
        <v>5</v>
      </c>
    </row>
    <row r="772" spans="1:12">
      <c r="A772" s="99">
        <v>1927</v>
      </c>
      <c r="B772" s="101">
        <v>44826</v>
      </c>
      <c r="C772" s="96">
        <v>6</v>
      </c>
      <c r="D772" s="104" t="s">
        <v>10</v>
      </c>
      <c r="E772" s="97" t="s">
        <v>11</v>
      </c>
      <c r="F772" s="97" t="str">
        <f>VLOOKUP(E772,Emp_Data!$B$2:$C$9,2,)</f>
        <v>Steve</v>
      </c>
      <c r="G772" s="97" t="s">
        <v>12</v>
      </c>
      <c r="H772" s="97" t="s">
        <v>40</v>
      </c>
      <c r="I772" s="97">
        <v>289</v>
      </c>
      <c r="J772" s="97">
        <v>2</v>
      </c>
      <c r="K772" s="97">
        <f t="shared" si="12"/>
        <v>578</v>
      </c>
      <c r="L772" s="97">
        <f>_xlfn.XLOOKUP(E772,Emp_Data!$B$2:$B$9,Emp_Data!$A$2:$A$9)</f>
        <v>4</v>
      </c>
    </row>
    <row r="773" spans="1:12">
      <c r="A773" s="99">
        <v>1934</v>
      </c>
      <c r="B773" s="101">
        <v>44829</v>
      </c>
      <c r="C773" s="96">
        <v>6</v>
      </c>
      <c r="D773" s="104" t="s">
        <v>10</v>
      </c>
      <c r="E773" s="97" t="s">
        <v>11</v>
      </c>
      <c r="F773" s="97" t="str">
        <f>VLOOKUP(E773,Emp_Data!$B$2:$C$9,2,)</f>
        <v>Steve</v>
      </c>
      <c r="G773" s="97" t="s">
        <v>12</v>
      </c>
      <c r="H773" s="97" t="s">
        <v>40</v>
      </c>
      <c r="I773" s="97">
        <v>289</v>
      </c>
      <c r="J773" s="97">
        <v>8</v>
      </c>
      <c r="K773" s="97">
        <f t="shared" si="12"/>
        <v>2312</v>
      </c>
      <c r="L773" s="97">
        <f>_xlfn.XLOOKUP(E773,Emp_Data!$B$2:$B$9,Emp_Data!$A$2:$A$9)</f>
        <v>4</v>
      </c>
    </row>
    <row r="774" spans="1:12">
      <c r="A774" s="99">
        <v>1935</v>
      </c>
      <c r="B774" s="101">
        <v>44829</v>
      </c>
      <c r="C774" s="96">
        <v>12</v>
      </c>
      <c r="D774" s="104" t="s">
        <v>17</v>
      </c>
      <c r="E774" s="97" t="s">
        <v>18</v>
      </c>
      <c r="F774" s="97" t="str">
        <f>VLOOKUP(E774,Emp_Data!$B$2:$C$9,2,)</f>
        <v>Sara</v>
      </c>
      <c r="G774" s="97" t="s">
        <v>19</v>
      </c>
      <c r="H774" s="97" t="s">
        <v>40</v>
      </c>
      <c r="I774" s="97">
        <v>289</v>
      </c>
      <c r="J774" s="97">
        <v>5</v>
      </c>
      <c r="K774" s="97">
        <f t="shared" si="12"/>
        <v>1445</v>
      </c>
      <c r="L774" s="97">
        <f>_xlfn.XLOOKUP(E774,Emp_Data!$B$2:$B$9,Emp_Data!$A$2:$A$9)</f>
        <v>5</v>
      </c>
    </row>
    <row r="775" spans="1:12">
      <c r="A775" s="99">
        <v>1936</v>
      </c>
      <c r="B775" s="101">
        <v>44830</v>
      </c>
      <c r="C775" s="96">
        <v>17</v>
      </c>
      <c r="D775" s="104" t="s">
        <v>32</v>
      </c>
      <c r="E775" s="97" t="s">
        <v>8</v>
      </c>
      <c r="F775" s="97" t="str">
        <f>VLOOKUP(E775,Emp_Data!$B$2:$C$9,2,)</f>
        <v>Jeff</v>
      </c>
      <c r="G775" s="97" t="s">
        <v>9</v>
      </c>
      <c r="H775" s="97" t="s">
        <v>40</v>
      </c>
      <c r="I775" s="97">
        <v>289</v>
      </c>
      <c r="J775" s="97">
        <v>6</v>
      </c>
      <c r="K775" s="97">
        <f t="shared" si="12"/>
        <v>1734</v>
      </c>
      <c r="L775" s="97">
        <f>_xlfn.XLOOKUP(E775,Emp_Data!$B$2:$B$9,Emp_Data!$A$2:$A$9)</f>
        <v>3</v>
      </c>
    </row>
    <row r="776" spans="1:12">
      <c r="A776" s="99">
        <v>1937</v>
      </c>
      <c r="B776" s="101">
        <v>44831</v>
      </c>
      <c r="C776" s="96">
        <v>15</v>
      </c>
      <c r="D776" s="104" t="s">
        <v>29</v>
      </c>
      <c r="E776" s="97" t="s">
        <v>18</v>
      </c>
      <c r="F776" s="97" t="str">
        <f>VLOOKUP(E776,Emp_Data!$B$2:$C$9,2,)</f>
        <v>Sara</v>
      </c>
      <c r="G776" s="97" t="s">
        <v>19</v>
      </c>
      <c r="H776" s="97" t="s">
        <v>40</v>
      </c>
      <c r="I776" s="97">
        <v>289</v>
      </c>
      <c r="J776" s="97">
        <v>2</v>
      </c>
      <c r="K776" s="97">
        <f t="shared" si="12"/>
        <v>578</v>
      </c>
      <c r="L776" s="97">
        <f>_xlfn.XLOOKUP(E776,Emp_Data!$B$2:$B$9,Emp_Data!$A$2:$A$9)</f>
        <v>5</v>
      </c>
    </row>
    <row r="777" spans="1:12">
      <c r="A777" s="99">
        <v>1938</v>
      </c>
      <c r="B777" s="101">
        <v>44831</v>
      </c>
      <c r="C777" s="96">
        <v>13</v>
      </c>
      <c r="D777" s="104" t="s">
        <v>23</v>
      </c>
      <c r="E777" s="97" t="s">
        <v>24</v>
      </c>
      <c r="F777" s="97" t="str">
        <f>VLOOKUP(E777,Emp_Data!$B$2:$C$9,2,)</f>
        <v>Steve</v>
      </c>
      <c r="G777" s="97" t="s">
        <v>19</v>
      </c>
      <c r="H777" s="97" t="s">
        <v>40</v>
      </c>
      <c r="I777" s="97">
        <v>289</v>
      </c>
      <c r="J777" s="97">
        <v>5</v>
      </c>
      <c r="K777" s="97">
        <f t="shared" si="12"/>
        <v>1445</v>
      </c>
      <c r="L777" s="97">
        <f>_xlfn.XLOOKUP(E777,Emp_Data!$B$2:$B$9,Emp_Data!$A$2:$A$9)</f>
        <v>6</v>
      </c>
    </row>
    <row r="778" spans="1:12">
      <c r="A778" s="99">
        <v>1945</v>
      </c>
      <c r="B778" s="101">
        <v>44833</v>
      </c>
      <c r="C778" s="96">
        <v>19</v>
      </c>
      <c r="D778" s="104" t="s">
        <v>22</v>
      </c>
      <c r="E778" s="97" t="s">
        <v>25</v>
      </c>
      <c r="F778" s="97" t="str">
        <f>VLOOKUP(E778,Emp_Data!$B$2:$C$9,2,)</f>
        <v>Jeff</v>
      </c>
      <c r="G778" s="97" t="s">
        <v>9</v>
      </c>
      <c r="H778" s="97" t="s">
        <v>40</v>
      </c>
      <c r="I778" s="97">
        <v>289</v>
      </c>
      <c r="J778" s="97">
        <v>0</v>
      </c>
      <c r="K778" s="97">
        <f t="shared" si="12"/>
        <v>0</v>
      </c>
      <c r="L778" s="97">
        <f>_xlfn.XLOOKUP(E778,Emp_Data!$B$2:$B$9,Emp_Data!$A$2:$A$9)</f>
        <v>5</v>
      </c>
    </row>
    <row r="779" spans="1:12">
      <c r="A779" s="99">
        <v>1948</v>
      </c>
      <c r="B779" s="101">
        <v>44833</v>
      </c>
      <c r="C779" s="96">
        <v>1</v>
      </c>
      <c r="D779" s="104" t="s">
        <v>31</v>
      </c>
      <c r="E779" s="97" t="s">
        <v>14</v>
      </c>
      <c r="F779" s="97" t="str">
        <f>VLOOKUP(E779,Emp_Data!$B$2:$C$9,2,)</f>
        <v>Jeff</v>
      </c>
      <c r="G779" s="97" t="s">
        <v>15</v>
      </c>
      <c r="H779" s="97" t="s">
        <v>40</v>
      </c>
      <c r="I779" s="97">
        <v>289</v>
      </c>
      <c r="J779" s="97">
        <v>8</v>
      </c>
      <c r="K779" s="97">
        <f t="shared" si="12"/>
        <v>2312</v>
      </c>
      <c r="L779" s="97">
        <f>_xlfn.XLOOKUP(E779,Emp_Data!$B$2:$B$9,Emp_Data!$A$2:$A$9)</f>
        <v>2</v>
      </c>
    </row>
    <row r="780" spans="1:12">
      <c r="A780" s="99">
        <v>1952</v>
      </c>
      <c r="B780" s="101">
        <v>44835</v>
      </c>
      <c r="C780" s="96">
        <v>8</v>
      </c>
      <c r="D780" s="104" t="s">
        <v>36</v>
      </c>
      <c r="E780" s="97" t="s">
        <v>27</v>
      </c>
      <c r="F780" s="97" t="str">
        <f>VLOOKUP(E780,Emp_Data!$B$2:$C$9,2,)</f>
        <v>Philip</v>
      </c>
      <c r="G780" s="97" t="s">
        <v>12</v>
      </c>
      <c r="H780" s="97" t="s">
        <v>40</v>
      </c>
      <c r="I780" s="97">
        <v>289</v>
      </c>
      <c r="J780" s="97">
        <v>5</v>
      </c>
      <c r="K780" s="97">
        <f t="shared" si="12"/>
        <v>1445</v>
      </c>
      <c r="L780" s="97">
        <f>_xlfn.XLOOKUP(E780,Emp_Data!$B$2:$B$9,Emp_Data!$A$2:$A$9)</f>
        <v>8</v>
      </c>
    </row>
    <row r="781" spans="1:12">
      <c r="A781" s="99">
        <v>1957</v>
      </c>
      <c r="B781" s="101">
        <v>44836</v>
      </c>
      <c r="C781" s="96">
        <v>17</v>
      </c>
      <c r="D781" s="104" t="s">
        <v>32</v>
      </c>
      <c r="E781" s="97" t="s">
        <v>25</v>
      </c>
      <c r="F781" s="97" t="str">
        <f>VLOOKUP(E781,Emp_Data!$B$2:$C$9,2,)</f>
        <v>Jeff</v>
      </c>
      <c r="G781" s="97" t="s">
        <v>9</v>
      </c>
      <c r="H781" s="97" t="s">
        <v>40</v>
      </c>
      <c r="I781" s="97">
        <v>289</v>
      </c>
      <c r="J781" s="97">
        <v>6</v>
      </c>
      <c r="K781" s="97">
        <f t="shared" si="12"/>
        <v>1734</v>
      </c>
      <c r="L781" s="97">
        <f>_xlfn.XLOOKUP(E781,Emp_Data!$B$2:$B$9,Emp_Data!$A$2:$A$9)</f>
        <v>5</v>
      </c>
    </row>
    <row r="782" spans="1:12">
      <c r="A782" s="99">
        <v>1961</v>
      </c>
      <c r="B782" s="101">
        <v>44838</v>
      </c>
      <c r="C782" s="96">
        <v>9</v>
      </c>
      <c r="D782" s="104" t="s">
        <v>26</v>
      </c>
      <c r="E782" s="97" t="s">
        <v>27</v>
      </c>
      <c r="F782" s="97" t="str">
        <f>VLOOKUP(E782,Emp_Data!$B$2:$C$9,2,)</f>
        <v>Philip</v>
      </c>
      <c r="G782" s="97" t="s">
        <v>12</v>
      </c>
      <c r="H782" s="97" t="s">
        <v>40</v>
      </c>
      <c r="I782" s="97">
        <v>289</v>
      </c>
      <c r="J782" s="97">
        <v>8</v>
      </c>
      <c r="K782" s="97">
        <f t="shared" si="12"/>
        <v>2312</v>
      </c>
      <c r="L782" s="97">
        <f>_xlfn.XLOOKUP(E782,Emp_Data!$B$2:$B$9,Emp_Data!$A$2:$A$9)</f>
        <v>8</v>
      </c>
    </row>
    <row r="783" spans="1:12">
      <c r="A783" s="99">
        <v>1963</v>
      </c>
      <c r="B783" s="101">
        <v>44839</v>
      </c>
      <c r="C783" s="96">
        <v>20</v>
      </c>
      <c r="D783" s="104" t="s">
        <v>7</v>
      </c>
      <c r="E783" s="97" t="s">
        <v>8</v>
      </c>
      <c r="F783" s="97" t="str">
        <f>VLOOKUP(E783,Emp_Data!$B$2:$C$9,2,)</f>
        <v>Jeff</v>
      </c>
      <c r="G783" s="97" t="s">
        <v>9</v>
      </c>
      <c r="H783" s="97" t="s">
        <v>40</v>
      </c>
      <c r="I783" s="97">
        <v>289</v>
      </c>
      <c r="J783" s="97">
        <v>1</v>
      </c>
      <c r="K783" s="97">
        <f t="shared" si="12"/>
        <v>289</v>
      </c>
      <c r="L783" s="97">
        <f>_xlfn.XLOOKUP(E783,Emp_Data!$B$2:$B$9,Emp_Data!$A$2:$A$9)</f>
        <v>3</v>
      </c>
    </row>
    <row r="784" spans="1:12">
      <c r="A784" s="99">
        <v>1964</v>
      </c>
      <c r="B784" s="101">
        <v>44839</v>
      </c>
      <c r="C784" s="96">
        <v>4</v>
      </c>
      <c r="D784" s="104" t="s">
        <v>13</v>
      </c>
      <c r="E784" s="97" t="s">
        <v>14</v>
      </c>
      <c r="F784" s="97" t="str">
        <f>VLOOKUP(E784,Emp_Data!$B$2:$C$9,2,)</f>
        <v>Jeff</v>
      </c>
      <c r="G784" s="97" t="s">
        <v>15</v>
      </c>
      <c r="H784" s="97" t="s">
        <v>40</v>
      </c>
      <c r="I784" s="97">
        <v>289</v>
      </c>
      <c r="J784" s="97">
        <v>3</v>
      </c>
      <c r="K784" s="97">
        <f t="shared" si="12"/>
        <v>867</v>
      </c>
      <c r="L784" s="97">
        <f>_xlfn.XLOOKUP(E784,Emp_Data!$B$2:$B$9,Emp_Data!$A$2:$A$9)</f>
        <v>2</v>
      </c>
    </row>
    <row r="785" spans="1:12">
      <c r="A785" s="99">
        <v>1974</v>
      </c>
      <c r="B785" s="101">
        <v>44840</v>
      </c>
      <c r="C785" s="96">
        <v>19</v>
      </c>
      <c r="D785" s="104" t="s">
        <v>22</v>
      </c>
      <c r="E785" s="97" t="s">
        <v>25</v>
      </c>
      <c r="F785" s="97" t="str">
        <f>VLOOKUP(E785,Emp_Data!$B$2:$C$9,2,)</f>
        <v>Jeff</v>
      </c>
      <c r="G785" s="97" t="s">
        <v>9</v>
      </c>
      <c r="H785" s="97" t="s">
        <v>40</v>
      </c>
      <c r="I785" s="97">
        <v>289</v>
      </c>
      <c r="J785" s="97">
        <v>1</v>
      </c>
      <c r="K785" s="97">
        <f t="shared" si="12"/>
        <v>289</v>
      </c>
      <c r="L785" s="97">
        <f>_xlfn.XLOOKUP(E785,Emp_Data!$B$2:$B$9,Emp_Data!$A$2:$A$9)</f>
        <v>5</v>
      </c>
    </row>
    <row r="786" spans="1:12">
      <c r="A786" s="99">
        <v>1981</v>
      </c>
      <c r="B786" s="101">
        <v>44843</v>
      </c>
      <c r="C786" s="96">
        <v>12</v>
      </c>
      <c r="D786" s="104" t="s">
        <v>17</v>
      </c>
      <c r="E786" s="97" t="s">
        <v>18</v>
      </c>
      <c r="F786" s="97" t="str">
        <f>VLOOKUP(E786,Emp_Data!$B$2:$C$9,2,)</f>
        <v>Sara</v>
      </c>
      <c r="G786" s="97" t="s">
        <v>19</v>
      </c>
      <c r="H786" s="97" t="s">
        <v>40</v>
      </c>
      <c r="I786" s="97">
        <v>289</v>
      </c>
      <c r="J786" s="97">
        <v>0</v>
      </c>
      <c r="K786" s="97">
        <f t="shared" si="12"/>
        <v>0</v>
      </c>
      <c r="L786" s="97">
        <f>_xlfn.XLOOKUP(E786,Emp_Data!$B$2:$B$9,Emp_Data!$A$2:$A$9)</f>
        <v>5</v>
      </c>
    </row>
    <row r="787" spans="1:12">
      <c r="A787" s="99">
        <v>1987</v>
      </c>
      <c r="B787" s="101">
        <v>44847</v>
      </c>
      <c r="C787" s="96">
        <v>9</v>
      </c>
      <c r="D787" s="104" t="s">
        <v>26</v>
      </c>
      <c r="E787" s="97" t="s">
        <v>27</v>
      </c>
      <c r="F787" s="97" t="str">
        <f>VLOOKUP(E787,Emp_Data!$B$2:$C$9,2,)</f>
        <v>Philip</v>
      </c>
      <c r="G787" s="97" t="s">
        <v>12</v>
      </c>
      <c r="H787" s="97" t="s">
        <v>40</v>
      </c>
      <c r="I787" s="97">
        <v>289</v>
      </c>
      <c r="J787" s="97">
        <v>0</v>
      </c>
      <c r="K787" s="97">
        <f t="shared" si="12"/>
        <v>0</v>
      </c>
      <c r="L787" s="97">
        <f>_xlfn.XLOOKUP(E787,Emp_Data!$B$2:$B$9,Emp_Data!$A$2:$A$9)</f>
        <v>8</v>
      </c>
    </row>
    <row r="788" spans="1:12">
      <c r="A788" s="99">
        <v>1989</v>
      </c>
      <c r="B788" s="101">
        <v>44847</v>
      </c>
      <c r="C788" s="96">
        <v>12</v>
      </c>
      <c r="D788" s="104" t="s">
        <v>17</v>
      </c>
      <c r="E788" s="97" t="s">
        <v>24</v>
      </c>
      <c r="F788" s="97" t="str">
        <f>VLOOKUP(E788,Emp_Data!$B$2:$C$9,2,)</f>
        <v>Steve</v>
      </c>
      <c r="G788" s="97" t="s">
        <v>19</v>
      </c>
      <c r="H788" s="97" t="s">
        <v>40</v>
      </c>
      <c r="I788" s="97">
        <v>289</v>
      </c>
      <c r="J788" s="97">
        <v>3</v>
      </c>
      <c r="K788" s="97">
        <f t="shared" si="12"/>
        <v>867</v>
      </c>
      <c r="L788" s="97">
        <f>_xlfn.XLOOKUP(E788,Emp_Data!$B$2:$B$9,Emp_Data!$A$2:$A$9)</f>
        <v>6</v>
      </c>
    </row>
    <row r="789" spans="1:12">
      <c r="A789" s="99">
        <v>1999</v>
      </c>
      <c r="B789" s="101">
        <v>44850</v>
      </c>
      <c r="C789" s="96">
        <v>6</v>
      </c>
      <c r="D789" s="104" t="s">
        <v>10</v>
      </c>
      <c r="E789" s="97" t="s">
        <v>11</v>
      </c>
      <c r="F789" s="97" t="str">
        <f>VLOOKUP(E789,Emp_Data!$B$2:$C$9,2,)</f>
        <v>Steve</v>
      </c>
      <c r="G789" s="97" t="s">
        <v>12</v>
      </c>
      <c r="H789" s="97" t="s">
        <v>40</v>
      </c>
      <c r="I789" s="97">
        <v>289</v>
      </c>
      <c r="J789" s="97">
        <v>1</v>
      </c>
      <c r="K789" s="97">
        <f t="shared" si="12"/>
        <v>289</v>
      </c>
      <c r="L789" s="97">
        <f>_xlfn.XLOOKUP(E789,Emp_Data!$B$2:$B$9,Emp_Data!$A$2:$A$9)</f>
        <v>4</v>
      </c>
    </row>
    <row r="790" spans="1:12">
      <c r="A790" s="99">
        <v>1</v>
      </c>
      <c r="B790" s="101">
        <v>44197</v>
      </c>
      <c r="C790" s="96">
        <v>11</v>
      </c>
      <c r="D790" s="104" t="s">
        <v>38</v>
      </c>
      <c r="E790" s="97" t="s">
        <v>18</v>
      </c>
      <c r="F790" s="97" t="str">
        <f>VLOOKUP(E790,Emp_Data!$B$2:$C$9,2,)</f>
        <v>Sara</v>
      </c>
      <c r="G790" s="97" t="s">
        <v>19</v>
      </c>
      <c r="H790" s="97" t="s">
        <v>41</v>
      </c>
      <c r="I790" s="97">
        <v>199</v>
      </c>
      <c r="J790" s="97">
        <v>3</v>
      </c>
      <c r="K790" s="97">
        <f t="shared" si="12"/>
        <v>597</v>
      </c>
      <c r="L790" s="97">
        <f>_xlfn.XLOOKUP(E790,Emp_Data!$B$2:$B$9,Emp_Data!$A$2:$A$9)</f>
        <v>5</v>
      </c>
    </row>
    <row r="791" spans="1:12">
      <c r="A791" s="99">
        <v>6</v>
      </c>
      <c r="B791" s="101">
        <v>44200</v>
      </c>
      <c r="C791" s="96">
        <v>13</v>
      </c>
      <c r="D791" s="104" t="s">
        <v>23</v>
      </c>
      <c r="E791" s="97" t="s">
        <v>18</v>
      </c>
      <c r="F791" s="97" t="str">
        <f>VLOOKUP(E791,Emp_Data!$B$2:$C$9,2,)</f>
        <v>Sara</v>
      </c>
      <c r="G791" s="97" t="s">
        <v>19</v>
      </c>
      <c r="H791" s="97" t="s">
        <v>41</v>
      </c>
      <c r="I791" s="97">
        <v>199</v>
      </c>
      <c r="J791" s="97">
        <v>2</v>
      </c>
      <c r="K791" s="97">
        <f t="shared" si="12"/>
        <v>398</v>
      </c>
      <c r="L791" s="97">
        <f>_xlfn.XLOOKUP(E791,Emp_Data!$B$2:$B$9,Emp_Data!$A$2:$A$9)</f>
        <v>5</v>
      </c>
    </row>
    <row r="792" spans="1:12">
      <c r="A792" s="99">
        <v>8</v>
      </c>
      <c r="B792" s="101">
        <v>44201</v>
      </c>
      <c r="C792" s="96">
        <v>14</v>
      </c>
      <c r="D792" s="104" t="s">
        <v>33</v>
      </c>
      <c r="E792" s="97" t="s">
        <v>18</v>
      </c>
      <c r="F792" s="97" t="str">
        <f>VLOOKUP(E792,Emp_Data!$B$2:$C$9,2,)</f>
        <v>Sara</v>
      </c>
      <c r="G792" s="97" t="s">
        <v>19</v>
      </c>
      <c r="H792" s="97" t="s">
        <v>41</v>
      </c>
      <c r="I792" s="97">
        <v>199</v>
      </c>
      <c r="J792" s="97">
        <v>5</v>
      </c>
      <c r="K792" s="97">
        <f t="shared" si="12"/>
        <v>995</v>
      </c>
      <c r="L792" s="97">
        <f>_xlfn.XLOOKUP(E792,Emp_Data!$B$2:$B$9,Emp_Data!$A$2:$A$9)</f>
        <v>5</v>
      </c>
    </row>
    <row r="793" spans="1:12">
      <c r="A793" s="99">
        <v>10</v>
      </c>
      <c r="B793" s="101">
        <v>44201</v>
      </c>
      <c r="C793" s="96">
        <v>3</v>
      </c>
      <c r="D793" s="104" t="s">
        <v>20</v>
      </c>
      <c r="E793" s="97" t="s">
        <v>14</v>
      </c>
      <c r="F793" s="97" t="str">
        <f>VLOOKUP(E793,Emp_Data!$B$2:$C$9,2,)</f>
        <v>Jeff</v>
      </c>
      <c r="G793" s="97" t="s">
        <v>15</v>
      </c>
      <c r="H793" s="97" t="s">
        <v>41</v>
      </c>
      <c r="I793" s="97">
        <v>199</v>
      </c>
      <c r="J793" s="97">
        <v>0</v>
      </c>
      <c r="K793" s="97">
        <f t="shared" si="12"/>
        <v>0</v>
      </c>
      <c r="L793" s="97">
        <f>_xlfn.XLOOKUP(E793,Emp_Data!$B$2:$B$9,Emp_Data!$A$2:$A$9)</f>
        <v>2</v>
      </c>
    </row>
    <row r="794" spans="1:12">
      <c r="A794" s="99">
        <v>13</v>
      </c>
      <c r="B794" s="101">
        <v>44201</v>
      </c>
      <c r="C794" s="96">
        <v>9</v>
      </c>
      <c r="D794" s="104" t="s">
        <v>26</v>
      </c>
      <c r="E794" s="97" t="s">
        <v>27</v>
      </c>
      <c r="F794" s="97" t="str">
        <f>VLOOKUP(E794,Emp_Data!$B$2:$C$9,2,)</f>
        <v>Philip</v>
      </c>
      <c r="G794" s="97" t="s">
        <v>12</v>
      </c>
      <c r="H794" s="97" t="s">
        <v>41</v>
      </c>
      <c r="I794" s="97">
        <v>199</v>
      </c>
      <c r="J794" s="97">
        <v>6</v>
      </c>
      <c r="K794" s="97">
        <f t="shared" si="12"/>
        <v>1194</v>
      </c>
      <c r="L794" s="97">
        <f>_xlfn.XLOOKUP(E794,Emp_Data!$B$2:$B$9,Emp_Data!$A$2:$A$9)</f>
        <v>8</v>
      </c>
    </row>
    <row r="795" spans="1:12">
      <c r="A795" s="99">
        <v>15</v>
      </c>
      <c r="B795" s="101">
        <v>44201</v>
      </c>
      <c r="C795" s="96">
        <v>6</v>
      </c>
      <c r="D795" s="104" t="s">
        <v>10</v>
      </c>
      <c r="E795" s="97" t="s">
        <v>27</v>
      </c>
      <c r="F795" s="97" t="str">
        <f>VLOOKUP(E795,Emp_Data!$B$2:$C$9,2,)</f>
        <v>Philip</v>
      </c>
      <c r="G795" s="97" t="s">
        <v>12</v>
      </c>
      <c r="H795" s="97" t="s">
        <v>41</v>
      </c>
      <c r="I795" s="97">
        <v>199</v>
      </c>
      <c r="J795" s="97">
        <v>2</v>
      </c>
      <c r="K795" s="97">
        <f t="shared" si="12"/>
        <v>398</v>
      </c>
      <c r="L795" s="97">
        <f>_xlfn.XLOOKUP(E795,Emp_Data!$B$2:$B$9,Emp_Data!$A$2:$A$9)</f>
        <v>8</v>
      </c>
    </row>
    <row r="796" spans="1:12">
      <c r="A796" s="99">
        <v>27</v>
      </c>
      <c r="B796" s="101">
        <v>44204</v>
      </c>
      <c r="C796" s="96">
        <v>14</v>
      </c>
      <c r="D796" s="104" t="s">
        <v>33</v>
      </c>
      <c r="E796" s="97" t="s">
        <v>24</v>
      </c>
      <c r="F796" s="97" t="str">
        <f>VLOOKUP(E796,Emp_Data!$B$2:$C$9,2,)</f>
        <v>Steve</v>
      </c>
      <c r="G796" s="97" t="s">
        <v>19</v>
      </c>
      <c r="H796" s="97" t="s">
        <v>41</v>
      </c>
      <c r="I796" s="97">
        <v>199</v>
      </c>
      <c r="J796" s="97">
        <v>1</v>
      </c>
      <c r="K796" s="97">
        <f t="shared" si="12"/>
        <v>199</v>
      </c>
      <c r="L796" s="97">
        <f>_xlfn.XLOOKUP(E796,Emp_Data!$B$2:$B$9,Emp_Data!$A$2:$A$9)</f>
        <v>6</v>
      </c>
    </row>
    <row r="797" spans="1:12">
      <c r="A797" s="99">
        <v>29</v>
      </c>
      <c r="B797" s="101">
        <v>44205</v>
      </c>
      <c r="C797" s="96">
        <v>10</v>
      </c>
      <c r="D797" s="104" t="s">
        <v>34</v>
      </c>
      <c r="E797" s="97" t="s">
        <v>11</v>
      </c>
      <c r="F797" s="97" t="str">
        <f>VLOOKUP(E797,Emp_Data!$B$2:$C$9,2,)</f>
        <v>Steve</v>
      </c>
      <c r="G797" s="97" t="s">
        <v>12</v>
      </c>
      <c r="H797" s="97" t="s">
        <v>41</v>
      </c>
      <c r="I797" s="97">
        <v>199</v>
      </c>
      <c r="J797" s="97">
        <v>3</v>
      </c>
      <c r="K797" s="97">
        <f t="shared" si="12"/>
        <v>597</v>
      </c>
      <c r="L797" s="97">
        <f>_xlfn.XLOOKUP(E797,Emp_Data!$B$2:$B$9,Emp_Data!$A$2:$A$9)</f>
        <v>4</v>
      </c>
    </row>
    <row r="798" spans="1:12">
      <c r="A798" s="99">
        <v>34</v>
      </c>
      <c r="B798" s="101">
        <v>44207</v>
      </c>
      <c r="C798" s="96">
        <v>1</v>
      </c>
      <c r="D798" s="104" t="s">
        <v>31</v>
      </c>
      <c r="E798" s="97" t="s">
        <v>21</v>
      </c>
      <c r="F798" s="97" t="str">
        <f>VLOOKUP(E798,Emp_Data!$B$2:$C$9,2,)</f>
        <v>Sara</v>
      </c>
      <c r="G798" s="97" t="s">
        <v>15</v>
      </c>
      <c r="H798" s="97" t="s">
        <v>41</v>
      </c>
      <c r="I798" s="97">
        <v>199</v>
      </c>
      <c r="J798" s="97">
        <v>8</v>
      </c>
      <c r="K798" s="97">
        <f t="shared" si="12"/>
        <v>1592</v>
      </c>
      <c r="L798" s="97">
        <f>_xlfn.XLOOKUP(E798,Emp_Data!$B$2:$B$9,Emp_Data!$A$2:$A$9)</f>
        <v>2</v>
      </c>
    </row>
    <row r="799" spans="1:12">
      <c r="A799" s="99">
        <v>35</v>
      </c>
      <c r="B799" s="101">
        <v>44207</v>
      </c>
      <c r="C799" s="96">
        <v>16</v>
      </c>
      <c r="D799" s="104" t="s">
        <v>37</v>
      </c>
      <c r="E799" s="97" t="s">
        <v>8</v>
      </c>
      <c r="F799" s="97" t="str">
        <f>VLOOKUP(E799,Emp_Data!$B$2:$C$9,2,)</f>
        <v>Jeff</v>
      </c>
      <c r="G799" s="97" t="s">
        <v>9</v>
      </c>
      <c r="H799" s="97" t="s">
        <v>41</v>
      </c>
      <c r="I799" s="97">
        <v>199</v>
      </c>
      <c r="J799" s="97">
        <v>5</v>
      </c>
      <c r="K799" s="97">
        <f t="shared" si="12"/>
        <v>995</v>
      </c>
      <c r="L799" s="97">
        <f>_xlfn.XLOOKUP(E799,Emp_Data!$B$2:$B$9,Emp_Data!$A$2:$A$9)</f>
        <v>3</v>
      </c>
    </row>
    <row r="800" spans="1:12">
      <c r="A800" s="99">
        <v>57</v>
      </c>
      <c r="B800" s="101">
        <v>44211</v>
      </c>
      <c r="C800" s="96">
        <v>8</v>
      </c>
      <c r="D800" s="104" t="s">
        <v>36</v>
      </c>
      <c r="E800" s="97" t="s">
        <v>11</v>
      </c>
      <c r="F800" s="97" t="str">
        <f>VLOOKUP(E800,Emp_Data!$B$2:$C$9,2,)</f>
        <v>Steve</v>
      </c>
      <c r="G800" s="97" t="s">
        <v>12</v>
      </c>
      <c r="H800" s="97" t="s">
        <v>41</v>
      </c>
      <c r="I800" s="97">
        <v>199</v>
      </c>
      <c r="J800" s="97">
        <v>5</v>
      </c>
      <c r="K800" s="97">
        <f t="shared" si="12"/>
        <v>995</v>
      </c>
      <c r="L800" s="97">
        <f>_xlfn.XLOOKUP(E800,Emp_Data!$B$2:$B$9,Emp_Data!$A$2:$A$9)</f>
        <v>4</v>
      </c>
    </row>
    <row r="801" spans="1:12">
      <c r="A801" s="99">
        <v>60</v>
      </c>
      <c r="B801" s="101">
        <v>44211</v>
      </c>
      <c r="C801" s="96">
        <v>10</v>
      </c>
      <c r="D801" s="104" t="s">
        <v>34</v>
      </c>
      <c r="E801" s="97" t="s">
        <v>11</v>
      </c>
      <c r="F801" s="97" t="str">
        <f>VLOOKUP(E801,Emp_Data!$B$2:$C$9,2,)</f>
        <v>Steve</v>
      </c>
      <c r="G801" s="97" t="s">
        <v>12</v>
      </c>
      <c r="H801" s="97" t="s">
        <v>41</v>
      </c>
      <c r="I801" s="97">
        <v>199</v>
      </c>
      <c r="J801" s="97">
        <v>3</v>
      </c>
      <c r="K801" s="97">
        <f t="shared" si="12"/>
        <v>597</v>
      </c>
      <c r="L801" s="97">
        <f>_xlfn.XLOOKUP(E801,Emp_Data!$B$2:$B$9,Emp_Data!$A$2:$A$9)</f>
        <v>4</v>
      </c>
    </row>
    <row r="802" spans="1:12">
      <c r="A802" s="99">
        <v>65</v>
      </c>
      <c r="B802" s="101">
        <v>44215</v>
      </c>
      <c r="C802" s="96">
        <v>9</v>
      </c>
      <c r="D802" s="104" t="s">
        <v>26</v>
      </c>
      <c r="E802" s="97" t="s">
        <v>11</v>
      </c>
      <c r="F802" s="97" t="str">
        <f>VLOOKUP(E802,Emp_Data!$B$2:$C$9,2,)</f>
        <v>Steve</v>
      </c>
      <c r="G802" s="97" t="s">
        <v>12</v>
      </c>
      <c r="H802" s="97" t="s">
        <v>41</v>
      </c>
      <c r="I802" s="97">
        <v>199</v>
      </c>
      <c r="J802" s="97">
        <v>6</v>
      </c>
      <c r="K802" s="97">
        <f t="shared" si="12"/>
        <v>1194</v>
      </c>
      <c r="L802" s="97">
        <f>_xlfn.XLOOKUP(E802,Emp_Data!$B$2:$B$9,Emp_Data!$A$2:$A$9)</f>
        <v>4</v>
      </c>
    </row>
    <row r="803" spans="1:12">
      <c r="A803" s="99">
        <v>68</v>
      </c>
      <c r="B803" s="101">
        <v>44216</v>
      </c>
      <c r="C803" s="96">
        <v>13</v>
      </c>
      <c r="D803" s="104" t="s">
        <v>23</v>
      </c>
      <c r="E803" s="97" t="s">
        <v>24</v>
      </c>
      <c r="F803" s="97" t="str">
        <f>VLOOKUP(E803,Emp_Data!$B$2:$C$9,2,)</f>
        <v>Steve</v>
      </c>
      <c r="G803" s="97" t="s">
        <v>19</v>
      </c>
      <c r="H803" s="97" t="s">
        <v>41</v>
      </c>
      <c r="I803" s="97">
        <v>199</v>
      </c>
      <c r="J803" s="97">
        <v>8</v>
      </c>
      <c r="K803" s="97">
        <f t="shared" si="12"/>
        <v>1592</v>
      </c>
      <c r="L803" s="97">
        <f>_xlfn.XLOOKUP(E803,Emp_Data!$B$2:$B$9,Emp_Data!$A$2:$A$9)</f>
        <v>6</v>
      </c>
    </row>
    <row r="804" spans="1:12">
      <c r="A804" s="99">
        <v>69</v>
      </c>
      <c r="B804" s="101">
        <v>44217</v>
      </c>
      <c r="C804" s="96">
        <v>19</v>
      </c>
      <c r="D804" s="104" t="s">
        <v>22</v>
      </c>
      <c r="E804" s="97" t="s">
        <v>8</v>
      </c>
      <c r="F804" s="97" t="str">
        <f>VLOOKUP(E804,Emp_Data!$B$2:$C$9,2,)</f>
        <v>Jeff</v>
      </c>
      <c r="G804" s="97" t="s">
        <v>9</v>
      </c>
      <c r="H804" s="97" t="s">
        <v>41</v>
      </c>
      <c r="I804" s="97">
        <v>199</v>
      </c>
      <c r="J804" s="97">
        <v>8</v>
      </c>
      <c r="K804" s="97">
        <f t="shared" si="12"/>
        <v>1592</v>
      </c>
      <c r="L804" s="97">
        <f>_xlfn.XLOOKUP(E804,Emp_Data!$B$2:$B$9,Emp_Data!$A$2:$A$9)</f>
        <v>3</v>
      </c>
    </row>
    <row r="805" spans="1:12">
      <c r="A805" s="99">
        <v>70</v>
      </c>
      <c r="B805" s="101">
        <v>44217</v>
      </c>
      <c r="C805" s="96">
        <v>6</v>
      </c>
      <c r="D805" s="104" t="s">
        <v>10</v>
      </c>
      <c r="E805" s="97" t="s">
        <v>11</v>
      </c>
      <c r="F805" s="97" t="str">
        <f>VLOOKUP(E805,Emp_Data!$B$2:$C$9,2,)</f>
        <v>Steve</v>
      </c>
      <c r="G805" s="97" t="s">
        <v>12</v>
      </c>
      <c r="H805" s="97" t="s">
        <v>41</v>
      </c>
      <c r="I805" s="97">
        <v>199</v>
      </c>
      <c r="J805" s="97">
        <v>0</v>
      </c>
      <c r="K805" s="97">
        <f t="shared" si="12"/>
        <v>0</v>
      </c>
      <c r="L805" s="97">
        <f>_xlfn.XLOOKUP(E805,Emp_Data!$B$2:$B$9,Emp_Data!$A$2:$A$9)</f>
        <v>4</v>
      </c>
    </row>
    <row r="806" spans="1:12">
      <c r="A806" s="99">
        <v>89</v>
      </c>
      <c r="B806" s="101">
        <v>44223</v>
      </c>
      <c r="C806" s="96">
        <v>8</v>
      </c>
      <c r="D806" s="104" t="s">
        <v>36</v>
      </c>
      <c r="E806" s="97" t="s">
        <v>27</v>
      </c>
      <c r="F806" s="97" t="str">
        <f>VLOOKUP(E806,Emp_Data!$B$2:$C$9,2,)</f>
        <v>Philip</v>
      </c>
      <c r="G806" s="97" t="s">
        <v>12</v>
      </c>
      <c r="H806" s="97" t="s">
        <v>41</v>
      </c>
      <c r="I806" s="97">
        <v>199</v>
      </c>
      <c r="J806" s="97">
        <v>5</v>
      </c>
      <c r="K806" s="97">
        <f t="shared" si="12"/>
        <v>995</v>
      </c>
      <c r="L806" s="97">
        <f>_xlfn.XLOOKUP(E806,Emp_Data!$B$2:$B$9,Emp_Data!$A$2:$A$9)</f>
        <v>8</v>
      </c>
    </row>
    <row r="807" spans="1:12">
      <c r="A807" s="99">
        <v>94</v>
      </c>
      <c r="B807" s="101">
        <v>44225</v>
      </c>
      <c r="C807" s="96">
        <v>8</v>
      </c>
      <c r="D807" s="104" t="s">
        <v>36</v>
      </c>
      <c r="E807" s="97" t="s">
        <v>27</v>
      </c>
      <c r="F807" s="97" t="str">
        <f>VLOOKUP(E807,Emp_Data!$B$2:$C$9,2,)</f>
        <v>Philip</v>
      </c>
      <c r="G807" s="97" t="s">
        <v>12</v>
      </c>
      <c r="H807" s="97" t="s">
        <v>41</v>
      </c>
      <c r="I807" s="97">
        <v>199</v>
      </c>
      <c r="J807" s="97">
        <v>2</v>
      </c>
      <c r="K807" s="97">
        <f t="shared" si="12"/>
        <v>398</v>
      </c>
      <c r="L807" s="97">
        <f>_xlfn.XLOOKUP(E807,Emp_Data!$B$2:$B$9,Emp_Data!$A$2:$A$9)</f>
        <v>8</v>
      </c>
    </row>
    <row r="808" spans="1:12">
      <c r="A808" s="99">
        <v>99</v>
      </c>
      <c r="B808" s="101">
        <v>44226</v>
      </c>
      <c r="C808" s="96">
        <v>8</v>
      </c>
      <c r="D808" s="104" t="s">
        <v>36</v>
      </c>
      <c r="E808" s="97" t="s">
        <v>11</v>
      </c>
      <c r="F808" s="97" t="str">
        <f>VLOOKUP(E808,Emp_Data!$B$2:$C$9,2,)</f>
        <v>Steve</v>
      </c>
      <c r="G808" s="97" t="s">
        <v>12</v>
      </c>
      <c r="H808" s="97" t="s">
        <v>41</v>
      </c>
      <c r="I808" s="97">
        <v>199</v>
      </c>
      <c r="J808" s="97">
        <v>9</v>
      </c>
      <c r="K808" s="97">
        <f t="shared" si="12"/>
        <v>1791</v>
      </c>
      <c r="L808" s="97">
        <f>_xlfn.XLOOKUP(E808,Emp_Data!$B$2:$B$9,Emp_Data!$A$2:$A$9)</f>
        <v>4</v>
      </c>
    </row>
    <row r="809" spans="1:12">
      <c r="A809" s="99">
        <v>100</v>
      </c>
      <c r="B809" s="101">
        <v>44226</v>
      </c>
      <c r="C809" s="96">
        <v>12</v>
      </c>
      <c r="D809" s="104" t="s">
        <v>17</v>
      </c>
      <c r="E809" s="97" t="s">
        <v>18</v>
      </c>
      <c r="F809" s="97" t="str">
        <f>VLOOKUP(E809,Emp_Data!$B$2:$C$9,2,)</f>
        <v>Sara</v>
      </c>
      <c r="G809" s="97" t="s">
        <v>19</v>
      </c>
      <c r="H809" s="97" t="s">
        <v>41</v>
      </c>
      <c r="I809" s="97">
        <v>199</v>
      </c>
      <c r="J809" s="97">
        <v>5</v>
      </c>
      <c r="K809" s="97">
        <f t="shared" si="12"/>
        <v>995</v>
      </c>
      <c r="L809" s="97">
        <f>_xlfn.XLOOKUP(E809,Emp_Data!$B$2:$B$9,Emp_Data!$A$2:$A$9)</f>
        <v>5</v>
      </c>
    </row>
    <row r="810" spans="1:12">
      <c r="A810" s="99">
        <v>110</v>
      </c>
      <c r="B810" s="101">
        <v>44230</v>
      </c>
      <c r="C810" s="96">
        <v>16</v>
      </c>
      <c r="D810" s="104" t="s">
        <v>37</v>
      </c>
      <c r="E810" s="97" t="s">
        <v>25</v>
      </c>
      <c r="F810" s="97" t="str">
        <f>VLOOKUP(E810,Emp_Data!$B$2:$C$9,2,)</f>
        <v>Jeff</v>
      </c>
      <c r="G810" s="97" t="s">
        <v>9</v>
      </c>
      <c r="H810" s="97" t="s">
        <v>41</v>
      </c>
      <c r="I810" s="97">
        <v>199</v>
      </c>
      <c r="J810" s="97">
        <v>6</v>
      </c>
      <c r="K810" s="97">
        <f t="shared" si="12"/>
        <v>1194</v>
      </c>
      <c r="L810" s="97">
        <f>_xlfn.XLOOKUP(E810,Emp_Data!$B$2:$B$9,Emp_Data!$A$2:$A$9)</f>
        <v>5</v>
      </c>
    </row>
    <row r="811" spans="1:12">
      <c r="A811" s="99">
        <v>119</v>
      </c>
      <c r="B811" s="101">
        <v>44233</v>
      </c>
      <c r="C811" s="96">
        <v>5</v>
      </c>
      <c r="D811" s="104" t="s">
        <v>16</v>
      </c>
      <c r="E811" s="97" t="s">
        <v>14</v>
      </c>
      <c r="F811" s="97" t="str">
        <f>VLOOKUP(E811,Emp_Data!$B$2:$C$9,2,)</f>
        <v>Jeff</v>
      </c>
      <c r="G811" s="97" t="s">
        <v>15</v>
      </c>
      <c r="H811" s="97" t="s">
        <v>41</v>
      </c>
      <c r="I811" s="97">
        <v>199</v>
      </c>
      <c r="J811" s="97">
        <v>2</v>
      </c>
      <c r="K811" s="97">
        <f t="shared" si="12"/>
        <v>398</v>
      </c>
      <c r="L811" s="97">
        <f>_xlfn.XLOOKUP(E811,Emp_Data!$B$2:$B$9,Emp_Data!$A$2:$A$9)</f>
        <v>2</v>
      </c>
    </row>
    <row r="812" spans="1:12">
      <c r="A812" s="99">
        <v>121</v>
      </c>
      <c r="B812" s="101">
        <v>44234</v>
      </c>
      <c r="C812" s="96">
        <v>15</v>
      </c>
      <c r="D812" s="104" t="s">
        <v>29</v>
      </c>
      <c r="E812" s="97" t="s">
        <v>18</v>
      </c>
      <c r="F812" s="97" t="str">
        <f>VLOOKUP(E812,Emp_Data!$B$2:$C$9,2,)</f>
        <v>Sara</v>
      </c>
      <c r="G812" s="97" t="s">
        <v>19</v>
      </c>
      <c r="H812" s="97" t="s">
        <v>41</v>
      </c>
      <c r="I812" s="97">
        <v>199</v>
      </c>
      <c r="J812" s="97">
        <v>3</v>
      </c>
      <c r="K812" s="97">
        <f t="shared" si="12"/>
        <v>597</v>
      </c>
      <c r="L812" s="97">
        <f>_xlfn.XLOOKUP(E812,Emp_Data!$B$2:$B$9,Emp_Data!$A$2:$A$9)</f>
        <v>5</v>
      </c>
    </row>
    <row r="813" spans="1:12">
      <c r="A813" s="99">
        <v>128</v>
      </c>
      <c r="B813" s="101">
        <v>44236</v>
      </c>
      <c r="C813" s="96">
        <v>11</v>
      </c>
      <c r="D813" s="104" t="s">
        <v>38</v>
      </c>
      <c r="E813" s="97" t="s">
        <v>24</v>
      </c>
      <c r="F813" s="97" t="str">
        <f>VLOOKUP(E813,Emp_Data!$B$2:$C$9,2,)</f>
        <v>Steve</v>
      </c>
      <c r="G813" s="97" t="s">
        <v>19</v>
      </c>
      <c r="H813" s="97" t="s">
        <v>41</v>
      </c>
      <c r="I813" s="97">
        <v>199</v>
      </c>
      <c r="J813" s="97">
        <v>0</v>
      </c>
      <c r="K813" s="97">
        <f t="shared" si="12"/>
        <v>0</v>
      </c>
      <c r="L813" s="97">
        <f>_xlfn.XLOOKUP(E813,Emp_Data!$B$2:$B$9,Emp_Data!$A$2:$A$9)</f>
        <v>6</v>
      </c>
    </row>
    <row r="814" spans="1:12">
      <c r="A814" s="99">
        <v>129</v>
      </c>
      <c r="B814" s="101">
        <v>44237</v>
      </c>
      <c r="C814" s="96">
        <v>6</v>
      </c>
      <c r="D814" s="104" t="s">
        <v>10</v>
      </c>
      <c r="E814" s="97" t="s">
        <v>27</v>
      </c>
      <c r="F814" s="97" t="str">
        <f>VLOOKUP(E814,Emp_Data!$B$2:$C$9,2,)</f>
        <v>Philip</v>
      </c>
      <c r="G814" s="97" t="s">
        <v>12</v>
      </c>
      <c r="H814" s="97" t="s">
        <v>41</v>
      </c>
      <c r="I814" s="97">
        <v>199</v>
      </c>
      <c r="J814" s="97">
        <v>8</v>
      </c>
      <c r="K814" s="97">
        <f t="shared" si="12"/>
        <v>1592</v>
      </c>
      <c r="L814" s="97">
        <f>_xlfn.XLOOKUP(E814,Emp_Data!$B$2:$B$9,Emp_Data!$A$2:$A$9)</f>
        <v>8</v>
      </c>
    </row>
    <row r="815" spans="1:12">
      <c r="A815" s="99">
        <v>130</v>
      </c>
      <c r="B815" s="101">
        <v>44238</v>
      </c>
      <c r="C815" s="96">
        <v>16</v>
      </c>
      <c r="D815" s="104" t="s">
        <v>37</v>
      </c>
      <c r="E815" s="97" t="s">
        <v>25</v>
      </c>
      <c r="F815" s="97" t="str">
        <f>VLOOKUP(E815,Emp_Data!$B$2:$C$9,2,)</f>
        <v>Jeff</v>
      </c>
      <c r="G815" s="97" t="s">
        <v>9</v>
      </c>
      <c r="H815" s="97" t="s">
        <v>41</v>
      </c>
      <c r="I815" s="97">
        <v>199</v>
      </c>
      <c r="J815" s="97">
        <v>0</v>
      </c>
      <c r="K815" s="97">
        <f t="shared" si="12"/>
        <v>0</v>
      </c>
      <c r="L815" s="97">
        <f>_xlfn.XLOOKUP(E815,Emp_Data!$B$2:$B$9,Emp_Data!$A$2:$A$9)</f>
        <v>5</v>
      </c>
    </row>
    <row r="816" spans="1:12">
      <c r="A816" s="99">
        <v>136</v>
      </c>
      <c r="B816" s="101">
        <v>44240</v>
      </c>
      <c r="C816" s="96">
        <v>6</v>
      </c>
      <c r="D816" s="104" t="s">
        <v>10</v>
      </c>
      <c r="E816" s="97" t="s">
        <v>11</v>
      </c>
      <c r="F816" s="97" t="str">
        <f>VLOOKUP(E816,Emp_Data!$B$2:$C$9,2,)</f>
        <v>Steve</v>
      </c>
      <c r="G816" s="97" t="s">
        <v>12</v>
      </c>
      <c r="H816" s="97" t="s">
        <v>41</v>
      </c>
      <c r="I816" s="97">
        <v>199</v>
      </c>
      <c r="J816" s="97">
        <v>9</v>
      </c>
      <c r="K816" s="97">
        <f t="shared" si="12"/>
        <v>1791</v>
      </c>
      <c r="L816" s="97">
        <f>_xlfn.XLOOKUP(E816,Emp_Data!$B$2:$B$9,Emp_Data!$A$2:$A$9)</f>
        <v>4</v>
      </c>
    </row>
    <row r="817" spans="1:12">
      <c r="A817" s="99">
        <v>145</v>
      </c>
      <c r="B817" s="101">
        <v>44240</v>
      </c>
      <c r="C817" s="96">
        <v>6</v>
      </c>
      <c r="D817" s="104" t="s">
        <v>10</v>
      </c>
      <c r="E817" s="97" t="s">
        <v>27</v>
      </c>
      <c r="F817" s="97" t="str">
        <f>VLOOKUP(E817,Emp_Data!$B$2:$C$9,2,)</f>
        <v>Philip</v>
      </c>
      <c r="G817" s="97" t="s">
        <v>12</v>
      </c>
      <c r="H817" s="97" t="s">
        <v>41</v>
      </c>
      <c r="I817" s="97">
        <v>199</v>
      </c>
      <c r="J817" s="97">
        <v>6</v>
      </c>
      <c r="K817" s="97">
        <f t="shared" si="12"/>
        <v>1194</v>
      </c>
      <c r="L817" s="97">
        <f>_xlfn.XLOOKUP(E817,Emp_Data!$B$2:$B$9,Emp_Data!$A$2:$A$9)</f>
        <v>8</v>
      </c>
    </row>
    <row r="818" spans="1:12">
      <c r="A818" s="99">
        <v>146</v>
      </c>
      <c r="B818" s="101">
        <v>44240</v>
      </c>
      <c r="C818" s="96">
        <v>8</v>
      </c>
      <c r="D818" s="104" t="s">
        <v>36</v>
      </c>
      <c r="E818" s="97" t="s">
        <v>11</v>
      </c>
      <c r="F818" s="97" t="str">
        <f>VLOOKUP(E818,Emp_Data!$B$2:$C$9,2,)</f>
        <v>Steve</v>
      </c>
      <c r="G818" s="97" t="s">
        <v>12</v>
      </c>
      <c r="H818" s="97" t="s">
        <v>41</v>
      </c>
      <c r="I818" s="97">
        <v>199</v>
      </c>
      <c r="J818" s="97">
        <v>2</v>
      </c>
      <c r="K818" s="97">
        <f t="shared" si="12"/>
        <v>398</v>
      </c>
      <c r="L818" s="97">
        <f>_xlfn.XLOOKUP(E818,Emp_Data!$B$2:$B$9,Emp_Data!$A$2:$A$9)</f>
        <v>4</v>
      </c>
    </row>
    <row r="819" spans="1:12">
      <c r="A819" s="99">
        <v>150</v>
      </c>
      <c r="B819" s="101">
        <v>44240</v>
      </c>
      <c r="C819" s="96">
        <v>8</v>
      </c>
      <c r="D819" s="104" t="s">
        <v>36</v>
      </c>
      <c r="E819" s="97" t="s">
        <v>11</v>
      </c>
      <c r="F819" s="97" t="str">
        <f>VLOOKUP(E819,Emp_Data!$B$2:$C$9,2,)</f>
        <v>Steve</v>
      </c>
      <c r="G819" s="97" t="s">
        <v>12</v>
      </c>
      <c r="H819" s="97" t="s">
        <v>41</v>
      </c>
      <c r="I819" s="97">
        <v>199</v>
      </c>
      <c r="J819" s="97">
        <v>1</v>
      </c>
      <c r="K819" s="97">
        <f t="shared" si="12"/>
        <v>199</v>
      </c>
      <c r="L819" s="97">
        <f>_xlfn.XLOOKUP(E819,Emp_Data!$B$2:$B$9,Emp_Data!$A$2:$A$9)</f>
        <v>4</v>
      </c>
    </row>
    <row r="820" spans="1:12">
      <c r="A820" s="99">
        <v>151</v>
      </c>
      <c r="B820" s="101">
        <v>44240</v>
      </c>
      <c r="C820" s="96">
        <v>20</v>
      </c>
      <c r="D820" s="104" t="s">
        <v>7</v>
      </c>
      <c r="E820" s="97" t="s">
        <v>25</v>
      </c>
      <c r="F820" s="97" t="str">
        <f>VLOOKUP(E820,Emp_Data!$B$2:$C$9,2,)</f>
        <v>Jeff</v>
      </c>
      <c r="G820" s="97" t="s">
        <v>9</v>
      </c>
      <c r="H820" s="97" t="s">
        <v>41</v>
      </c>
      <c r="I820" s="97">
        <v>199</v>
      </c>
      <c r="J820" s="97">
        <v>8</v>
      </c>
      <c r="K820" s="97">
        <f t="shared" si="12"/>
        <v>1592</v>
      </c>
      <c r="L820" s="97">
        <f>_xlfn.XLOOKUP(E820,Emp_Data!$B$2:$B$9,Emp_Data!$A$2:$A$9)</f>
        <v>5</v>
      </c>
    </row>
    <row r="821" spans="1:12">
      <c r="A821" s="99">
        <v>155</v>
      </c>
      <c r="B821" s="101">
        <v>44242</v>
      </c>
      <c r="C821" s="96">
        <v>15</v>
      </c>
      <c r="D821" s="104" t="s">
        <v>29</v>
      </c>
      <c r="E821" s="97" t="s">
        <v>18</v>
      </c>
      <c r="F821" s="97" t="str">
        <f>VLOOKUP(E821,Emp_Data!$B$2:$C$9,2,)</f>
        <v>Sara</v>
      </c>
      <c r="G821" s="97" t="s">
        <v>19</v>
      </c>
      <c r="H821" s="97" t="s">
        <v>41</v>
      </c>
      <c r="I821" s="97">
        <v>199</v>
      </c>
      <c r="J821" s="97">
        <v>9</v>
      </c>
      <c r="K821" s="97">
        <f t="shared" si="12"/>
        <v>1791</v>
      </c>
      <c r="L821" s="97">
        <f>_xlfn.XLOOKUP(E821,Emp_Data!$B$2:$B$9,Emp_Data!$A$2:$A$9)</f>
        <v>5</v>
      </c>
    </row>
    <row r="822" spans="1:12">
      <c r="A822" s="99">
        <v>158</v>
      </c>
      <c r="B822" s="101">
        <v>44243</v>
      </c>
      <c r="C822" s="96">
        <v>11</v>
      </c>
      <c r="D822" s="104" t="s">
        <v>38</v>
      </c>
      <c r="E822" s="97" t="s">
        <v>24</v>
      </c>
      <c r="F822" s="97" t="str">
        <f>VLOOKUP(E822,Emp_Data!$B$2:$C$9,2,)</f>
        <v>Steve</v>
      </c>
      <c r="G822" s="97" t="s">
        <v>19</v>
      </c>
      <c r="H822" s="97" t="s">
        <v>41</v>
      </c>
      <c r="I822" s="97">
        <v>199</v>
      </c>
      <c r="J822" s="97">
        <v>4</v>
      </c>
      <c r="K822" s="97">
        <f t="shared" si="12"/>
        <v>796</v>
      </c>
      <c r="L822" s="97">
        <f>_xlfn.XLOOKUP(E822,Emp_Data!$B$2:$B$9,Emp_Data!$A$2:$A$9)</f>
        <v>6</v>
      </c>
    </row>
    <row r="823" spans="1:12">
      <c r="A823" s="99">
        <v>160</v>
      </c>
      <c r="B823" s="101">
        <v>44243</v>
      </c>
      <c r="C823" s="96">
        <v>1</v>
      </c>
      <c r="D823" s="104" t="s">
        <v>31</v>
      </c>
      <c r="E823" s="97" t="s">
        <v>14</v>
      </c>
      <c r="F823" s="97" t="str">
        <f>VLOOKUP(E823,Emp_Data!$B$2:$C$9,2,)</f>
        <v>Jeff</v>
      </c>
      <c r="G823" s="97" t="s">
        <v>15</v>
      </c>
      <c r="H823" s="97" t="s">
        <v>41</v>
      </c>
      <c r="I823" s="97">
        <v>199</v>
      </c>
      <c r="J823" s="97">
        <v>9</v>
      </c>
      <c r="K823" s="97">
        <f t="shared" si="12"/>
        <v>1791</v>
      </c>
      <c r="L823" s="97">
        <f>_xlfn.XLOOKUP(E823,Emp_Data!$B$2:$B$9,Emp_Data!$A$2:$A$9)</f>
        <v>2</v>
      </c>
    </row>
    <row r="824" spans="1:12">
      <c r="A824" s="99">
        <v>161</v>
      </c>
      <c r="B824" s="101">
        <v>44243</v>
      </c>
      <c r="C824" s="96">
        <v>8</v>
      </c>
      <c r="D824" s="104" t="s">
        <v>36</v>
      </c>
      <c r="E824" s="97" t="s">
        <v>11</v>
      </c>
      <c r="F824" s="97" t="str">
        <f>VLOOKUP(E824,Emp_Data!$B$2:$C$9,2,)</f>
        <v>Steve</v>
      </c>
      <c r="G824" s="97" t="s">
        <v>12</v>
      </c>
      <c r="H824" s="97" t="s">
        <v>41</v>
      </c>
      <c r="I824" s="97">
        <v>199</v>
      </c>
      <c r="J824" s="97">
        <v>2</v>
      </c>
      <c r="K824" s="97">
        <f t="shared" si="12"/>
        <v>398</v>
      </c>
      <c r="L824" s="97">
        <f>_xlfn.XLOOKUP(E824,Emp_Data!$B$2:$B$9,Emp_Data!$A$2:$A$9)</f>
        <v>4</v>
      </c>
    </row>
    <row r="825" spans="1:12">
      <c r="A825" s="99">
        <v>176</v>
      </c>
      <c r="B825" s="101">
        <v>44248</v>
      </c>
      <c r="C825" s="96">
        <v>13</v>
      </c>
      <c r="D825" s="104" t="s">
        <v>23</v>
      </c>
      <c r="E825" s="97" t="s">
        <v>24</v>
      </c>
      <c r="F825" s="97" t="str">
        <f>VLOOKUP(E825,Emp_Data!$B$2:$C$9,2,)</f>
        <v>Steve</v>
      </c>
      <c r="G825" s="97" t="s">
        <v>19</v>
      </c>
      <c r="H825" s="97" t="s">
        <v>41</v>
      </c>
      <c r="I825" s="97">
        <v>199</v>
      </c>
      <c r="J825" s="97">
        <v>6</v>
      </c>
      <c r="K825" s="97">
        <f t="shared" si="12"/>
        <v>1194</v>
      </c>
      <c r="L825" s="97">
        <f>_xlfn.XLOOKUP(E825,Emp_Data!$B$2:$B$9,Emp_Data!$A$2:$A$9)</f>
        <v>6</v>
      </c>
    </row>
    <row r="826" spans="1:12">
      <c r="A826" s="99">
        <v>183</v>
      </c>
      <c r="B826" s="101">
        <v>44249</v>
      </c>
      <c r="C826" s="96">
        <v>10</v>
      </c>
      <c r="D826" s="104" t="s">
        <v>34</v>
      </c>
      <c r="E826" s="97" t="s">
        <v>27</v>
      </c>
      <c r="F826" s="97" t="str">
        <f>VLOOKUP(E826,Emp_Data!$B$2:$C$9,2,)</f>
        <v>Philip</v>
      </c>
      <c r="G826" s="97" t="s">
        <v>12</v>
      </c>
      <c r="H826" s="97" t="s">
        <v>41</v>
      </c>
      <c r="I826" s="97">
        <v>199</v>
      </c>
      <c r="J826" s="97">
        <v>2</v>
      </c>
      <c r="K826" s="97">
        <f t="shared" si="12"/>
        <v>398</v>
      </c>
      <c r="L826" s="97">
        <f>_xlfn.XLOOKUP(E826,Emp_Data!$B$2:$B$9,Emp_Data!$A$2:$A$9)</f>
        <v>8</v>
      </c>
    </row>
    <row r="827" spans="1:12">
      <c r="A827" s="99">
        <v>188</v>
      </c>
      <c r="B827" s="101">
        <v>44251</v>
      </c>
      <c r="C827" s="96">
        <v>17</v>
      </c>
      <c r="D827" s="104" t="s">
        <v>32</v>
      </c>
      <c r="E827" s="97" t="s">
        <v>8</v>
      </c>
      <c r="F827" s="97" t="str">
        <f>VLOOKUP(E827,Emp_Data!$B$2:$C$9,2,)</f>
        <v>Jeff</v>
      </c>
      <c r="G827" s="97" t="s">
        <v>9</v>
      </c>
      <c r="H827" s="97" t="s">
        <v>41</v>
      </c>
      <c r="I827" s="97">
        <v>199</v>
      </c>
      <c r="J827" s="97">
        <v>6</v>
      </c>
      <c r="K827" s="97">
        <f t="shared" si="12"/>
        <v>1194</v>
      </c>
      <c r="L827" s="97">
        <f>_xlfn.XLOOKUP(E827,Emp_Data!$B$2:$B$9,Emp_Data!$A$2:$A$9)</f>
        <v>3</v>
      </c>
    </row>
    <row r="828" spans="1:12">
      <c r="A828" s="99">
        <v>190</v>
      </c>
      <c r="B828" s="101">
        <v>44252</v>
      </c>
      <c r="C828" s="96">
        <v>5</v>
      </c>
      <c r="D828" s="104" t="s">
        <v>16</v>
      </c>
      <c r="E828" s="97" t="s">
        <v>14</v>
      </c>
      <c r="F828" s="97" t="str">
        <f>VLOOKUP(E828,Emp_Data!$B$2:$C$9,2,)</f>
        <v>Jeff</v>
      </c>
      <c r="G828" s="97" t="s">
        <v>15</v>
      </c>
      <c r="H828" s="97" t="s">
        <v>41</v>
      </c>
      <c r="I828" s="97">
        <v>199</v>
      </c>
      <c r="J828" s="97">
        <v>5</v>
      </c>
      <c r="K828" s="97">
        <f t="shared" si="12"/>
        <v>995</v>
      </c>
      <c r="L828" s="97">
        <f>_xlfn.XLOOKUP(E828,Emp_Data!$B$2:$B$9,Emp_Data!$A$2:$A$9)</f>
        <v>2</v>
      </c>
    </row>
    <row r="829" spans="1:12">
      <c r="A829" s="99">
        <v>194</v>
      </c>
      <c r="B829" s="101">
        <v>44254</v>
      </c>
      <c r="C829" s="96">
        <v>4</v>
      </c>
      <c r="D829" s="104" t="s">
        <v>13</v>
      </c>
      <c r="E829" s="97" t="s">
        <v>14</v>
      </c>
      <c r="F829" s="97" t="str">
        <f>VLOOKUP(E829,Emp_Data!$B$2:$C$9,2,)</f>
        <v>Jeff</v>
      </c>
      <c r="G829" s="97" t="s">
        <v>15</v>
      </c>
      <c r="H829" s="97" t="s">
        <v>41</v>
      </c>
      <c r="I829" s="97">
        <v>199</v>
      </c>
      <c r="J829" s="97">
        <v>0</v>
      </c>
      <c r="K829" s="97">
        <f t="shared" si="12"/>
        <v>0</v>
      </c>
      <c r="L829" s="97">
        <f>_xlfn.XLOOKUP(E829,Emp_Data!$B$2:$B$9,Emp_Data!$A$2:$A$9)</f>
        <v>2</v>
      </c>
    </row>
    <row r="830" spans="1:12">
      <c r="A830" s="99">
        <v>200</v>
      </c>
      <c r="B830" s="101">
        <v>44258</v>
      </c>
      <c r="C830" s="96">
        <v>12</v>
      </c>
      <c r="D830" s="104" t="s">
        <v>17</v>
      </c>
      <c r="E830" s="97" t="s">
        <v>24</v>
      </c>
      <c r="F830" s="97" t="str">
        <f>VLOOKUP(E830,Emp_Data!$B$2:$C$9,2,)</f>
        <v>Steve</v>
      </c>
      <c r="G830" s="97" t="s">
        <v>19</v>
      </c>
      <c r="H830" s="97" t="s">
        <v>41</v>
      </c>
      <c r="I830" s="97">
        <v>199</v>
      </c>
      <c r="J830" s="97">
        <v>4</v>
      </c>
      <c r="K830" s="97">
        <f t="shared" si="12"/>
        <v>796</v>
      </c>
      <c r="L830" s="97">
        <f>_xlfn.XLOOKUP(E830,Emp_Data!$B$2:$B$9,Emp_Data!$A$2:$A$9)</f>
        <v>6</v>
      </c>
    </row>
    <row r="831" spans="1:12">
      <c r="A831" s="99">
        <v>202</v>
      </c>
      <c r="B831" s="101">
        <v>44260</v>
      </c>
      <c r="C831" s="96">
        <v>9</v>
      </c>
      <c r="D831" s="104" t="s">
        <v>26</v>
      </c>
      <c r="E831" s="97" t="s">
        <v>27</v>
      </c>
      <c r="F831" s="97" t="str">
        <f>VLOOKUP(E831,Emp_Data!$B$2:$C$9,2,)</f>
        <v>Philip</v>
      </c>
      <c r="G831" s="97" t="s">
        <v>12</v>
      </c>
      <c r="H831" s="97" t="s">
        <v>41</v>
      </c>
      <c r="I831" s="97">
        <v>199</v>
      </c>
      <c r="J831" s="97">
        <v>0</v>
      </c>
      <c r="K831" s="97">
        <f t="shared" si="12"/>
        <v>0</v>
      </c>
      <c r="L831" s="97">
        <f>_xlfn.XLOOKUP(E831,Emp_Data!$B$2:$B$9,Emp_Data!$A$2:$A$9)</f>
        <v>8</v>
      </c>
    </row>
    <row r="832" spans="1:12">
      <c r="A832" s="99">
        <v>204</v>
      </c>
      <c r="B832" s="101">
        <v>44262</v>
      </c>
      <c r="C832" s="96">
        <v>2</v>
      </c>
      <c r="D832" s="104" t="s">
        <v>35</v>
      </c>
      <c r="E832" s="97" t="s">
        <v>14</v>
      </c>
      <c r="F832" s="97" t="str">
        <f>VLOOKUP(E832,Emp_Data!$B$2:$C$9,2,)</f>
        <v>Jeff</v>
      </c>
      <c r="G832" s="97" t="s">
        <v>15</v>
      </c>
      <c r="H832" s="97" t="s">
        <v>41</v>
      </c>
      <c r="I832" s="97">
        <v>199</v>
      </c>
      <c r="J832" s="97">
        <v>2</v>
      </c>
      <c r="K832" s="97">
        <f t="shared" si="12"/>
        <v>398</v>
      </c>
      <c r="L832" s="97">
        <f>_xlfn.XLOOKUP(E832,Emp_Data!$B$2:$B$9,Emp_Data!$A$2:$A$9)</f>
        <v>2</v>
      </c>
    </row>
    <row r="833" spans="1:12">
      <c r="A833" s="99">
        <v>205</v>
      </c>
      <c r="B833" s="101">
        <v>44263</v>
      </c>
      <c r="C833" s="96">
        <v>19</v>
      </c>
      <c r="D833" s="104" t="s">
        <v>22</v>
      </c>
      <c r="E833" s="97" t="s">
        <v>8</v>
      </c>
      <c r="F833" s="97" t="str">
        <f>VLOOKUP(E833,Emp_Data!$B$2:$C$9,2,)</f>
        <v>Jeff</v>
      </c>
      <c r="G833" s="97" t="s">
        <v>9</v>
      </c>
      <c r="H833" s="97" t="s">
        <v>41</v>
      </c>
      <c r="I833" s="97">
        <v>199</v>
      </c>
      <c r="J833" s="97">
        <v>5</v>
      </c>
      <c r="K833" s="97">
        <f t="shared" si="12"/>
        <v>995</v>
      </c>
      <c r="L833" s="97">
        <f>_xlfn.XLOOKUP(E833,Emp_Data!$B$2:$B$9,Emp_Data!$A$2:$A$9)</f>
        <v>3</v>
      </c>
    </row>
    <row r="834" spans="1:12">
      <c r="A834" s="99">
        <v>207</v>
      </c>
      <c r="B834" s="101">
        <v>44263</v>
      </c>
      <c r="C834" s="96">
        <v>18</v>
      </c>
      <c r="D834" s="104" t="s">
        <v>30</v>
      </c>
      <c r="E834" s="97" t="s">
        <v>25</v>
      </c>
      <c r="F834" s="97" t="str">
        <f>VLOOKUP(E834,Emp_Data!$B$2:$C$9,2,)</f>
        <v>Jeff</v>
      </c>
      <c r="G834" s="97" t="s">
        <v>9</v>
      </c>
      <c r="H834" s="97" t="s">
        <v>41</v>
      </c>
      <c r="I834" s="97">
        <v>199</v>
      </c>
      <c r="J834" s="97">
        <v>6</v>
      </c>
      <c r="K834" s="97">
        <f t="shared" si="12"/>
        <v>1194</v>
      </c>
      <c r="L834" s="97">
        <f>_xlfn.XLOOKUP(E834,Emp_Data!$B$2:$B$9,Emp_Data!$A$2:$A$9)</f>
        <v>5</v>
      </c>
    </row>
    <row r="835" spans="1:12">
      <c r="A835" s="99">
        <v>208</v>
      </c>
      <c r="B835" s="101">
        <v>44263</v>
      </c>
      <c r="C835" s="96">
        <v>6</v>
      </c>
      <c r="D835" s="104" t="s">
        <v>10</v>
      </c>
      <c r="E835" s="97" t="s">
        <v>27</v>
      </c>
      <c r="F835" s="97" t="str">
        <f>VLOOKUP(E835,Emp_Data!$B$2:$C$9,2,)</f>
        <v>Philip</v>
      </c>
      <c r="G835" s="97" t="s">
        <v>12</v>
      </c>
      <c r="H835" s="97" t="s">
        <v>41</v>
      </c>
      <c r="I835" s="97">
        <v>199</v>
      </c>
      <c r="J835" s="97">
        <v>9</v>
      </c>
      <c r="K835" s="97">
        <f t="shared" ref="K835:K898" si="13">SUMPRODUCT(I835,J835)</f>
        <v>1791</v>
      </c>
      <c r="L835" s="97">
        <f>_xlfn.XLOOKUP(E835,Emp_Data!$B$2:$B$9,Emp_Data!$A$2:$A$9)</f>
        <v>8</v>
      </c>
    </row>
    <row r="836" spans="1:12">
      <c r="A836" s="99">
        <v>212</v>
      </c>
      <c r="B836" s="101">
        <v>44263</v>
      </c>
      <c r="C836" s="96">
        <v>2</v>
      </c>
      <c r="D836" s="104" t="s">
        <v>35</v>
      </c>
      <c r="E836" s="97" t="s">
        <v>14</v>
      </c>
      <c r="F836" s="97" t="str">
        <f>VLOOKUP(E836,Emp_Data!$B$2:$C$9,2,)</f>
        <v>Jeff</v>
      </c>
      <c r="G836" s="97" t="s">
        <v>15</v>
      </c>
      <c r="H836" s="97" t="s">
        <v>41</v>
      </c>
      <c r="I836" s="97">
        <v>199</v>
      </c>
      <c r="J836" s="97">
        <v>0</v>
      </c>
      <c r="K836" s="97">
        <f t="shared" si="13"/>
        <v>0</v>
      </c>
      <c r="L836" s="97">
        <f>_xlfn.XLOOKUP(E836,Emp_Data!$B$2:$B$9,Emp_Data!$A$2:$A$9)</f>
        <v>2</v>
      </c>
    </row>
    <row r="837" spans="1:12">
      <c r="A837" s="99">
        <v>215</v>
      </c>
      <c r="B837" s="101">
        <v>44266</v>
      </c>
      <c r="C837" s="96">
        <v>3</v>
      </c>
      <c r="D837" s="104" t="s">
        <v>20</v>
      </c>
      <c r="E837" s="97" t="s">
        <v>14</v>
      </c>
      <c r="F837" s="97" t="str">
        <f>VLOOKUP(E837,Emp_Data!$B$2:$C$9,2,)</f>
        <v>Jeff</v>
      </c>
      <c r="G837" s="97" t="s">
        <v>15</v>
      </c>
      <c r="H837" s="97" t="s">
        <v>41</v>
      </c>
      <c r="I837" s="97">
        <v>199</v>
      </c>
      <c r="J837" s="97">
        <v>3</v>
      </c>
      <c r="K837" s="97">
        <f t="shared" si="13"/>
        <v>597</v>
      </c>
      <c r="L837" s="97">
        <f>_xlfn.XLOOKUP(E837,Emp_Data!$B$2:$B$9,Emp_Data!$A$2:$A$9)</f>
        <v>2</v>
      </c>
    </row>
    <row r="838" spans="1:12">
      <c r="A838" s="99">
        <v>222</v>
      </c>
      <c r="B838" s="101">
        <v>44266</v>
      </c>
      <c r="C838" s="96">
        <v>4</v>
      </c>
      <c r="D838" s="104" t="s">
        <v>13</v>
      </c>
      <c r="E838" s="97" t="s">
        <v>14</v>
      </c>
      <c r="F838" s="97" t="str">
        <f>VLOOKUP(E838,Emp_Data!$B$2:$C$9,2,)</f>
        <v>Jeff</v>
      </c>
      <c r="G838" s="97" t="s">
        <v>15</v>
      </c>
      <c r="H838" s="97" t="s">
        <v>41</v>
      </c>
      <c r="I838" s="97">
        <v>199</v>
      </c>
      <c r="J838" s="97">
        <v>8</v>
      </c>
      <c r="K838" s="97">
        <f t="shared" si="13"/>
        <v>1592</v>
      </c>
      <c r="L838" s="97">
        <f>_xlfn.XLOOKUP(E838,Emp_Data!$B$2:$B$9,Emp_Data!$A$2:$A$9)</f>
        <v>2</v>
      </c>
    </row>
    <row r="839" spans="1:12">
      <c r="A839" s="99">
        <v>231</v>
      </c>
      <c r="B839" s="101">
        <v>44270</v>
      </c>
      <c r="C839" s="96">
        <v>19</v>
      </c>
      <c r="D839" s="104" t="s">
        <v>22</v>
      </c>
      <c r="E839" s="97" t="s">
        <v>25</v>
      </c>
      <c r="F839" s="97" t="str">
        <f>VLOOKUP(E839,Emp_Data!$B$2:$C$9,2,)</f>
        <v>Jeff</v>
      </c>
      <c r="G839" s="97" t="s">
        <v>9</v>
      </c>
      <c r="H839" s="97" t="s">
        <v>41</v>
      </c>
      <c r="I839" s="97">
        <v>199</v>
      </c>
      <c r="J839" s="97">
        <v>6</v>
      </c>
      <c r="K839" s="97">
        <f t="shared" si="13"/>
        <v>1194</v>
      </c>
      <c r="L839" s="97">
        <f>_xlfn.XLOOKUP(E839,Emp_Data!$B$2:$B$9,Emp_Data!$A$2:$A$9)</f>
        <v>5</v>
      </c>
    </row>
    <row r="840" spans="1:12">
      <c r="A840" s="99">
        <v>234</v>
      </c>
      <c r="B840" s="101">
        <v>44271</v>
      </c>
      <c r="C840" s="96">
        <v>15</v>
      </c>
      <c r="D840" s="104" t="s">
        <v>29</v>
      </c>
      <c r="E840" s="97" t="s">
        <v>24</v>
      </c>
      <c r="F840" s="97" t="str">
        <f>VLOOKUP(E840,Emp_Data!$B$2:$C$9,2,)</f>
        <v>Steve</v>
      </c>
      <c r="G840" s="97" t="s">
        <v>19</v>
      </c>
      <c r="H840" s="97" t="s">
        <v>41</v>
      </c>
      <c r="I840" s="97">
        <v>199</v>
      </c>
      <c r="J840" s="97">
        <v>2</v>
      </c>
      <c r="K840" s="97">
        <f t="shared" si="13"/>
        <v>398</v>
      </c>
      <c r="L840" s="97">
        <f>_xlfn.XLOOKUP(E840,Emp_Data!$B$2:$B$9,Emp_Data!$A$2:$A$9)</f>
        <v>6</v>
      </c>
    </row>
    <row r="841" spans="1:12">
      <c r="A841" s="99">
        <v>238</v>
      </c>
      <c r="B841" s="101">
        <v>44271</v>
      </c>
      <c r="C841" s="96">
        <v>7</v>
      </c>
      <c r="D841" s="104" t="s">
        <v>28</v>
      </c>
      <c r="E841" s="97" t="s">
        <v>27</v>
      </c>
      <c r="F841" s="97" t="str">
        <f>VLOOKUP(E841,Emp_Data!$B$2:$C$9,2,)</f>
        <v>Philip</v>
      </c>
      <c r="G841" s="97" t="s">
        <v>12</v>
      </c>
      <c r="H841" s="97" t="s">
        <v>41</v>
      </c>
      <c r="I841" s="97">
        <v>199</v>
      </c>
      <c r="J841" s="97">
        <v>3</v>
      </c>
      <c r="K841" s="97">
        <f t="shared" si="13"/>
        <v>597</v>
      </c>
      <c r="L841" s="97">
        <f>_xlfn.XLOOKUP(E841,Emp_Data!$B$2:$B$9,Emp_Data!$A$2:$A$9)</f>
        <v>8</v>
      </c>
    </row>
    <row r="842" spans="1:12">
      <c r="A842" s="99">
        <v>240</v>
      </c>
      <c r="B842" s="101">
        <v>44271</v>
      </c>
      <c r="C842" s="96">
        <v>18</v>
      </c>
      <c r="D842" s="104" t="s">
        <v>30</v>
      </c>
      <c r="E842" s="97" t="s">
        <v>8</v>
      </c>
      <c r="F842" s="97" t="str">
        <f>VLOOKUP(E842,Emp_Data!$B$2:$C$9,2,)</f>
        <v>Jeff</v>
      </c>
      <c r="G842" s="97" t="s">
        <v>9</v>
      </c>
      <c r="H842" s="97" t="s">
        <v>41</v>
      </c>
      <c r="I842" s="97">
        <v>199</v>
      </c>
      <c r="J842" s="97">
        <v>5</v>
      </c>
      <c r="K842" s="97">
        <f t="shared" si="13"/>
        <v>995</v>
      </c>
      <c r="L842" s="97">
        <f>_xlfn.XLOOKUP(E842,Emp_Data!$B$2:$B$9,Emp_Data!$A$2:$A$9)</f>
        <v>3</v>
      </c>
    </row>
    <row r="843" spans="1:12">
      <c r="A843" s="99">
        <v>243</v>
      </c>
      <c r="B843" s="101">
        <v>44272</v>
      </c>
      <c r="C843" s="96">
        <v>20</v>
      </c>
      <c r="D843" s="104" t="s">
        <v>7</v>
      </c>
      <c r="E843" s="97" t="s">
        <v>25</v>
      </c>
      <c r="F843" s="97" t="str">
        <f>VLOOKUP(E843,Emp_Data!$B$2:$C$9,2,)</f>
        <v>Jeff</v>
      </c>
      <c r="G843" s="97" t="s">
        <v>9</v>
      </c>
      <c r="H843" s="97" t="s">
        <v>41</v>
      </c>
      <c r="I843" s="97">
        <v>199</v>
      </c>
      <c r="J843" s="97">
        <v>4</v>
      </c>
      <c r="K843" s="97">
        <f t="shared" si="13"/>
        <v>796</v>
      </c>
      <c r="L843" s="97">
        <f>_xlfn.XLOOKUP(E843,Emp_Data!$B$2:$B$9,Emp_Data!$A$2:$A$9)</f>
        <v>5</v>
      </c>
    </row>
    <row r="844" spans="1:12">
      <c r="A844" s="99">
        <v>252</v>
      </c>
      <c r="B844" s="101">
        <v>44273</v>
      </c>
      <c r="C844" s="96">
        <v>14</v>
      </c>
      <c r="D844" s="104" t="s">
        <v>33</v>
      </c>
      <c r="E844" s="97" t="s">
        <v>18</v>
      </c>
      <c r="F844" s="97" t="str">
        <f>VLOOKUP(E844,Emp_Data!$B$2:$C$9,2,)</f>
        <v>Sara</v>
      </c>
      <c r="G844" s="97" t="s">
        <v>19</v>
      </c>
      <c r="H844" s="97" t="s">
        <v>41</v>
      </c>
      <c r="I844" s="97">
        <v>199</v>
      </c>
      <c r="J844" s="97">
        <v>2</v>
      </c>
      <c r="K844" s="97">
        <f t="shared" si="13"/>
        <v>398</v>
      </c>
      <c r="L844" s="97">
        <f>_xlfn.XLOOKUP(E844,Emp_Data!$B$2:$B$9,Emp_Data!$A$2:$A$9)</f>
        <v>5</v>
      </c>
    </row>
    <row r="845" spans="1:12">
      <c r="A845" s="99">
        <v>255</v>
      </c>
      <c r="B845" s="101">
        <v>44274</v>
      </c>
      <c r="C845" s="96">
        <v>5</v>
      </c>
      <c r="D845" s="104" t="s">
        <v>16</v>
      </c>
      <c r="E845" s="97" t="s">
        <v>21</v>
      </c>
      <c r="F845" s="97" t="str">
        <f>VLOOKUP(E845,Emp_Data!$B$2:$C$9,2,)</f>
        <v>Sara</v>
      </c>
      <c r="G845" s="97" t="s">
        <v>15</v>
      </c>
      <c r="H845" s="97" t="s">
        <v>41</v>
      </c>
      <c r="I845" s="97">
        <v>199</v>
      </c>
      <c r="J845" s="97">
        <v>9</v>
      </c>
      <c r="K845" s="97">
        <f t="shared" si="13"/>
        <v>1791</v>
      </c>
      <c r="L845" s="97">
        <f>_xlfn.XLOOKUP(E845,Emp_Data!$B$2:$B$9,Emp_Data!$A$2:$A$9)</f>
        <v>2</v>
      </c>
    </row>
    <row r="846" spans="1:12">
      <c r="A846" s="99">
        <v>261</v>
      </c>
      <c r="B846" s="101">
        <v>44276</v>
      </c>
      <c r="C846" s="96">
        <v>4</v>
      </c>
      <c r="D846" s="104" t="s">
        <v>13</v>
      </c>
      <c r="E846" s="97" t="s">
        <v>14</v>
      </c>
      <c r="F846" s="97" t="str">
        <f>VLOOKUP(E846,Emp_Data!$B$2:$C$9,2,)</f>
        <v>Jeff</v>
      </c>
      <c r="G846" s="97" t="s">
        <v>15</v>
      </c>
      <c r="H846" s="97" t="s">
        <v>41</v>
      </c>
      <c r="I846" s="97">
        <v>199</v>
      </c>
      <c r="J846" s="97">
        <v>8</v>
      </c>
      <c r="K846" s="97">
        <f t="shared" si="13"/>
        <v>1592</v>
      </c>
      <c r="L846" s="97">
        <f>_xlfn.XLOOKUP(E846,Emp_Data!$B$2:$B$9,Emp_Data!$A$2:$A$9)</f>
        <v>2</v>
      </c>
    </row>
    <row r="847" spans="1:12">
      <c r="A847" s="99">
        <v>264</v>
      </c>
      <c r="B847" s="101">
        <v>44279</v>
      </c>
      <c r="C847" s="96">
        <v>17</v>
      </c>
      <c r="D847" s="104" t="s">
        <v>32</v>
      </c>
      <c r="E847" s="97" t="s">
        <v>8</v>
      </c>
      <c r="F847" s="97" t="str">
        <f>VLOOKUP(E847,Emp_Data!$B$2:$C$9,2,)</f>
        <v>Jeff</v>
      </c>
      <c r="G847" s="97" t="s">
        <v>9</v>
      </c>
      <c r="H847" s="97" t="s">
        <v>41</v>
      </c>
      <c r="I847" s="97">
        <v>199</v>
      </c>
      <c r="J847" s="97">
        <v>1</v>
      </c>
      <c r="K847" s="97">
        <f t="shared" si="13"/>
        <v>199</v>
      </c>
      <c r="L847" s="97">
        <f>_xlfn.XLOOKUP(E847,Emp_Data!$B$2:$B$9,Emp_Data!$A$2:$A$9)</f>
        <v>3</v>
      </c>
    </row>
    <row r="848" spans="1:12">
      <c r="A848" s="99">
        <v>267</v>
      </c>
      <c r="B848" s="101">
        <v>44280</v>
      </c>
      <c r="C848" s="96">
        <v>16</v>
      </c>
      <c r="D848" s="104" t="s">
        <v>37</v>
      </c>
      <c r="E848" s="97" t="s">
        <v>25</v>
      </c>
      <c r="F848" s="97" t="str">
        <f>VLOOKUP(E848,Emp_Data!$B$2:$C$9,2,)</f>
        <v>Jeff</v>
      </c>
      <c r="G848" s="97" t="s">
        <v>9</v>
      </c>
      <c r="H848" s="97" t="s">
        <v>41</v>
      </c>
      <c r="I848" s="97">
        <v>199</v>
      </c>
      <c r="J848" s="97">
        <v>8</v>
      </c>
      <c r="K848" s="97">
        <f t="shared" si="13"/>
        <v>1592</v>
      </c>
      <c r="L848" s="97">
        <f>_xlfn.XLOOKUP(E848,Emp_Data!$B$2:$B$9,Emp_Data!$A$2:$A$9)</f>
        <v>5</v>
      </c>
    </row>
    <row r="849" spans="1:12">
      <c r="A849" s="99">
        <v>268</v>
      </c>
      <c r="B849" s="101">
        <v>44280</v>
      </c>
      <c r="C849" s="96">
        <v>4</v>
      </c>
      <c r="D849" s="104" t="s">
        <v>13</v>
      </c>
      <c r="E849" s="97" t="s">
        <v>21</v>
      </c>
      <c r="F849" s="97" t="str">
        <f>VLOOKUP(E849,Emp_Data!$B$2:$C$9,2,)</f>
        <v>Sara</v>
      </c>
      <c r="G849" s="97" t="s">
        <v>15</v>
      </c>
      <c r="H849" s="97" t="s">
        <v>41</v>
      </c>
      <c r="I849" s="97">
        <v>199</v>
      </c>
      <c r="J849" s="97">
        <v>1</v>
      </c>
      <c r="K849" s="97">
        <f t="shared" si="13"/>
        <v>199</v>
      </c>
      <c r="L849" s="97">
        <f>_xlfn.XLOOKUP(E849,Emp_Data!$B$2:$B$9,Emp_Data!$A$2:$A$9)</f>
        <v>2</v>
      </c>
    </row>
    <row r="850" spans="1:12">
      <c r="A850" s="99">
        <v>269</v>
      </c>
      <c r="B850" s="101">
        <v>44280</v>
      </c>
      <c r="C850" s="96">
        <v>20</v>
      </c>
      <c r="D850" s="104" t="s">
        <v>7</v>
      </c>
      <c r="E850" s="97" t="s">
        <v>25</v>
      </c>
      <c r="F850" s="97" t="str">
        <f>VLOOKUP(E850,Emp_Data!$B$2:$C$9,2,)</f>
        <v>Jeff</v>
      </c>
      <c r="G850" s="97" t="s">
        <v>9</v>
      </c>
      <c r="H850" s="97" t="s">
        <v>41</v>
      </c>
      <c r="I850" s="97">
        <v>199</v>
      </c>
      <c r="J850" s="97">
        <v>6</v>
      </c>
      <c r="K850" s="97">
        <f t="shared" si="13"/>
        <v>1194</v>
      </c>
      <c r="L850" s="97">
        <f>_xlfn.XLOOKUP(E850,Emp_Data!$B$2:$B$9,Emp_Data!$A$2:$A$9)</f>
        <v>5</v>
      </c>
    </row>
    <row r="851" spans="1:12">
      <c r="A851" s="99">
        <v>271</v>
      </c>
      <c r="B851" s="101">
        <v>44280</v>
      </c>
      <c r="C851" s="96">
        <v>14</v>
      </c>
      <c r="D851" s="104" t="s">
        <v>33</v>
      </c>
      <c r="E851" s="97" t="s">
        <v>18</v>
      </c>
      <c r="F851" s="97" t="str">
        <f>VLOOKUP(E851,Emp_Data!$B$2:$C$9,2,)</f>
        <v>Sara</v>
      </c>
      <c r="G851" s="97" t="s">
        <v>19</v>
      </c>
      <c r="H851" s="97" t="s">
        <v>41</v>
      </c>
      <c r="I851" s="97">
        <v>199</v>
      </c>
      <c r="J851" s="97">
        <v>3</v>
      </c>
      <c r="K851" s="97">
        <f t="shared" si="13"/>
        <v>597</v>
      </c>
      <c r="L851" s="97">
        <f>_xlfn.XLOOKUP(E851,Emp_Data!$B$2:$B$9,Emp_Data!$A$2:$A$9)</f>
        <v>5</v>
      </c>
    </row>
    <row r="852" spans="1:12">
      <c r="A852" s="99">
        <v>273</v>
      </c>
      <c r="B852" s="101">
        <v>44280</v>
      </c>
      <c r="C852" s="96">
        <v>3</v>
      </c>
      <c r="D852" s="104" t="s">
        <v>20</v>
      </c>
      <c r="E852" s="97" t="s">
        <v>21</v>
      </c>
      <c r="F852" s="97" t="str">
        <f>VLOOKUP(E852,Emp_Data!$B$2:$C$9,2,)</f>
        <v>Sara</v>
      </c>
      <c r="G852" s="97" t="s">
        <v>15</v>
      </c>
      <c r="H852" s="97" t="s">
        <v>41</v>
      </c>
      <c r="I852" s="97">
        <v>199</v>
      </c>
      <c r="J852" s="97">
        <v>9</v>
      </c>
      <c r="K852" s="97">
        <f t="shared" si="13"/>
        <v>1791</v>
      </c>
      <c r="L852" s="97">
        <f>_xlfn.XLOOKUP(E852,Emp_Data!$B$2:$B$9,Emp_Data!$A$2:$A$9)</f>
        <v>2</v>
      </c>
    </row>
    <row r="853" spans="1:12">
      <c r="A853" s="99">
        <v>274</v>
      </c>
      <c r="B853" s="101">
        <v>44280</v>
      </c>
      <c r="C853" s="96">
        <v>7</v>
      </c>
      <c r="D853" s="104" t="s">
        <v>28</v>
      </c>
      <c r="E853" s="97" t="s">
        <v>27</v>
      </c>
      <c r="F853" s="97" t="str">
        <f>VLOOKUP(E853,Emp_Data!$B$2:$C$9,2,)</f>
        <v>Philip</v>
      </c>
      <c r="G853" s="97" t="s">
        <v>12</v>
      </c>
      <c r="H853" s="97" t="s">
        <v>41</v>
      </c>
      <c r="I853" s="97">
        <v>199</v>
      </c>
      <c r="J853" s="97">
        <v>3</v>
      </c>
      <c r="K853" s="97">
        <f t="shared" si="13"/>
        <v>597</v>
      </c>
      <c r="L853" s="97">
        <f>_xlfn.XLOOKUP(E853,Emp_Data!$B$2:$B$9,Emp_Data!$A$2:$A$9)</f>
        <v>8</v>
      </c>
    </row>
    <row r="854" spans="1:12">
      <c r="A854" s="99">
        <v>280</v>
      </c>
      <c r="B854" s="101">
        <v>44281</v>
      </c>
      <c r="C854" s="96">
        <v>16</v>
      </c>
      <c r="D854" s="104" t="s">
        <v>37</v>
      </c>
      <c r="E854" s="97" t="s">
        <v>8</v>
      </c>
      <c r="F854" s="97" t="str">
        <f>VLOOKUP(E854,Emp_Data!$B$2:$C$9,2,)</f>
        <v>Jeff</v>
      </c>
      <c r="G854" s="97" t="s">
        <v>9</v>
      </c>
      <c r="H854" s="97" t="s">
        <v>41</v>
      </c>
      <c r="I854" s="97">
        <v>199</v>
      </c>
      <c r="J854" s="97">
        <v>1</v>
      </c>
      <c r="K854" s="97">
        <f t="shared" si="13"/>
        <v>199</v>
      </c>
      <c r="L854" s="97">
        <f>_xlfn.XLOOKUP(E854,Emp_Data!$B$2:$B$9,Emp_Data!$A$2:$A$9)</f>
        <v>3</v>
      </c>
    </row>
    <row r="855" spans="1:12">
      <c r="A855" s="99">
        <v>293</v>
      </c>
      <c r="B855" s="101">
        <v>44285</v>
      </c>
      <c r="C855" s="96">
        <v>2</v>
      </c>
      <c r="D855" s="104" t="s">
        <v>35</v>
      </c>
      <c r="E855" s="97" t="s">
        <v>14</v>
      </c>
      <c r="F855" s="97" t="str">
        <f>VLOOKUP(E855,Emp_Data!$B$2:$C$9,2,)</f>
        <v>Jeff</v>
      </c>
      <c r="G855" s="97" t="s">
        <v>15</v>
      </c>
      <c r="H855" s="97" t="s">
        <v>41</v>
      </c>
      <c r="I855" s="97">
        <v>199</v>
      </c>
      <c r="J855" s="97">
        <v>7</v>
      </c>
      <c r="K855" s="97">
        <f t="shared" si="13"/>
        <v>1393</v>
      </c>
      <c r="L855" s="97">
        <f>_xlfn.XLOOKUP(E855,Emp_Data!$B$2:$B$9,Emp_Data!$A$2:$A$9)</f>
        <v>2</v>
      </c>
    </row>
    <row r="856" spans="1:12">
      <c r="A856" s="99">
        <v>299</v>
      </c>
      <c r="B856" s="101">
        <v>44286</v>
      </c>
      <c r="C856" s="96">
        <v>12</v>
      </c>
      <c r="D856" s="104" t="s">
        <v>17</v>
      </c>
      <c r="E856" s="97" t="s">
        <v>18</v>
      </c>
      <c r="F856" s="97" t="str">
        <f>VLOOKUP(E856,Emp_Data!$B$2:$C$9,2,)</f>
        <v>Sara</v>
      </c>
      <c r="G856" s="97" t="s">
        <v>19</v>
      </c>
      <c r="H856" s="97" t="s">
        <v>41</v>
      </c>
      <c r="I856" s="97">
        <v>199</v>
      </c>
      <c r="J856" s="97">
        <v>8</v>
      </c>
      <c r="K856" s="97">
        <f t="shared" si="13"/>
        <v>1592</v>
      </c>
      <c r="L856" s="97">
        <f>_xlfn.XLOOKUP(E856,Emp_Data!$B$2:$B$9,Emp_Data!$A$2:$A$9)</f>
        <v>5</v>
      </c>
    </row>
    <row r="857" spans="1:12">
      <c r="A857" s="99">
        <v>307</v>
      </c>
      <c r="B857" s="101">
        <v>44291</v>
      </c>
      <c r="C857" s="96">
        <v>4</v>
      </c>
      <c r="D857" s="104" t="s">
        <v>13</v>
      </c>
      <c r="E857" s="97" t="s">
        <v>14</v>
      </c>
      <c r="F857" s="97" t="str">
        <f>VLOOKUP(E857,Emp_Data!$B$2:$C$9,2,)</f>
        <v>Jeff</v>
      </c>
      <c r="G857" s="97" t="s">
        <v>15</v>
      </c>
      <c r="H857" s="97" t="s">
        <v>41</v>
      </c>
      <c r="I857" s="97">
        <v>199</v>
      </c>
      <c r="J857" s="97">
        <v>5</v>
      </c>
      <c r="K857" s="97">
        <f t="shared" si="13"/>
        <v>995</v>
      </c>
      <c r="L857" s="97">
        <f>_xlfn.XLOOKUP(E857,Emp_Data!$B$2:$B$9,Emp_Data!$A$2:$A$9)</f>
        <v>2</v>
      </c>
    </row>
    <row r="858" spans="1:12">
      <c r="A858" s="99">
        <v>308</v>
      </c>
      <c r="B858" s="101">
        <v>44291</v>
      </c>
      <c r="C858" s="96">
        <v>12</v>
      </c>
      <c r="D858" s="104" t="s">
        <v>17</v>
      </c>
      <c r="E858" s="97" t="s">
        <v>18</v>
      </c>
      <c r="F858" s="97" t="str">
        <f>VLOOKUP(E858,Emp_Data!$B$2:$C$9,2,)</f>
        <v>Sara</v>
      </c>
      <c r="G858" s="97" t="s">
        <v>19</v>
      </c>
      <c r="H858" s="97" t="s">
        <v>41</v>
      </c>
      <c r="I858" s="97">
        <v>199</v>
      </c>
      <c r="J858" s="97">
        <v>6</v>
      </c>
      <c r="K858" s="97">
        <f t="shared" si="13"/>
        <v>1194</v>
      </c>
      <c r="L858" s="97">
        <f>_xlfn.XLOOKUP(E858,Emp_Data!$B$2:$B$9,Emp_Data!$A$2:$A$9)</f>
        <v>5</v>
      </c>
    </row>
    <row r="859" spans="1:12">
      <c r="A859" s="99">
        <v>312</v>
      </c>
      <c r="B859" s="101">
        <v>44293</v>
      </c>
      <c r="C859" s="96">
        <v>18</v>
      </c>
      <c r="D859" s="104" t="s">
        <v>30</v>
      </c>
      <c r="E859" s="97" t="s">
        <v>25</v>
      </c>
      <c r="F859" s="97" t="str">
        <f>VLOOKUP(E859,Emp_Data!$B$2:$C$9,2,)</f>
        <v>Jeff</v>
      </c>
      <c r="G859" s="97" t="s">
        <v>9</v>
      </c>
      <c r="H859" s="97" t="s">
        <v>41</v>
      </c>
      <c r="I859" s="97">
        <v>199</v>
      </c>
      <c r="J859" s="97">
        <v>0</v>
      </c>
      <c r="K859" s="97">
        <f t="shared" si="13"/>
        <v>0</v>
      </c>
      <c r="L859" s="97">
        <f>_xlfn.XLOOKUP(E859,Emp_Data!$B$2:$B$9,Emp_Data!$A$2:$A$9)</f>
        <v>5</v>
      </c>
    </row>
    <row r="860" spans="1:12">
      <c r="A860" s="99">
        <v>313</v>
      </c>
      <c r="B860" s="101">
        <v>44293</v>
      </c>
      <c r="C860" s="96">
        <v>7</v>
      </c>
      <c r="D860" s="104" t="s">
        <v>28</v>
      </c>
      <c r="E860" s="97" t="s">
        <v>27</v>
      </c>
      <c r="F860" s="97" t="str">
        <f>VLOOKUP(E860,Emp_Data!$B$2:$C$9,2,)</f>
        <v>Philip</v>
      </c>
      <c r="G860" s="97" t="s">
        <v>12</v>
      </c>
      <c r="H860" s="97" t="s">
        <v>41</v>
      </c>
      <c r="I860" s="97">
        <v>199</v>
      </c>
      <c r="J860" s="97">
        <v>9</v>
      </c>
      <c r="K860" s="97">
        <f t="shared" si="13"/>
        <v>1791</v>
      </c>
      <c r="L860" s="97">
        <f>_xlfn.XLOOKUP(E860,Emp_Data!$B$2:$B$9,Emp_Data!$A$2:$A$9)</f>
        <v>8</v>
      </c>
    </row>
    <row r="861" spans="1:12">
      <c r="A861" s="99">
        <v>314</v>
      </c>
      <c r="B861" s="101">
        <v>44293</v>
      </c>
      <c r="C861" s="96">
        <v>2</v>
      </c>
      <c r="D861" s="104" t="s">
        <v>35</v>
      </c>
      <c r="E861" s="97" t="s">
        <v>21</v>
      </c>
      <c r="F861" s="97" t="str">
        <f>VLOOKUP(E861,Emp_Data!$B$2:$C$9,2,)</f>
        <v>Sara</v>
      </c>
      <c r="G861" s="97" t="s">
        <v>15</v>
      </c>
      <c r="H861" s="97" t="s">
        <v>41</v>
      </c>
      <c r="I861" s="97">
        <v>199</v>
      </c>
      <c r="J861" s="97">
        <v>5</v>
      </c>
      <c r="K861" s="97">
        <f t="shared" si="13"/>
        <v>995</v>
      </c>
      <c r="L861" s="97">
        <f>_xlfn.XLOOKUP(E861,Emp_Data!$B$2:$B$9,Emp_Data!$A$2:$A$9)</f>
        <v>2</v>
      </c>
    </row>
    <row r="862" spans="1:12">
      <c r="A862" s="99">
        <v>315</v>
      </c>
      <c r="B862" s="101">
        <v>44294</v>
      </c>
      <c r="C862" s="96">
        <v>19</v>
      </c>
      <c r="D862" s="104" t="s">
        <v>22</v>
      </c>
      <c r="E862" s="97" t="s">
        <v>25</v>
      </c>
      <c r="F862" s="97" t="str">
        <f>VLOOKUP(E862,Emp_Data!$B$2:$C$9,2,)</f>
        <v>Jeff</v>
      </c>
      <c r="G862" s="97" t="s">
        <v>9</v>
      </c>
      <c r="H862" s="97" t="s">
        <v>41</v>
      </c>
      <c r="I862" s="97">
        <v>199</v>
      </c>
      <c r="J862" s="97">
        <v>9</v>
      </c>
      <c r="K862" s="97">
        <f t="shared" si="13"/>
        <v>1791</v>
      </c>
      <c r="L862" s="97">
        <f>_xlfn.XLOOKUP(E862,Emp_Data!$B$2:$B$9,Emp_Data!$A$2:$A$9)</f>
        <v>5</v>
      </c>
    </row>
    <row r="863" spans="1:12">
      <c r="A863" s="99">
        <v>316</v>
      </c>
      <c r="B863" s="101">
        <v>44294</v>
      </c>
      <c r="C863" s="96">
        <v>19</v>
      </c>
      <c r="D863" s="104" t="s">
        <v>22</v>
      </c>
      <c r="E863" s="97" t="s">
        <v>25</v>
      </c>
      <c r="F863" s="97" t="str">
        <f>VLOOKUP(E863,Emp_Data!$B$2:$C$9,2,)</f>
        <v>Jeff</v>
      </c>
      <c r="G863" s="97" t="s">
        <v>9</v>
      </c>
      <c r="H863" s="97" t="s">
        <v>41</v>
      </c>
      <c r="I863" s="97">
        <v>199</v>
      </c>
      <c r="J863" s="97">
        <v>8</v>
      </c>
      <c r="K863" s="97">
        <f t="shared" si="13"/>
        <v>1592</v>
      </c>
      <c r="L863" s="97">
        <f>_xlfn.XLOOKUP(E863,Emp_Data!$B$2:$B$9,Emp_Data!$A$2:$A$9)</f>
        <v>5</v>
      </c>
    </row>
    <row r="864" spans="1:12">
      <c r="A864" s="99">
        <v>317</v>
      </c>
      <c r="B864" s="101">
        <v>44295</v>
      </c>
      <c r="C864" s="96">
        <v>2</v>
      </c>
      <c r="D864" s="104" t="s">
        <v>35</v>
      </c>
      <c r="E864" s="97" t="s">
        <v>14</v>
      </c>
      <c r="F864" s="97" t="str">
        <f>VLOOKUP(E864,Emp_Data!$B$2:$C$9,2,)</f>
        <v>Jeff</v>
      </c>
      <c r="G864" s="97" t="s">
        <v>15</v>
      </c>
      <c r="H864" s="97" t="s">
        <v>41</v>
      </c>
      <c r="I864" s="97">
        <v>199</v>
      </c>
      <c r="J864" s="97">
        <v>3</v>
      </c>
      <c r="K864" s="97">
        <f t="shared" si="13"/>
        <v>597</v>
      </c>
      <c r="L864" s="97">
        <f>_xlfn.XLOOKUP(E864,Emp_Data!$B$2:$B$9,Emp_Data!$A$2:$A$9)</f>
        <v>2</v>
      </c>
    </row>
    <row r="865" spans="1:12">
      <c r="A865" s="99">
        <v>318</v>
      </c>
      <c r="B865" s="101">
        <v>44295</v>
      </c>
      <c r="C865" s="96">
        <v>5</v>
      </c>
      <c r="D865" s="104" t="s">
        <v>16</v>
      </c>
      <c r="E865" s="97" t="s">
        <v>21</v>
      </c>
      <c r="F865" s="97" t="str">
        <f>VLOOKUP(E865,Emp_Data!$B$2:$C$9,2,)</f>
        <v>Sara</v>
      </c>
      <c r="G865" s="97" t="s">
        <v>15</v>
      </c>
      <c r="H865" s="97" t="s">
        <v>41</v>
      </c>
      <c r="I865" s="97">
        <v>199</v>
      </c>
      <c r="J865" s="97">
        <v>4</v>
      </c>
      <c r="K865" s="97">
        <f t="shared" si="13"/>
        <v>796</v>
      </c>
      <c r="L865" s="97">
        <f>_xlfn.XLOOKUP(E865,Emp_Data!$B$2:$B$9,Emp_Data!$A$2:$A$9)</f>
        <v>2</v>
      </c>
    </row>
    <row r="866" spans="1:12">
      <c r="A866" s="99">
        <v>327</v>
      </c>
      <c r="B866" s="101">
        <v>44300</v>
      </c>
      <c r="C866" s="96">
        <v>9</v>
      </c>
      <c r="D866" s="104" t="s">
        <v>26</v>
      </c>
      <c r="E866" s="97" t="s">
        <v>11</v>
      </c>
      <c r="F866" s="97" t="str">
        <f>VLOOKUP(E866,Emp_Data!$B$2:$C$9,2,)</f>
        <v>Steve</v>
      </c>
      <c r="G866" s="97" t="s">
        <v>12</v>
      </c>
      <c r="H866" s="97" t="s">
        <v>41</v>
      </c>
      <c r="I866" s="97">
        <v>199</v>
      </c>
      <c r="J866" s="97">
        <v>9</v>
      </c>
      <c r="K866" s="97">
        <f t="shared" si="13"/>
        <v>1791</v>
      </c>
      <c r="L866" s="97">
        <f>_xlfn.XLOOKUP(E866,Emp_Data!$B$2:$B$9,Emp_Data!$A$2:$A$9)</f>
        <v>4</v>
      </c>
    </row>
    <row r="867" spans="1:12">
      <c r="A867" s="99">
        <v>328</v>
      </c>
      <c r="B867" s="101">
        <v>44300</v>
      </c>
      <c r="C867" s="96">
        <v>8</v>
      </c>
      <c r="D867" s="104" t="s">
        <v>36</v>
      </c>
      <c r="E867" s="97" t="s">
        <v>27</v>
      </c>
      <c r="F867" s="97" t="str">
        <f>VLOOKUP(E867,Emp_Data!$B$2:$C$9,2,)</f>
        <v>Philip</v>
      </c>
      <c r="G867" s="97" t="s">
        <v>12</v>
      </c>
      <c r="H867" s="97" t="s">
        <v>41</v>
      </c>
      <c r="I867" s="97">
        <v>199</v>
      </c>
      <c r="J867" s="97">
        <v>2</v>
      </c>
      <c r="K867" s="97">
        <f t="shared" si="13"/>
        <v>398</v>
      </c>
      <c r="L867" s="97">
        <f>_xlfn.XLOOKUP(E867,Emp_Data!$B$2:$B$9,Emp_Data!$A$2:$A$9)</f>
        <v>8</v>
      </c>
    </row>
    <row r="868" spans="1:12">
      <c r="A868" s="99">
        <v>332</v>
      </c>
      <c r="B868" s="101">
        <v>44300</v>
      </c>
      <c r="C868" s="96">
        <v>6</v>
      </c>
      <c r="D868" s="104" t="s">
        <v>10</v>
      </c>
      <c r="E868" s="97" t="s">
        <v>11</v>
      </c>
      <c r="F868" s="97" t="str">
        <f>VLOOKUP(E868,Emp_Data!$B$2:$C$9,2,)</f>
        <v>Steve</v>
      </c>
      <c r="G868" s="97" t="s">
        <v>12</v>
      </c>
      <c r="H868" s="97" t="s">
        <v>41</v>
      </c>
      <c r="I868" s="97">
        <v>199</v>
      </c>
      <c r="J868" s="97">
        <v>8</v>
      </c>
      <c r="K868" s="97">
        <f t="shared" si="13"/>
        <v>1592</v>
      </c>
      <c r="L868" s="97">
        <f>_xlfn.XLOOKUP(E868,Emp_Data!$B$2:$B$9,Emp_Data!$A$2:$A$9)</f>
        <v>4</v>
      </c>
    </row>
    <row r="869" spans="1:12">
      <c r="A869" s="99">
        <v>344</v>
      </c>
      <c r="B869" s="101">
        <v>44305</v>
      </c>
      <c r="C869" s="96">
        <v>9</v>
      </c>
      <c r="D869" s="104" t="s">
        <v>26</v>
      </c>
      <c r="E869" s="97" t="s">
        <v>27</v>
      </c>
      <c r="F869" s="97" t="str">
        <f>VLOOKUP(E869,Emp_Data!$B$2:$C$9,2,)</f>
        <v>Philip</v>
      </c>
      <c r="G869" s="97" t="s">
        <v>12</v>
      </c>
      <c r="H869" s="97" t="s">
        <v>41</v>
      </c>
      <c r="I869" s="97">
        <v>199</v>
      </c>
      <c r="J869" s="97">
        <v>6</v>
      </c>
      <c r="K869" s="97">
        <f t="shared" si="13"/>
        <v>1194</v>
      </c>
      <c r="L869" s="97">
        <f>_xlfn.XLOOKUP(E869,Emp_Data!$B$2:$B$9,Emp_Data!$A$2:$A$9)</f>
        <v>8</v>
      </c>
    </row>
    <row r="870" spans="1:12">
      <c r="A870" s="99">
        <v>345</v>
      </c>
      <c r="B870" s="101">
        <v>44305</v>
      </c>
      <c r="C870" s="96">
        <v>13</v>
      </c>
      <c r="D870" s="104" t="s">
        <v>23</v>
      </c>
      <c r="E870" s="97" t="s">
        <v>18</v>
      </c>
      <c r="F870" s="97" t="str">
        <f>VLOOKUP(E870,Emp_Data!$B$2:$C$9,2,)</f>
        <v>Sara</v>
      </c>
      <c r="G870" s="97" t="s">
        <v>19</v>
      </c>
      <c r="H870" s="97" t="s">
        <v>41</v>
      </c>
      <c r="I870" s="97">
        <v>199</v>
      </c>
      <c r="J870" s="97">
        <v>2</v>
      </c>
      <c r="K870" s="97">
        <f t="shared" si="13"/>
        <v>398</v>
      </c>
      <c r="L870" s="97">
        <f>_xlfn.XLOOKUP(E870,Emp_Data!$B$2:$B$9,Emp_Data!$A$2:$A$9)</f>
        <v>5</v>
      </c>
    </row>
    <row r="871" spans="1:12">
      <c r="A871" s="99">
        <v>347</v>
      </c>
      <c r="B871" s="101">
        <v>44305</v>
      </c>
      <c r="C871" s="96">
        <v>18</v>
      </c>
      <c r="D871" s="104" t="s">
        <v>30</v>
      </c>
      <c r="E871" s="97" t="s">
        <v>25</v>
      </c>
      <c r="F871" s="97" t="str">
        <f>VLOOKUP(E871,Emp_Data!$B$2:$C$9,2,)</f>
        <v>Jeff</v>
      </c>
      <c r="G871" s="97" t="s">
        <v>9</v>
      </c>
      <c r="H871" s="97" t="s">
        <v>41</v>
      </c>
      <c r="I871" s="97">
        <v>199</v>
      </c>
      <c r="J871" s="97">
        <v>0</v>
      </c>
      <c r="K871" s="97">
        <f t="shared" si="13"/>
        <v>0</v>
      </c>
      <c r="L871" s="97">
        <f>_xlfn.XLOOKUP(E871,Emp_Data!$B$2:$B$9,Emp_Data!$A$2:$A$9)</f>
        <v>5</v>
      </c>
    </row>
    <row r="872" spans="1:12">
      <c r="A872" s="99">
        <v>356</v>
      </c>
      <c r="B872" s="101">
        <v>44307</v>
      </c>
      <c r="C872" s="96">
        <v>18</v>
      </c>
      <c r="D872" s="104" t="s">
        <v>30</v>
      </c>
      <c r="E872" s="97" t="s">
        <v>8</v>
      </c>
      <c r="F872" s="97" t="str">
        <f>VLOOKUP(E872,Emp_Data!$B$2:$C$9,2,)</f>
        <v>Jeff</v>
      </c>
      <c r="G872" s="97" t="s">
        <v>9</v>
      </c>
      <c r="H872" s="97" t="s">
        <v>41</v>
      </c>
      <c r="I872" s="97">
        <v>199</v>
      </c>
      <c r="J872" s="97">
        <v>8</v>
      </c>
      <c r="K872" s="97">
        <f t="shared" si="13"/>
        <v>1592</v>
      </c>
      <c r="L872" s="97">
        <f>_xlfn.XLOOKUP(E872,Emp_Data!$B$2:$B$9,Emp_Data!$A$2:$A$9)</f>
        <v>3</v>
      </c>
    </row>
    <row r="873" spans="1:12">
      <c r="A873" s="99">
        <v>360</v>
      </c>
      <c r="B873" s="101">
        <v>44308</v>
      </c>
      <c r="C873" s="96">
        <v>19</v>
      </c>
      <c r="D873" s="104" t="s">
        <v>22</v>
      </c>
      <c r="E873" s="97" t="s">
        <v>25</v>
      </c>
      <c r="F873" s="97" t="str">
        <f>VLOOKUP(E873,Emp_Data!$B$2:$C$9,2,)</f>
        <v>Jeff</v>
      </c>
      <c r="G873" s="97" t="s">
        <v>9</v>
      </c>
      <c r="H873" s="97" t="s">
        <v>41</v>
      </c>
      <c r="I873" s="97">
        <v>199</v>
      </c>
      <c r="J873" s="97">
        <v>9</v>
      </c>
      <c r="K873" s="97">
        <f t="shared" si="13"/>
        <v>1791</v>
      </c>
      <c r="L873" s="97">
        <f>_xlfn.XLOOKUP(E873,Emp_Data!$B$2:$B$9,Emp_Data!$A$2:$A$9)</f>
        <v>5</v>
      </c>
    </row>
    <row r="874" spans="1:12">
      <c r="A874" s="99">
        <v>370</v>
      </c>
      <c r="B874" s="101">
        <v>44310</v>
      </c>
      <c r="C874" s="96">
        <v>15</v>
      </c>
      <c r="D874" s="104" t="s">
        <v>29</v>
      </c>
      <c r="E874" s="97" t="s">
        <v>24</v>
      </c>
      <c r="F874" s="97" t="str">
        <f>VLOOKUP(E874,Emp_Data!$B$2:$C$9,2,)</f>
        <v>Steve</v>
      </c>
      <c r="G874" s="97" t="s">
        <v>19</v>
      </c>
      <c r="H874" s="97" t="s">
        <v>41</v>
      </c>
      <c r="I874" s="97">
        <v>199</v>
      </c>
      <c r="J874" s="97">
        <v>4</v>
      </c>
      <c r="K874" s="97">
        <f t="shared" si="13"/>
        <v>796</v>
      </c>
      <c r="L874" s="97">
        <f>_xlfn.XLOOKUP(E874,Emp_Data!$B$2:$B$9,Emp_Data!$A$2:$A$9)</f>
        <v>6</v>
      </c>
    </row>
    <row r="875" spans="1:12">
      <c r="A875" s="99">
        <v>373</v>
      </c>
      <c r="B875" s="101">
        <v>44310</v>
      </c>
      <c r="C875" s="96">
        <v>15</v>
      </c>
      <c r="D875" s="104" t="s">
        <v>29</v>
      </c>
      <c r="E875" s="97" t="s">
        <v>18</v>
      </c>
      <c r="F875" s="97" t="str">
        <f>VLOOKUP(E875,Emp_Data!$B$2:$C$9,2,)</f>
        <v>Sara</v>
      </c>
      <c r="G875" s="97" t="s">
        <v>19</v>
      </c>
      <c r="H875" s="97" t="s">
        <v>41</v>
      </c>
      <c r="I875" s="97">
        <v>199</v>
      </c>
      <c r="J875" s="97">
        <v>6</v>
      </c>
      <c r="K875" s="97">
        <f t="shared" si="13"/>
        <v>1194</v>
      </c>
      <c r="L875" s="97">
        <f>_xlfn.XLOOKUP(E875,Emp_Data!$B$2:$B$9,Emp_Data!$A$2:$A$9)</f>
        <v>5</v>
      </c>
    </row>
    <row r="876" spans="1:12">
      <c r="A876" s="99">
        <v>377</v>
      </c>
      <c r="B876" s="101">
        <v>44311</v>
      </c>
      <c r="C876" s="96">
        <v>12</v>
      </c>
      <c r="D876" s="104" t="s">
        <v>17</v>
      </c>
      <c r="E876" s="97" t="s">
        <v>24</v>
      </c>
      <c r="F876" s="97" t="str">
        <f>VLOOKUP(E876,Emp_Data!$B$2:$C$9,2,)</f>
        <v>Steve</v>
      </c>
      <c r="G876" s="97" t="s">
        <v>19</v>
      </c>
      <c r="H876" s="97" t="s">
        <v>41</v>
      </c>
      <c r="I876" s="97">
        <v>199</v>
      </c>
      <c r="J876" s="97">
        <v>6</v>
      </c>
      <c r="K876" s="97">
        <f t="shared" si="13"/>
        <v>1194</v>
      </c>
      <c r="L876" s="97">
        <f>_xlfn.XLOOKUP(E876,Emp_Data!$B$2:$B$9,Emp_Data!$A$2:$A$9)</f>
        <v>6</v>
      </c>
    </row>
    <row r="877" spans="1:12">
      <c r="A877" s="99">
        <v>391</v>
      </c>
      <c r="B877" s="101">
        <v>44314</v>
      </c>
      <c r="C877" s="96">
        <v>10</v>
      </c>
      <c r="D877" s="104" t="s">
        <v>34</v>
      </c>
      <c r="E877" s="97" t="s">
        <v>11</v>
      </c>
      <c r="F877" s="97" t="str">
        <f>VLOOKUP(E877,Emp_Data!$B$2:$C$9,2,)</f>
        <v>Steve</v>
      </c>
      <c r="G877" s="97" t="s">
        <v>12</v>
      </c>
      <c r="H877" s="97" t="s">
        <v>41</v>
      </c>
      <c r="I877" s="97">
        <v>199</v>
      </c>
      <c r="J877" s="97">
        <v>0</v>
      </c>
      <c r="K877" s="97">
        <f t="shared" si="13"/>
        <v>0</v>
      </c>
      <c r="L877" s="97">
        <f>_xlfn.XLOOKUP(E877,Emp_Data!$B$2:$B$9,Emp_Data!$A$2:$A$9)</f>
        <v>4</v>
      </c>
    </row>
    <row r="878" spans="1:12">
      <c r="A878" s="99">
        <v>394</v>
      </c>
      <c r="B878" s="101">
        <v>44316</v>
      </c>
      <c r="C878" s="96">
        <v>18</v>
      </c>
      <c r="D878" s="104" t="s">
        <v>30</v>
      </c>
      <c r="E878" s="97" t="s">
        <v>25</v>
      </c>
      <c r="F878" s="97" t="str">
        <f>VLOOKUP(E878,Emp_Data!$B$2:$C$9,2,)</f>
        <v>Jeff</v>
      </c>
      <c r="G878" s="97" t="s">
        <v>9</v>
      </c>
      <c r="H878" s="97" t="s">
        <v>41</v>
      </c>
      <c r="I878" s="97">
        <v>199</v>
      </c>
      <c r="J878" s="97">
        <v>3</v>
      </c>
      <c r="K878" s="97">
        <f t="shared" si="13"/>
        <v>597</v>
      </c>
      <c r="L878" s="97">
        <f>_xlfn.XLOOKUP(E878,Emp_Data!$B$2:$B$9,Emp_Data!$A$2:$A$9)</f>
        <v>5</v>
      </c>
    </row>
    <row r="879" spans="1:12">
      <c r="A879" s="99">
        <v>409</v>
      </c>
      <c r="B879" s="101">
        <v>44322</v>
      </c>
      <c r="C879" s="96">
        <v>16</v>
      </c>
      <c r="D879" s="104" t="s">
        <v>37</v>
      </c>
      <c r="E879" s="97" t="s">
        <v>25</v>
      </c>
      <c r="F879" s="97" t="str">
        <f>VLOOKUP(E879,Emp_Data!$B$2:$C$9,2,)</f>
        <v>Jeff</v>
      </c>
      <c r="G879" s="97" t="s">
        <v>9</v>
      </c>
      <c r="H879" s="97" t="s">
        <v>41</v>
      </c>
      <c r="I879" s="97">
        <v>199</v>
      </c>
      <c r="J879" s="97">
        <v>3</v>
      </c>
      <c r="K879" s="97">
        <f t="shared" si="13"/>
        <v>597</v>
      </c>
      <c r="L879" s="97">
        <f>_xlfn.XLOOKUP(E879,Emp_Data!$B$2:$B$9,Emp_Data!$A$2:$A$9)</f>
        <v>5</v>
      </c>
    </row>
    <row r="880" spans="1:12">
      <c r="A880" s="99">
        <v>413</v>
      </c>
      <c r="B880" s="101">
        <v>44322</v>
      </c>
      <c r="C880" s="96">
        <v>3</v>
      </c>
      <c r="D880" s="104" t="s">
        <v>20</v>
      </c>
      <c r="E880" s="97" t="s">
        <v>21</v>
      </c>
      <c r="F880" s="97" t="str">
        <f>VLOOKUP(E880,Emp_Data!$B$2:$C$9,2,)</f>
        <v>Sara</v>
      </c>
      <c r="G880" s="97" t="s">
        <v>15</v>
      </c>
      <c r="H880" s="97" t="s">
        <v>41</v>
      </c>
      <c r="I880" s="97">
        <v>199</v>
      </c>
      <c r="J880" s="97">
        <v>1</v>
      </c>
      <c r="K880" s="97">
        <f t="shared" si="13"/>
        <v>199</v>
      </c>
      <c r="L880" s="97">
        <f>_xlfn.XLOOKUP(E880,Emp_Data!$B$2:$B$9,Emp_Data!$A$2:$A$9)</f>
        <v>2</v>
      </c>
    </row>
    <row r="881" spans="1:12">
      <c r="A881" s="99">
        <v>416</v>
      </c>
      <c r="B881" s="101">
        <v>44324</v>
      </c>
      <c r="C881" s="96">
        <v>13</v>
      </c>
      <c r="D881" s="104" t="s">
        <v>23</v>
      </c>
      <c r="E881" s="97" t="s">
        <v>18</v>
      </c>
      <c r="F881" s="97" t="str">
        <f>VLOOKUP(E881,Emp_Data!$B$2:$C$9,2,)</f>
        <v>Sara</v>
      </c>
      <c r="G881" s="97" t="s">
        <v>19</v>
      </c>
      <c r="H881" s="97" t="s">
        <v>41</v>
      </c>
      <c r="I881" s="97">
        <v>199</v>
      </c>
      <c r="J881" s="97">
        <v>1</v>
      </c>
      <c r="K881" s="97">
        <f t="shared" si="13"/>
        <v>199</v>
      </c>
      <c r="L881" s="97">
        <f>_xlfn.XLOOKUP(E881,Emp_Data!$B$2:$B$9,Emp_Data!$A$2:$A$9)</f>
        <v>5</v>
      </c>
    </row>
    <row r="882" spans="1:12">
      <c r="A882" s="99">
        <v>419</v>
      </c>
      <c r="B882" s="101">
        <v>44326</v>
      </c>
      <c r="C882" s="96">
        <v>14</v>
      </c>
      <c r="D882" s="104" t="s">
        <v>33</v>
      </c>
      <c r="E882" s="97" t="s">
        <v>18</v>
      </c>
      <c r="F882" s="97" t="str">
        <f>VLOOKUP(E882,Emp_Data!$B$2:$C$9,2,)</f>
        <v>Sara</v>
      </c>
      <c r="G882" s="97" t="s">
        <v>19</v>
      </c>
      <c r="H882" s="97" t="s">
        <v>41</v>
      </c>
      <c r="I882" s="97">
        <v>199</v>
      </c>
      <c r="J882" s="97">
        <v>3</v>
      </c>
      <c r="K882" s="97">
        <f t="shared" si="13"/>
        <v>597</v>
      </c>
      <c r="L882" s="97">
        <f>_xlfn.XLOOKUP(E882,Emp_Data!$B$2:$B$9,Emp_Data!$A$2:$A$9)</f>
        <v>5</v>
      </c>
    </row>
    <row r="883" spans="1:12">
      <c r="A883" s="99">
        <v>426</v>
      </c>
      <c r="B883" s="101">
        <v>44328</v>
      </c>
      <c r="C883" s="96">
        <v>17</v>
      </c>
      <c r="D883" s="104" t="s">
        <v>32</v>
      </c>
      <c r="E883" s="97" t="s">
        <v>8</v>
      </c>
      <c r="F883" s="97" t="str">
        <f>VLOOKUP(E883,Emp_Data!$B$2:$C$9,2,)</f>
        <v>Jeff</v>
      </c>
      <c r="G883" s="97" t="s">
        <v>9</v>
      </c>
      <c r="H883" s="97" t="s">
        <v>41</v>
      </c>
      <c r="I883" s="97">
        <v>199</v>
      </c>
      <c r="J883" s="97">
        <v>8</v>
      </c>
      <c r="K883" s="97">
        <f t="shared" si="13"/>
        <v>1592</v>
      </c>
      <c r="L883" s="97">
        <f>_xlfn.XLOOKUP(E883,Emp_Data!$B$2:$B$9,Emp_Data!$A$2:$A$9)</f>
        <v>3</v>
      </c>
    </row>
    <row r="884" spans="1:12">
      <c r="A884" s="99">
        <v>427</v>
      </c>
      <c r="B884" s="101">
        <v>44329</v>
      </c>
      <c r="C884" s="96">
        <v>5</v>
      </c>
      <c r="D884" s="104" t="s">
        <v>16</v>
      </c>
      <c r="E884" s="97" t="s">
        <v>14</v>
      </c>
      <c r="F884" s="97" t="str">
        <f>VLOOKUP(E884,Emp_Data!$B$2:$C$9,2,)</f>
        <v>Jeff</v>
      </c>
      <c r="G884" s="97" t="s">
        <v>15</v>
      </c>
      <c r="H884" s="97" t="s">
        <v>41</v>
      </c>
      <c r="I884" s="97">
        <v>199</v>
      </c>
      <c r="J884" s="97">
        <v>6</v>
      </c>
      <c r="K884" s="97">
        <f t="shared" si="13"/>
        <v>1194</v>
      </c>
      <c r="L884" s="97">
        <f>_xlfn.XLOOKUP(E884,Emp_Data!$B$2:$B$9,Emp_Data!$A$2:$A$9)</f>
        <v>2</v>
      </c>
    </row>
    <row r="885" spans="1:12">
      <c r="A885" s="99">
        <v>436</v>
      </c>
      <c r="B885" s="101">
        <v>44331</v>
      </c>
      <c r="C885" s="96">
        <v>17</v>
      </c>
      <c r="D885" s="104" t="s">
        <v>32</v>
      </c>
      <c r="E885" s="97" t="s">
        <v>8</v>
      </c>
      <c r="F885" s="97" t="str">
        <f>VLOOKUP(E885,Emp_Data!$B$2:$C$9,2,)</f>
        <v>Jeff</v>
      </c>
      <c r="G885" s="97" t="s">
        <v>9</v>
      </c>
      <c r="H885" s="97" t="s">
        <v>41</v>
      </c>
      <c r="I885" s="97">
        <v>199</v>
      </c>
      <c r="J885" s="97">
        <v>0</v>
      </c>
      <c r="K885" s="97">
        <f t="shared" si="13"/>
        <v>0</v>
      </c>
      <c r="L885" s="97">
        <f>_xlfn.XLOOKUP(E885,Emp_Data!$B$2:$B$9,Emp_Data!$A$2:$A$9)</f>
        <v>3</v>
      </c>
    </row>
    <row r="886" spans="1:12">
      <c r="A886" s="99">
        <v>441</v>
      </c>
      <c r="B886" s="101">
        <v>44331</v>
      </c>
      <c r="C886" s="96">
        <v>18</v>
      </c>
      <c r="D886" s="104" t="s">
        <v>30</v>
      </c>
      <c r="E886" s="97" t="s">
        <v>8</v>
      </c>
      <c r="F886" s="97" t="str">
        <f>VLOOKUP(E886,Emp_Data!$B$2:$C$9,2,)</f>
        <v>Jeff</v>
      </c>
      <c r="G886" s="97" t="s">
        <v>9</v>
      </c>
      <c r="H886" s="97" t="s">
        <v>41</v>
      </c>
      <c r="I886" s="97">
        <v>199</v>
      </c>
      <c r="J886" s="97">
        <v>6</v>
      </c>
      <c r="K886" s="97">
        <f t="shared" si="13"/>
        <v>1194</v>
      </c>
      <c r="L886" s="97">
        <f>_xlfn.XLOOKUP(E886,Emp_Data!$B$2:$B$9,Emp_Data!$A$2:$A$9)</f>
        <v>3</v>
      </c>
    </row>
    <row r="887" spans="1:12">
      <c r="A887" s="99">
        <v>445</v>
      </c>
      <c r="B887" s="101">
        <v>44332</v>
      </c>
      <c r="C887" s="96">
        <v>9</v>
      </c>
      <c r="D887" s="104" t="s">
        <v>26</v>
      </c>
      <c r="E887" s="97" t="s">
        <v>11</v>
      </c>
      <c r="F887" s="97" t="str">
        <f>VLOOKUP(E887,Emp_Data!$B$2:$C$9,2,)</f>
        <v>Steve</v>
      </c>
      <c r="G887" s="97" t="s">
        <v>12</v>
      </c>
      <c r="H887" s="97" t="s">
        <v>41</v>
      </c>
      <c r="I887" s="97">
        <v>199</v>
      </c>
      <c r="J887" s="97">
        <v>2</v>
      </c>
      <c r="K887" s="97">
        <f t="shared" si="13"/>
        <v>398</v>
      </c>
      <c r="L887" s="97">
        <f>_xlfn.XLOOKUP(E887,Emp_Data!$B$2:$B$9,Emp_Data!$A$2:$A$9)</f>
        <v>4</v>
      </c>
    </row>
    <row r="888" spans="1:12">
      <c r="A888" s="99">
        <v>458</v>
      </c>
      <c r="B888" s="101">
        <v>44333</v>
      </c>
      <c r="C888" s="96">
        <v>12</v>
      </c>
      <c r="D888" s="104" t="s">
        <v>17</v>
      </c>
      <c r="E888" s="97" t="s">
        <v>24</v>
      </c>
      <c r="F888" s="97" t="str">
        <f>VLOOKUP(E888,Emp_Data!$B$2:$C$9,2,)</f>
        <v>Steve</v>
      </c>
      <c r="G888" s="97" t="s">
        <v>19</v>
      </c>
      <c r="H888" s="97" t="s">
        <v>41</v>
      </c>
      <c r="I888" s="97">
        <v>199</v>
      </c>
      <c r="J888" s="97">
        <v>3</v>
      </c>
      <c r="K888" s="97">
        <f t="shared" si="13"/>
        <v>597</v>
      </c>
      <c r="L888" s="97">
        <f>_xlfn.XLOOKUP(E888,Emp_Data!$B$2:$B$9,Emp_Data!$A$2:$A$9)</f>
        <v>6</v>
      </c>
    </row>
    <row r="889" spans="1:12">
      <c r="A889" s="99">
        <v>467</v>
      </c>
      <c r="B889" s="101">
        <v>44335</v>
      </c>
      <c r="C889" s="96">
        <v>4</v>
      </c>
      <c r="D889" s="104" t="s">
        <v>13</v>
      </c>
      <c r="E889" s="97" t="s">
        <v>14</v>
      </c>
      <c r="F889" s="97" t="str">
        <f>VLOOKUP(E889,Emp_Data!$B$2:$C$9,2,)</f>
        <v>Jeff</v>
      </c>
      <c r="G889" s="97" t="s">
        <v>15</v>
      </c>
      <c r="H889" s="97" t="s">
        <v>41</v>
      </c>
      <c r="I889" s="97">
        <v>199</v>
      </c>
      <c r="J889" s="97">
        <v>0</v>
      </c>
      <c r="K889" s="97">
        <f t="shared" si="13"/>
        <v>0</v>
      </c>
      <c r="L889" s="97">
        <f>_xlfn.XLOOKUP(E889,Emp_Data!$B$2:$B$9,Emp_Data!$A$2:$A$9)</f>
        <v>2</v>
      </c>
    </row>
    <row r="890" spans="1:12">
      <c r="A890" s="99">
        <v>475</v>
      </c>
      <c r="B890" s="101">
        <v>44339</v>
      </c>
      <c r="C890" s="96">
        <v>13</v>
      </c>
      <c r="D890" s="104" t="s">
        <v>23</v>
      </c>
      <c r="E890" s="97" t="s">
        <v>18</v>
      </c>
      <c r="F890" s="97" t="str">
        <f>VLOOKUP(E890,Emp_Data!$B$2:$C$9,2,)</f>
        <v>Sara</v>
      </c>
      <c r="G890" s="97" t="s">
        <v>19</v>
      </c>
      <c r="H890" s="97" t="s">
        <v>41</v>
      </c>
      <c r="I890" s="97">
        <v>199</v>
      </c>
      <c r="J890" s="97">
        <v>2</v>
      </c>
      <c r="K890" s="97">
        <f t="shared" si="13"/>
        <v>398</v>
      </c>
      <c r="L890" s="97">
        <f>_xlfn.XLOOKUP(E890,Emp_Data!$B$2:$B$9,Emp_Data!$A$2:$A$9)</f>
        <v>5</v>
      </c>
    </row>
    <row r="891" spans="1:12">
      <c r="A891" s="99">
        <v>484</v>
      </c>
      <c r="B891" s="101">
        <v>44340</v>
      </c>
      <c r="C891" s="96">
        <v>4</v>
      </c>
      <c r="D891" s="104" t="s">
        <v>13</v>
      </c>
      <c r="E891" s="97" t="s">
        <v>21</v>
      </c>
      <c r="F891" s="97" t="str">
        <f>VLOOKUP(E891,Emp_Data!$B$2:$C$9,2,)</f>
        <v>Sara</v>
      </c>
      <c r="G891" s="97" t="s">
        <v>15</v>
      </c>
      <c r="H891" s="97" t="s">
        <v>41</v>
      </c>
      <c r="I891" s="97">
        <v>199</v>
      </c>
      <c r="J891" s="97">
        <v>4</v>
      </c>
      <c r="K891" s="97">
        <f t="shared" si="13"/>
        <v>796</v>
      </c>
      <c r="L891" s="97">
        <f>_xlfn.XLOOKUP(E891,Emp_Data!$B$2:$B$9,Emp_Data!$A$2:$A$9)</f>
        <v>2</v>
      </c>
    </row>
    <row r="892" spans="1:12">
      <c r="A892" s="99">
        <v>485</v>
      </c>
      <c r="B892" s="101">
        <v>44341</v>
      </c>
      <c r="C892" s="96">
        <v>16</v>
      </c>
      <c r="D892" s="104" t="s">
        <v>37</v>
      </c>
      <c r="E892" s="97" t="s">
        <v>25</v>
      </c>
      <c r="F892" s="97" t="str">
        <f>VLOOKUP(E892,Emp_Data!$B$2:$C$9,2,)</f>
        <v>Jeff</v>
      </c>
      <c r="G892" s="97" t="s">
        <v>9</v>
      </c>
      <c r="H892" s="97" t="s">
        <v>41</v>
      </c>
      <c r="I892" s="97">
        <v>199</v>
      </c>
      <c r="J892" s="97">
        <v>7</v>
      </c>
      <c r="K892" s="97">
        <f t="shared" si="13"/>
        <v>1393</v>
      </c>
      <c r="L892" s="97">
        <f>_xlfn.XLOOKUP(E892,Emp_Data!$B$2:$B$9,Emp_Data!$A$2:$A$9)</f>
        <v>5</v>
      </c>
    </row>
    <row r="893" spans="1:12">
      <c r="A893" s="99">
        <v>495</v>
      </c>
      <c r="B893" s="101">
        <v>44342</v>
      </c>
      <c r="C893" s="96">
        <v>13</v>
      </c>
      <c r="D893" s="104" t="s">
        <v>23</v>
      </c>
      <c r="E893" s="97" t="s">
        <v>18</v>
      </c>
      <c r="F893" s="97" t="str">
        <f>VLOOKUP(E893,Emp_Data!$B$2:$C$9,2,)</f>
        <v>Sara</v>
      </c>
      <c r="G893" s="97" t="s">
        <v>19</v>
      </c>
      <c r="H893" s="97" t="s">
        <v>41</v>
      </c>
      <c r="I893" s="97">
        <v>199</v>
      </c>
      <c r="J893" s="97">
        <v>5</v>
      </c>
      <c r="K893" s="97">
        <f t="shared" si="13"/>
        <v>995</v>
      </c>
      <c r="L893" s="97">
        <f>_xlfn.XLOOKUP(E893,Emp_Data!$B$2:$B$9,Emp_Data!$A$2:$A$9)</f>
        <v>5</v>
      </c>
    </row>
    <row r="894" spans="1:12">
      <c r="A894" s="99">
        <v>499</v>
      </c>
      <c r="B894" s="101">
        <v>44342</v>
      </c>
      <c r="C894" s="96">
        <v>18</v>
      </c>
      <c r="D894" s="104" t="s">
        <v>30</v>
      </c>
      <c r="E894" s="97" t="s">
        <v>25</v>
      </c>
      <c r="F894" s="97" t="str">
        <f>VLOOKUP(E894,Emp_Data!$B$2:$C$9,2,)</f>
        <v>Jeff</v>
      </c>
      <c r="G894" s="97" t="s">
        <v>9</v>
      </c>
      <c r="H894" s="97" t="s">
        <v>41</v>
      </c>
      <c r="I894" s="97">
        <v>199</v>
      </c>
      <c r="J894" s="97">
        <v>8</v>
      </c>
      <c r="K894" s="97">
        <f t="shared" si="13"/>
        <v>1592</v>
      </c>
      <c r="L894" s="97">
        <f>_xlfn.XLOOKUP(E894,Emp_Data!$B$2:$B$9,Emp_Data!$A$2:$A$9)</f>
        <v>5</v>
      </c>
    </row>
    <row r="895" spans="1:12">
      <c r="A895" s="99">
        <v>501</v>
      </c>
      <c r="B895" s="101">
        <v>44343</v>
      </c>
      <c r="C895" s="96">
        <v>2</v>
      </c>
      <c r="D895" s="104" t="s">
        <v>35</v>
      </c>
      <c r="E895" s="97" t="s">
        <v>14</v>
      </c>
      <c r="F895" s="97" t="str">
        <f>VLOOKUP(E895,Emp_Data!$B$2:$C$9,2,)</f>
        <v>Jeff</v>
      </c>
      <c r="G895" s="97" t="s">
        <v>15</v>
      </c>
      <c r="H895" s="97" t="s">
        <v>41</v>
      </c>
      <c r="I895" s="97">
        <v>199</v>
      </c>
      <c r="J895" s="97">
        <v>5</v>
      </c>
      <c r="K895" s="97">
        <f t="shared" si="13"/>
        <v>995</v>
      </c>
      <c r="L895" s="97">
        <f>_xlfn.XLOOKUP(E895,Emp_Data!$B$2:$B$9,Emp_Data!$A$2:$A$9)</f>
        <v>2</v>
      </c>
    </row>
    <row r="896" spans="1:12">
      <c r="A896" s="99">
        <v>502</v>
      </c>
      <c r="B896" s="101">
        <v>44343</v>
      </c>
      <c r="C896" s="96">
        <v>2</v>
      </c>
      <c r="D896" s="104" t="s">
        <v>35</v>
      </c>
      <c r="E896" s="97" t="s">
        <v>14</v>
      </c>
      <c r="F896" s="97" t="str">
        <f>VLOOKUP(E896,Emp_Data!$B$2:$C$9,2,)</f>
        <v>Jeff</v>
      </c>
      <c r="G896" s="97" t="s">
        <v>15</v>
      </c>
      <c r="H896" s="97" t="s">
        <v>41</v>
      </c>
      <c r="I896" s="97">
        <v>199</v>
      </c>
      <c r="J896" s="97">
        <v>0</v>
      </c>
      <c r="K896" s="97">
        <f t="shared" si="13"/>
        <v>0</v>
      </c>
      <c r="L896" s="97">
        <f>_xlfn.XLOOKUP(E896,Emp_Data!$B$2:$B$9,Emp_Data!$A$2:$A$9)</f>
        <v>2</v>
      </c>
    </row>
    <row r="897" spans="1:12">
      <c r="A897" s="99">
        <v>504</v>
      </c>
      <c r="B897" s="101">
        <v>44344</v>
      </c>
      <c r="C897" s="96">
        <v>9</v>
      </c>
      <c r="D897" s="104" t="s">
        <v>26</v>
      </c>
      <c r="E897" s="97" t="s">
        <v>27</v>
      </c>
      <c r="F897" s="97" t="str">
        <f>VLOOKUP(E897,Emp_Data!$B$2:$C$9,2,)</f>
        <v>Philip</v>
      </c>
      <c r="G897" s="97" t="s">
        <v>12</v>
      </c>
      <c r="H897" s="97" t="s">
        <v>41</v>
      </c>
      <c r="I897" s="97">
        <v>199</v>
      </c>
      <c r="J897" s="97">
        <v>6</v>
      </c>
      <c r="K897" s="97">
        <f t="shared" si="13"/>
        <v>1194</v>
      </c>
      <c r="L897" s="97">
        <f>_xlfn.XLOOKUP(E897,Emp_Data!$B$2:$B$9,Emp_Data!$A$2:$A$9)</f>
        <v>8</v>
      </c>
    </row>
    <row r="898" spans="1:12">
      <c r="A898" s="99">
        <v>505</v>
      </c>
      <c r="B898" s="101">
        <v>44345</v>
      </c>
      <c r="C898" s="96">
        <v>12</v>
      </c>
      <c r="D898" s="104" t="s">
        <v>17</v>
      </c>
      <c r="E898" s="97" t="s">
        <v>24</v>
      </c>
      <c r="F898" s="97" t="str">
        <f>VLOOKUP(E898,Emp_Data!$B$2:$C$9,2,)</f>
        <v>Steve</v>
      </c>
      <c r="G898" s="97" t="s">
        <v>19</v>
      </c>
      <c r="H898" s="97" t="s">
        <v>41</v>
      </c>
      <c r="I898" s="97">
        <v>199</v>
      </c>
      <c r="J898" s="97">
        <v>2</v>
      </c>
      <c r="K898" s="97">
        <f t="shared" si="13"/>
        <v>398</v>
      </c>
      <c r="L898" s="97">
        <f>_xlfn.XLOOKUP(E898,Emp_Data!$B$2:$B$9,Emp_Data!$A$2:$A$9)</f>
        <v>6</v>
      </c>
    </row>
    <row r="899" spans="1:12">
      <c r="A899" s="99">
        <v>518</v>
      </c>
      <c r="B899" s="101">
        <v>44349</v>
      </c>
      <c r="C899" s="96">
        <v>9</v>
      </c>
      <c r="D899" s="104" t="s">
        <v>26</v>
      </c>
      <c r="E899" s="97" t="s">
        <v>27</v>
      </c>
      <c r="F899" s="97" t="str">
        <f>VLOOKUP(E899,Emp_Data!$B$2:$C$9,2,)</f>
        <v>Philip</v>
      </c>
      <c r="G899" s="97" t="s">
        <v>12</v>
      </c>
      <c r="H899" s="97" t="s">
        <v>41</v>
      </c>
      <c r="I899" s="97">
        <v>199</v>
      </c>
      <c r="J899" s="97">
        <v>7</v>
      </c>
      <c r="K899" s="97">
        <f t="shared" ref="K899:K962" si="14">SUMPRODUCT(I899,J899)</f>
        <v>1393</v>
      </c>
      <c r="L899" s="97">
        <f>_xlfn.XLOOKUP(E899,Emp_Data!$B$2:$B$9,Emp_Data!$A$2:$A$9)</f>
        <v>8</v>
      </c>
    </row>
    <row r="900" spans="1:12">
      <c r="A900" s="99">
        <v>519</v>
      </c>
      <c r="B900" s="101">
        <v>44350</v>
      </c>
      <c r="C900" s="96">
        <v>5</v>
      </c>
      <c r="D900" s="104" t="s">
        <v>16</v>
      </c>
      <c r="E900" s="97" t="s">
        <v>21</v>
      </c>
      <c r="F900" s="97" t="str">
        <f>VLOOKUP(E900,Emp_Data!$B$2:$C$9,2,)</f>
        <v>Sara</v>
      </c>
      <c r="G900" s="97" t="s">
        <v>15</v>
      </c>
      <c r="H900" s="97" t="s">
        <v>41</v>
      </c>
      <c r="I900" s="97">
        <v>199</v>
      </c>
      <c r="J900" s="97">
        <v>9</v>
      </c>
      <c r="K900" s="97">
        <f t="shared" si="14"/>
        <v>1791</v>
      </c>
      <c r="L900" s="97">
        <f>_xlfn.XLOOKUP(E900,Emp_Data!$B$2:$B$9,Emp_Data!$A$2:$A$9)</f>
        <v>2</v>
      </c>
    </row>
    <row r="901" spans="1:12">
      <c r="A901" s="99">
        <v>522</v>
      </c>
      <c r="B901" s="101">
        <v>44350</v>
      </c>
      <c r="C901" s="96">
        <v>12</v>
      </c>
      <c r="D901" s="104" t="s">
        <v>17</v>
      </c>
      <c r="E901" s="97" t="s">
        <v>24</v>
      </c>
      <c r="F901" s="97" t="str">
        <f>VLOOKUP(E901,Emp_Data!$B$2:$C$9,2,)</f>
        <v>Steve</v>
      </c>
      <c r="G901" s="97" t="s">
        <v>19</v>
      </c>
      <c r="H901" s="97" t="s">
        <v>41</v>
      </c>
      <c r="I901" s="97">
        <v>199</v>
      </c>
      <c r="J901" s="97">
        <v>9</v>
      </c>
      <c r="K901" s="97">
        <f t="shared" si="14"/>
        <v>1791</v>
      </c>
      <c r="L901" s="97">
        <f>_xlfn.XLOOKUP(E901,Emp_Data!$B$2:$B$9,Emp_Data!$A$2:$A$9)</f>
        <v>6</v>
      </c>
    </row>
    <row r="902" spans="1:12">
      <c r="A902" s="99">
        <v>529</v>
      </c>
      <c r="B902" s="101">
        <v>44350</v>
      </c>
      <c r="C902" s="96">
        <v>13</v>
      </c>
      <c r="D902" s="104" t="s">
        <v>23</v>
      </c>
      <c r="E902" s="97" t="s">
        <v>24</v>
      </c>
      <c r="F902" s="97" t="str">
        <f>VLOOKUP(E902,Emp_Data!$B$2:$C$9,2,)</f>
        <v>Steve</v>
      </c>
      <c r="G902" s="97" t="s">
        <v>19</v>
      </c>
      <c r="H902" s="97" t="s">
        <v>41</v>
      </c>
      <c r="I902" s="97">
        <v>199</v>
      </c>
      <c r="J902" s="97">
        <v>8</v>
      </c>
      <c r="K902" s="97">
        <f t="shared" si="14"/>
        <v>1592</v>
      </c>
      <c r="L902" s="97">
        <f>_xlfn.XLOOKUP(E902,Emp_Data!$B$2:$B$9,Emp_Data!$A$2:$A$9)</f>
        <v>6</v>
      </c>
    </row>
    <row r="903" spans="1:12">
      <c r="A903" s="99">
        <v>531</v>
      </c>
      <c r="B903" s="101">
        <v>44351</v>
      </c>
      <c r="C903" s="96">
        <v>8</v>
      </c>
      <c r="D903" s="104" t="s">
        <v>36</v>
      </c>
      <c r="E903" s="97" t="s">
        <v>27</v>
      </c>
      <c r="F903" s="97" t="str">
        <f>VLOOKUP(E903,Emp_Data!$B$2:$C$9,2,)</f>
        <v>Philip</v>
      </c>
      <c r="G903" s="97" t="s">
        <v>12</v>
      </c>
      <c r="H903" s="97" t="s">
        <v>41</v>
      </c>
      <c r="I903" s="97">
        <v>199</v>
      </c>
      <c r="J903" s="97">
        <v>3</v>
      </c>
      <c r="K903" s="97">
        <f t="shared" si="14"/>
        <v>597</v>
      </c>
      <c r="L903" s="97">
        <f>_xlfn.XLOOKUP(E903,Emp_Data!$B$2:$B$9,Emp_Data!$A$2:$A$9)</f>
        <v>8</v>
      </c>
    </row>
    <row r="904" spans="1:12">
      <c r="A904" s="99">
        <v>533</v>
      </c>
      <c r="B904" s="101">
        <v>44352</v>
      </c>
      <c r="C904" s="96">
        <v>8</v>
      </c>
      <c r="D904" s="104" t="s">
        <v>36</v>
      </c>
      <c r="E904" s="97" t="s">
        <v>11</v>
      </c>
      <c r="F904" s="97" t="str">
        <f>VLOOKUP(E904,Emp_Data!$B$2:$C$9,2,)</f>
        <v>Steve</v>
      </c>
      <c r="G904" s="97" t="s">
        <v>12</v>
      </c>
      <c r="H904" s="97" t="s">
        <v>41</v>
      </c>
      <c r="I904" s="97">
        <v>199</v>
      </c>
      <c r="J904" s="97">
        <v>5</v>
      </c>
      <c r="K904" s="97">
        <f t="shared" si="14"/>
        <v>995</v>
      </c>
      <c r="L904" s="97">
        <f>_xlfn.XLOOKUP(E904,Emp_Data!$B$2:$B$9,Emp_Data!$A$2:$A$9)</f>
        <v>4</v>
      </c>
    </row>
    <row r="905" spans="1:12">
      <c r="A905" s="99">
        <v>535</v>
      </c>
      <c r="B905" s="101">
        <v>44352</v>
      </c>
      <c r="C905" s="96">
        <v>19</v>
      </c>
      <c r="D905" s="104" t="s">
        <v>22</v>
      </c>
      <c r="E905" s="97" t="s">
        <v>25</v>
      </c>
      <c r="F905" s="97" t="str">
        <f>VLOOKUP(E905,Emp_Data!$B$2:$C$9,2,)</f>
        <v>Jeff</v>
      </c>
      <c r="G905" s="97" t="s">
        <v>9</v>
      </c>
      <c r="H905" s="97" t="s">
        <v>41</v>
      </c>
      <c r="I905" s="97">
        <v>199</v>
      </c>
      <c r="J905" s="97">
        <v>2</v>
      </c>
      <c r="K905" s="97">
        <f t="shared" si="14"/>
        <v>398</v>
      </c>
      <c r="L905" s="97">
        <f>_xlfn.XLOOKUP(E905,Emp_Data!$B$2:$B$9,Emp_Data!$A$2:$A$9)</f>
        <v>5</v>
      </c>
    </row>
    <row r="906" spans="1:12">
      <c r="A906" s="99">
        <v>537</v>
      </c>
      <c r="B906" s="101">
        <v>44353</v>
      </c>
      <c r="C906" s="96">
        <v>9</v>
      </c>
      <c r="D906" s="104" t="s">
        <v>26</v>
      </c>
      <c r="E906" s="97" t="s">
        <v>11</v>
      </c>
      <c r="F906" s="97" t="str">
        <f>VLOOKUP(E906,Emp_Data!$B$2:$C$9,2,)</f>
        <v>Steve</v>
      </c>
      <c r="G906" s="97" t="s">
        <v>12</v>
      </c>
      <c r="H906" s="97" t="s">
        <v>41</v>
      </c>
      <c r="I906" s="97">
        <v>199</v>
      </c>
      <c r="J906" s="97">
        <v>1</v>
      </c>
      <c r="K906" s="97">
        <f t="shared" si="14"/>
        <v>199</v>
      </c>
      <c r="L906" s="97">
        <f>_xlfn.XLOOKUP(E906,Emp_Data!$B$2:$B$9,Emp_Data!$A$2:$A$9)</f>
        <v>4</v>
      </c>
    </row>
    <row r="907" spans="1:12">
      <c r="A907" s="99">
        <v>538</v>
      </c>
      <c r="B907" s="101">
        <v>44353</v>
      </c>
      <c r="C907" s="96">
        <v>8</v>
      </c>
      <c r="D907" s="104" t="s">
        <v>36</v>
      </c>
      <c r="E907" s="97" t="s">
        <v>11</v>
      </c>
      <c r="F907" s="97" t="str">
        <f>VLOOKUP(E907,Emp_Data!$B$2:$C$9,2,)</f>
        <v>Steve</v>
      </c>
      <c r="G907" s="97" t="s">
        <v>12</v>
      </c>
      <c r="H907" s="97" t="s">
        <v>41</v>
      </c>
      <c r="I907" s="97">
        <v>199</v>
      </c>
      <c r="J907" s="97">
        <v>2</v>
      </c>
      <c r="K907" s="97">
        <f t="shared" si="14"/>
        <v>398</v>
      </c>
      <c r="L907" s="97">
        <f>_xlfn.XLOOKUP(E907,Emp_Data!$B$2:$B$9,Emp_Data!$A$2:$A$9)</f>
        <v>4</v>
      </c>
    </row>
    <row r="908" spans="1:12">
      <c r="A908" s="99">
        <v>539</v>
      </c>
      <c r="B908" s="101">
        <v>44354</v>
      </c>
      <c r="C908" s="96">
        <v>19</v>
      </c>
      <c r="D908" s="104" t="s">
        <v>22</v>
      </c>
      <c r="E908" s="97" t="s">
        <v>25</v>
      </c>
      <c r="F908" s="97" t="str">
        <f>VLOOKUP(E908,Emp_Data!$B$2:$C$9,2,)</f>
        <v>Jeff</v>
      </c>
      <c r="G908" s="97" t="s">
        <v>9</v>
      </c>
      <c r="H908" s="97" t="s">
        <v>41</v>
      </c>
      <c r="I908" s="97">
        <v>199</v>
      </c>
      <c r="J908" s="97">
        <v>0</v>
      </c>
      <c r="K908" s="97">
        <f t="shared" si="14"/>
        <v>0</v>
      </c>
      <c r="L908" s="97">
        <f>_xlfn.XLOOKUP(E908,Emp_Data!$B$2:$B$9,Emp_Data!$A$2:$A$9)</f>
        <v>5</v>
      </c>
    </row>
    <row r="909" spans="1:12">
      <c r="A909" s="99">
        <v>546</v>
      </c>
      <c r="B909" s="101">
        <v>44357</v>
      </c>
      <c r="C909" s="96">
        <v>4</v>
      </c>
      <c r="D909" s="104" t="s">
        <v>13</v>
      </c>
      <c r="E909" s="97" t="s">
        <v>21</v>
      </c>
      <c r="F909" s="97" t="str">
        <f>VLOOKUP(E909,Emp_Data!$B$2:$C$9,2,)</f>
        <v>Sara</v>
      </c>
      <c r="G909" s="97" t="s">
        <v>15</v>
      </c>
      <c r="H909" s="97" t="s">
        <v>41</v>
      </c>
      <c r="I909" s="97">
        <v>199</v>
      </c>
      <c r="J909" s="97">
        <v>5</v>
      </c>
      <c r="K909" s="97">
        <f t="shared" si="14"/>
        <v>995</v>
      </c>
      <c r="L909" s="97">
        <f>_xlfn.XLOOKUP(E909,Emp_Data!$B$2:$B$9,Emp_Data!$A$2:$A$9)</f>
        <v>2</v>
      </c>
    </row>
    <row r="910" spans="1:12">
      <c r="A910" s="99">
        <v>548</v>
      </c>
      <c r="B910" s="101">
        <v>44358</v>
      </c>
      <c r="C910" s="96">
        <v>2</v>
      </c>
      <c r="D910" s="104" t="s">
        <v>35</v>
      </c>
      <c r="E910" s="97" t="s">
        <v>21</v>
      </c>
      <c r="F910" s="97" t="str">
        <f>VLOOKUP(E910,Emp_Data!$B$2:$C$9,2,)</f>
        <v>Sara</v>
      </c>
      <c r="G910" s="97" t="s">
        <v>15</v>
      </c>
      <c r="H910" s="97" t="s">
        <v>41</v>
      </c>
      <c r="I910" s="97">
        <v>199</v>
      </c>
      <c r="J910" s="97">
        <v>7</v>
      </c>
      <c r="K910" s="97">
        <f t="shared" si="14"/>
        <v>1393</v>
      </c>
      <c r="L910" s="97">
        <f>_xlfn.XLOOKUP(E910,Emp_Data!$B$2:$B$9,Emp_Data!$A$2:$A$9)</f>
        <v>2</v>
      </c>
    </row>
    <row r="911" spans="1:12">
      <c r="A911" s="99">
        <v>549</v>
      </c>
      <c r="B911" s="101">
        <v>44358</v>
      </c>
      <c r="C911" s="96">
        <v>17</v>
      </c>
      <c r="D911" s="104" t="s">
        <v>32</v>
      </c>
      <c r="E911" s="97" t="s">
        <v>25</v>
      </c>
      <c r="F911" s="97" t="str">
        <f>VLOOKUP(E911,Emp_Data!$B$2:$C$9,2,)</f>
        <v>Jeff</v>
      </c>
      <c r="G911" s="97" t="s">
        <v>9</v>
      </c>
      <c r="H911" s="97" t="s">
        <v>41</v>
      </c>
      <c r="I911" s="97">
        <v>199</v>
      </c>
      <c r="J911" s="97">
        <v>2</v>
      </c>
      <c r="K911" s="97">
        <f t="shared" si="14"/>
        <v>398</v>
      </c>
      <c r="L911" s="97">
        <f>_xlfn.XLOOKUP(E911,Emp_Data!$B$2:$B$9,Emp_Data!$A$2:$A$9)</f>
        <v>5</v>
      </c>
    </row>
    <row r="912" spans="1:12">
      <c r="A912" s="99">
        <v>554</v>
      </c>
      <c r="B912" s="101">
        <v>44359</v>
      </c>
      <c r="C912" s="96">
        <v>19</v>
      </c>
      <c r="D912" s="104" t="s">
        <v>22</v>
      </c>
      <c r="E912" s="97" t="s">
        <v>25</v>
      </c>
      <c r="F912" s="97" t="str">
        <f>VLOOKUP(E912,Emp_Data!$B$2:$C$9,2,)</f>
        <v>Jeff</v>
      </c>
      <c r="G912" s="97" t="s">
        <v>9</v>
      </c>
      <c r="H912" s="97" t="s">
        <v>41</v>
      </c>
      <c r="I912" s="97">
        <v>199</v>
      </c>
      <c r="J912" s="97">
        <v>4</v>
      </c>
      <c r="K912" s="97">
        <f t="shared" si="14"/>
        <v>796</v>
      </c>
      <c r="L912" s="97">
        <f>_xlfn.XLOOKUP(E912,Emp_Data!$B$2:$B$9,Emp_Data!$A$2:$A$9)</f>
        <v>5</v>
      </c>
    </row>
    <row r="913" spans="1:12">
      <c r="A913" s="99">
        <v>555</v>
      </c>
      <c r="B913" s="101">
        <v>44359</v>
      </c>
      <c r="C913" s="96">
        <v>6</v>
      </c>
      <c r="D913" s="104" t="s">
        <v>10</v>
      </c>
      <c r="E913" s="97" t="s">
        <v>27</v>
      </c>
      <c r="F913" s="97" t="str">
        <f>VLOOKUP(E913,Emp_Data!$B$2:$C$9,2,)</f>
        <v>Philip</v>
      </c>
      <c r="G913" s="97" t="s">
        <v>12</v>
      </c>
      <c r="H913" s="97" t="s">
        <v>41</v>
      </c>
      <c r="I913" s="97">
        <v>199</v>
      </c>
      <c r="J913" s="97">
        <v>9</v>
      </c>
      <c r="K913" s="97">
        <f t="shared" si="14"/>
        <v>1791</v>
      </c>
      <c r="L913" s="97">
        <f>_xlfn.XLOOKUP(E913,Emp_Data!$B$2:$B$9,Emp_Data!$A$2:$A$9)</f>
        <v>8</v>
      </c>
    </row>
    <row r="914" spans="1:12">
      <c r="A914" s="99">
        <v>565</v>
      </c>
      <c r="B914" s="101">
        <v>44363</v>
      </c>
      <c r="C914" s="96">
        <v>1</v>
      </c>
      <c r="D914" s="104" t="s">
        <v>31</v>
      </c>
      <c r="E914" s="97" t="s">
        <v>14</v>
      </c>
      <c r="F914" s="97" t="str">
        <f>VLOOKUP(E914,Emp_Data!$B$2:$C$9,2,)</f>
        <v>Jeff</v>
      </c>
      <c r="G914" s="97" t="s">
        <v>15</v>
      </c>
      <c r="H914" s="97" t="s">
        <v>41</v>
      </c>
      <c r="I914" s="97">
        <v>199</v>
      </c>
      <c r="J914" s="97">
        <v>0</v>
      </c>
      <c r="K914" s="97">
        <f t="shared" si="14"/>
        <v>0</v>
      </c>
      <c r="L914" s="97">
        <f>_xlfn.XLOOKUP(E914,Emp_Data!$B$2:$B$9,Emp_Data!$A$2:$A$9)</f>
        <v>2</v>
      </c>
    </row>
    <row r="915" spans="1:12">
      <c r="A915" s="99">
        <v>585</v>
      </c>
      <c r="B915" s="101">
        <v>44369</v>
      </c>
      <c r="C915" s="96">
        <v>5</v>
      </c>
      <c r="D915" s="104" t="s">
        <v>16</v>
      </c>
      <c r="E915" s="97" t="s">
        <v>14</v>
      </c>
      <c r="F915" s="97" t="str">
        <f>VLOOKUP(E915,Emp_Data!$B$2:$C$9,2,)</f>
        <v>Jeff</v>
      </c>
      <c r="G915" s="97" t="s">
        <v>15</v>
      </c>
      <c r="H915" s="97" t="s">
        <v>41</v>
      </c>
      <c r="I915" s="97">
        <v>199</v>
      </c>
      <c r="J915" s="97">
        <v>1</v>
      </c>
      <c r="K915" s="97">
        <f t="shared" si="14"/>
        <v>199</v>
      </c>
      <c r="L915" s="97">
        <f>_xlfn.XLOOKUP(E915,Emp_Data!$B$2:$B$9,Emp_Data!$A$2:$A$9)</f>
        <v>2</v>
      </c>
    </row>
    <row r="916" spans="1:12">
      <c r="A916" s="99">
        <v>595</v>
      </c>
      <c r="B916" s="101">
        <v>44373</v>
      </c>
      <c r="C916" s="96">
        <v>10</v>
      </c>
      <c r="D916" s="104" t="s">
        <v>34</v>
      </c>
      <c r="E916" s="97" t="s">
        <v>11</v>
      </c>
      <c r="F916" s="97" t="str">
        <f>VLOOKUP(E916,Emp_Data!$B$2:$C$9,2,)</f>
        <v>Steve</v>
      </c>
      <c r="G916" s="97" t="s">
        <v>12</v>
      </c>
      <c r="H916" s="97" t="s">
        <v>41</v>
      </c>
      <c r="I916" s="97">
        <v>199</v>
      </c>
      <c r="J916" s="97">
        <v>6</v>
      </c>
      <c r="K916" s="97">
        <f t="shared" si="14"/>
        <v>1194</v>
      </c>
      <c r="L916" s="97">
        <f>_xlfn.XLOOKUP(E916,Emp_Data!$B$2:$B$9,Emp_Data!$A$2:$A$9)</f>
        <v>4</v>
      </c>
    </row>
    <row r="917" spans="1:12">
      <c r="A917" s="99">
        <v>602</v>
      </c>
      <c r="B917" s="101">
        <v>44375</v>
      </c>
      <c r="C917" s="96">
        <v>12</v>
      </c>
      <c r="D917" s="104" t="s">
        <v>17</v>
      </c>
      <c r="E917" s="97" t="s">
        <v>24</v>
      </c>
      <c r="F917" s="97" t="str">
        <f>VLOOKUP(E917,Emp_Data!$B$2:$C$9,2,)</f>
        <v>Steve</v>
      </c>
      <c r="G917" s="97" t="s">
        <v>19</v>
      </c>
      <c r="H917" s="97" t="s">
        <v>41</v>
      </c>
      <c r="I917" s="97">
        <v>199</v>
      </c>
      <c r="J917" s="97">
        <v>3</v>
      </c>
      <c r="K917" s="97">
        <f t="shared" si="14"/>
        <v>597</v>
      </c>
      <c r="L917" s="97">
        <f>_xlfn.XLOOKUP(E917,Emp_Data!$B$2:$B$9,Emp_Data!$A$2:$A$9)</f>
        <v>6</v>
      </c>
    </row>
    <row r="918" spans="1:12">
      <c r="A918" s="99">
        <v>617</v>
      </c>
      <c r="B918" s="101">
        <v>44383</v>
      </c>
      <c r="C918" s="96">
        <v>19</v>
      </c>
      <c r="D918" s="104" t="s">
        <v>22</v>
      </c>
      <c r="E918" s="97" t="s">
        <v>8</v>
      </c>
      <c r="F918" s="97" t="str">
        <f>VLOOKUP(E918,Emp_Data!$B$2:$C$9,2,)</f>
        <v>Jeff</v>
      </c>
      <c r="G918" s="97" t="s">
        <v>9</v>
      </c>
      <c r="H918" s="97" t="s">
        <v>41</v>
      </c>
      <c r="I918" s="97">
        <v>199</v>
      </c>
      <c r="J918" s="97">
        <v>8</v>
      </c>
      <c r="K918" s="97">
        <f t="shared" si="14"/>
        <v>1592</v>
      </c>
      <c r="L918" s="97">
        <f>_xlfn.XLOOKUP(E918,Emp_Data!$B$2:$B$9,Emp_Data!$A$2:$A$9)</f>
        <v>3</v>
      </c>
    </row>
    <row r="919" spans="1:12">
      <c r="A919" s="99">
        <v>623</v>
      </c>
      <c r="B919" s="101">
        <v>44384</v>
      </c>
      <c r="C919" s="96">
        <v>14</v>
      </c>
      <c r="D919" s="104" t="s">
        <v>33</v>
      </c>
      <c r="E919" s="97" t="s">
        <v>24</v>
      </c>
      <c r="F919" s="97" t="str">
        <f>VLOOKUP(E919,Emp_Data!$B$2:$C$9,2,)</f>
        <v>Steve</v>
      </c>
      <c r="G919" s="97" t="s">
        <v>19</v>
      </c>
      <c r="H919" s="97" t="s">
        <v>41</v>
      </c>
      <c r="I919" s="97">
        <v>199</v>
      </c>
      <c r="J919" s="97">
        <v>0</v>
      </c>
      <c r="K919" s="97">
        <f t="shared" si="14"/>
        <v>0</v>
      </c>
      <c r="L919" s="97">
        <f>_xlfn.XLOOKUP(E919,Emp_Data!$B$2:$B$9,Emp_Data!$A$2:$A$9)</f>
        <v>6</v>
      </c>
    </row>
    <row r="920" spans="1:12">
      <c r="A920" s="99">
        <v>624</v>
      </c>
      <c r="B920" s="101">
        <v>44385</v>
      </c>
      <c r="C920" s="96">
        <v>3</v>
      </c>
      <c r="D920" s="104" t="s">
        <v>20</v>
      </c>
      <c r="E920" s="97" t="s">
        <v>21</v>
      </c>
      <c r="F920" s="97" t="str">
        <f>VLOOKUP(E920,Emp_Data!$B$2:$C$9,2,)</f>
        <v>Sara</v>
      </c>
      <c r="G920" s="97" t="s">
        <v>15</v>
      </c>
      <c r="H920" s="97" t="s">
        <v>41</v>
      </c>
      <c r="I920" s="97">
        <v>199</v>
      </c>
      <c r="J920" s="97">
        <v>4</v>
      </c>
      <c r="K920" s="97">
        <f t="shared" si="14"/>
        <v>796</v>
      </c>
      <c r="L920" s="97">
        <f>_xlfn.XLOOKUP(E920,Emp_Data!$B$2:$B$9,Emp_Data!$A$2:$A$9)</f>
        <v>2</v>
      </c>
    </row>
    <row r="921" spans="1:12">
      <c r="A921" s="99">
        <v>631</v>
      </c>
      <c r="B921" s="101">
        <v>44387</v>
      </c>
      <c r="C921" s="96">
        <v>13</v>
      </c>
      <c r="D921" s="104" t="s">
        <v>23</v>
      </c>
      <c r="E921" s="97" t="s">
        <v>18</v>
      </c>
      <c r="F921" s="97" t="str">
        <f>VLOOKUP(E921,Emp_Data!$B$2:$C$9,2,)</f>
        <v>Sara</v>
      </c>
      <c r="G921" s="97" t="s">
        <v>19</v>
      </c>
      <c r="H921" s="97" t="s">
        <v>41</v>
      </c>
      <c r="I921" s="97">
        <v>199</v>
      </c>
      <c r="J921" s="97">
        <v>4</v>
      </c>
      <c r="K921" s="97">
        <f t="shared" si="14"/>
        <v>796</v>
      </c>
      <c r="L921" s="97">
        <f>_xlfn.XLOOKUP(E921,Emp_Data!$B$2:$B$9,Emp_Data!$A$2:$A$9)</f>
        <v>5</v>
      </c>
    </row>
    <row r="922" spans="1:12">
      <c r="A922" s="99">
        <v>644</v>
      </c>
      <c r="B922" s="101">
        <v>44393</v>
      </c>
      <c r="C922" s="96">
        <v>6</v>
      </c>
      <c r="D922" s="104" t="s">
        <v>10</v>
      </c>
      <c r="E922" s="97" t="s">
        <v>11</v>
      </c>
      <c r="F922" s="97" t="str">
        <f>VLOOKUP(E922,Emp_Data!$B$2:$C$9,2,)</f>
        <v>Steve</v>
      </c>
      <c r="G922" s="97" t="s">
        <v>12</v>
      </c>
      <c r="H922" s="97" t="s">
        <v>41</v>
      </c>
      <c r="I922" s="97">
        <v>199</v>
      </c>
      <c r="J922" s="97">
        <v>6</v>
      </c>
      <c r="K922" s="97">
        <f t="shared" si="14"/>
        <v>1194</v>
      </c>
      <c r="L922" s="97">
        <f>_xlfn.XLOOKUP(E922,Emp_Data!$B$2:$B$9,Emp_Data!$A$2:$A$9)</f>
        <v>4</v>
      </c>
    </row>
    <row r="923" spans="1:12">
      <c r="A923" s="99">
        <v>646</v>
      </c>
      <c r="B923" s="101">
        <v>44393</v>
      </c>
      <c r="C923" s="96">
        <v>14</v>
      </c>
      <c r="D923" s="104" t="s">
        <v>33</v>
      </c>
      <c r="E923" s="97" t="s">
        <v>18</v>
      </c>
      <c r="F923" s="97" t="str">
        <f>VLOOKUP(E923,Emp_Data!$B$2:$C$9,2,)</f>
        <v>Sara</v>
      </c>
      <c r="G923" s="97" t="s">
        <v>19</v>
      </c>
      <c r="H923" s="97" t="s">
        <v>41</v>
      </c>
      <c r="I923" s="97">
        <v>199</v>
      </c>
      <c r="J923" s="97">
        <v>0</v>
      </c>
      <c r="K923" s="97">
        <f t="shared" si="14"/>
        <v>0</v>
      </c>
      <c r="L923" s="97">
        <f>_xlfn.XLOOKUP(E923,Emp_Data!$B$2:$B$9,Emp_Data!$A$2:$A$9)</f>
        <v>5</v>
      </c>
    </row>
    <row r="924" spans="1:12">
      <c r="A924" s="99">
        <v>648</v>
      </c>
      <c r="B924" s="101">
        <v>44393</v>
      </c>
      <c r="C924" s="96">
        <v>8</v>
      </c>
      <c r="D924" s="104" t="s">
        <v>36</v>
      </c>
      <c r="E924" s="97" t="s">
        <v>27</v>
      </c>
      <c r="F924" s="97" t="str">
        <f>VLOOKUP(E924,Emp_Data!$B$2:$C$9,2,)</f>
        <v>Philip</v>
      </c>
      <c r="G924" s="97" t="s">
        <v>12</v>
      </c>
      <c r="H924" s="97" t="s">
        <v>41</v>
      </c>
      <c r="I924" s="97">
        <v>199</v>
      </c>
      <c r="J924" s="97">
        <v>1</v>
      </c>
      <c r="K924" s="97">
        <f t="shared" si="14"/>
        <v>199</v>
      </c>
      <c r="L924" s="97">
        <f>_xlfn.XLOOKUP(E924,Emp_Data!$B$2:$B$9,Emp_Data!$A$2:$A$9)</f>
        <v>8</v>
      </c>
    </row>
    <row r="925" spans="1:12">
      <c r="A925" s="99">
        <v>659</v>
      </c>
      <c r="B925" s="101">
        <v>44396</v>
      </c>
      <c r="C925" s="96">
        <v>15</v>
      </c>
      <c r="D925" s="104" t="s">
        <v>29</v>
      </c>
      <c r="E925" s="97" t="s">
        <v>24</v>
      </c>
      <c r="F925" s="97" t="str">
        <f>VLOOKUP(E925,Emp_Data!$B$2:$C$9,2,)</f>
        <v>Steve</v>
      </c>
      <c r="G925" s="97" t="s">
        <v>19</v>
      </c>
      <c r="H925" s="97" t="s">
        <v>41</v>
      </c>
      <c r="I925" s="97">
        <v>199</v>
      </c>
      <c r="J925" s="97">
        <v>1</v>
      </c>
      <c r="K925" s="97">
        <f t="shared" si="14"/>
        <v>199</v>
      </c>
      <c r="L925" s="97">
        <f>_xlfn.XLOOKUP(E925,Emp_Data!$B$2:$B$9,Emp_Data!$A$2:$A$9)</f>
        <v>6</v>
      </c>
    </row>
    <row r="926" spans="1:12">
      <c r="A926" s="99">
        <v>670</v>
      </c>
      <c r="B926" s="101">
        <v>44401</v>
      </c>
      <c r="C926" s="96">
        <v>2</v>
      </c>
      <c r="D926" s="104" t="s">
        <v>35</v>
      </c>
      <c r="E926" s="97" t="s">
        <v>14</v>
      </c>
      <c r="F926" s="97" t="str">
        <f>VLOOKUP(E926,Emp_Data!$B$2:$C$9,2,)</f>
        <v>Jeff</v>
      </c>
      <c r="G926" s="97" t="s">
        <v>15</v>
      </c>
      <c r="H926" s="97" t="s">
        <v>41</v>
      </c>
      <c r="I926" s="97">
        <v>199</v>
      </c>
      <c r="J926" s="97">
        <v>1</v>
      </c>
      <c r="K926" s="97">
        <f t="shared" si="14"/>
        <v>199</v>
      </c>
      <c r="L926" s="97">
        <f>_xlfn.XLOOKUP(E926,Emp_Data!$B$2:$B$9,Emp_Data!$A$2:$A$9)</f>
        <v>2</v>
      </c>
    </row>
    <row r="927" spans="1:12">
      <c r="A927" s="99">
        <v>685</v>
      </c>
      <c r="B927" s="101">
        <v>44404</v>
      </c>
      <c r="C927" s="96">
        <v>11</v>
      </c>
      <c r="D927" s="104" t="s">
        <v>38</v>
      </c>
      <c r="E927" s="97" t="s">
        <v>24</v>
      </c>
      <c r="F927" s="97" t="str">
        <f>VLOOKUP(E927,Emp_Data!$B$2:$C$9,2,)</f>
        <v>Steve</v>
      </c>
      <c r="G927" s="97" t="s">
        <v>19</v>
      </c>
      <c r="H927" s="97" t="s">
        <v>41</v>
      </c>
      <c r="I927" s="97">
        <v>199</v>
      </c>
      <c r="J927" s="97">
        <v>4</v>
      </c>
      <c r="K927" s="97">
        <f t="shared" si="14"/>
        <v>796</v>
      </c>
      <c r="L927" s="97">
        <f>_xlfn.XLOOKUP(E927,Emp_Data!$B$2:$B$9,Emp_Data!$A$2:$A$9)</f>
        <v>6</v>
      </c>
    </row>
    <row r="928" spans="1:12">
      <c r="A928" s="99">
        <v>688</v>
      </c>
      <c r="B928" s="101">
        <v>44404</v>
      </c>
      <c r="C928" s="96">
        <v>19</v>
      </c>
      <c r="D928" s="104" t="s">
        <v>22</v>
      </c>
      <c r="E928" s="97" t="s">
        <v>25</v>
      </c>
      <c r="F928" s="97" t="str">
        <f>VLOOKUP(E928,Emp_Data!$B$2:$C$9,2,)</f>
        <v>Jeff</v>
      </c>
      <c r="G928" s="97" t="s">
        <v>9</v>
      </c>
      <c r="H928" s="97" t="s">
        <v>41</v>
      </c>
      <c r="I928" s="97">
        <v>199</v>
      </c>
      <c r="J928" s="97">
        <v>5</v>
      </c>
      <c r="K928" s="97">
        <f t="shared" si="14"/>
        <v>995</v>
      </c>
      <c r="L928" s="97">
        <f>_xlfn.XLOOKUP(E928,Emp_Data!$B$2:$B$9,Emp_Data!$A$2:$A$9)</f>
        <v>5</v>
      </c>
    </row>
    <row r="929" spans="1:12">
      <c r="A929" s="99">
        <v>693</v>
      </c>
      <c r="B929" s="101">
        <v>44404</v>
      </c>
      <c r="C929" s="96">
        <v>11</v>
      </c>
      <c r="D929" s="104" t="s">
        <v>38</v>
      </c>
      <c r="E929" s="97" t="s">
        <v>18</v>
      </c>
      <c r="F929" s="97" t="str">
        <f>VLOOKUP(E929,Emp_Data!$B$2:$C$9,2,)</f>
        <v>Sara</v>
      </c>
      <c r="G929" s="97" t="s">
        <v>19</v>
      </c>
      <c r="H929" s="97" t="s">
        <v>41</v>
      </c>
      <c r="I929" s="97">
        <v>199</v>
      </c>
      <c r="J929" s="97">
        <v>5</v>
      </c>
      <c r="K929" s="97">
        <f t="shared" si="14"/>
        <v>995</v>
      </c>
      <c r="L929" s="97">
        <f>_xlfn.XLOOKUP(E929,Emp_Data!$B$2:$B$9,Emp_Data!$A$2:$A$9)</f>
        <v>5</v>
      </c>
    </row>
    <row r="930" spans="1:12">
      <c r="A930" s="99">
        <v>696</v>
      </c>
      <c r="B930" s="101">
        <v>44406</v>
      </c>
      <c r="C930" s="96">
        <v>3</v>
      </c>
      <c r="D930" s="104" t="s">
        <v>20</v>
      </c>
      <c r="E930" s="97" t="s">
        <v>21</v>
      </c>
      <c r="F930" s="97" t="str">
        <f>VLOOKUP(E930,Emp_Data!$B$2:$C$9,2,)</f>
        <v>Sara</v>
      </c>
      <c r="G930" s="97" t="s">
        <v>15</v>
      </c>
      <c r="H930" s="97" t="s">
        <v>41</v>
      </c>
      <c r="I930" s="97">
        <v>199</v>
      </c>
      <c r="J930" s="97">
        <v>8</v>
      </c>
      <c r="K930" s="97">
        <f t="shared" si="14"/>
        <v>1592</v>
      </c>
      <c r="L930" s="97">
        <f>_xlfn.XLOOKUP(E930,Emp_Data!$B$2:$B$9,Emp_Data!$A$2:$A$9)</f>
        <v>2</v>
      </c>
    </row>
    <row r="931" spans="1:12">
      <c r="A931" s="99">
        <v>699</v>
      </c>
      <c r="B931" s="101">
        <v>44408</v>
      </c>
      <c r="C931" s="96">
        <v>5</v>
      </c>
      <c r="D931" s="104" t="s">
        <v>16</v>
      </c>
      <c r="E931" s="97" t="s">
        <v>21</v>
      </c>
      <c r="F931" s="97" t="str">
        <f>VLOOKUP(E931,Emp_Data!$B$2:$C$9,2,)</f>
        <v>Sara</v>
      </c>
      <c r="G931" s="97" t="s">
        <v>15</v>
      </c>
      <c r="H931" s="97" t="s">
        <v>41</v>
      </c>
      <c r="I931" s="97">
        <v>199</v>
      </c>
      <c r="J931" s="97">
        <v>3</v>
      </c>
      <c r="K931" s="97">
        <f t="shared" si="14"/>
        <v>597</v>
      </c>
      <c r="L931" s="97">
        <f>_xlfn.XLOOKUP(E931,Emp_Data!$B$2:$B$9,Emp_Data!$A$2:$A$9)</f>
        <v>2</v>
      </c>
    </row>
    <row r="932" spans="1:12">
      <c r="A932" s="99">
        <v>702</v>
      </c>
      <c r="B932" s="101">
        <v>44411</v>
      </c>
      <c r="C932" s="96">
        <v>6</v>
      </c>
      <c r="D932" s="104" t="s">
        <v>10</v>
      </c>
      <c r="E932" s="97" t="s">
        <v>11</v>
      </c>
      <c r="F932" s="97" t="str">
        <f>VLOOKUP(E932,Emp_Data!$B$2:$C$9,2,)</f>
        <v>Steve</v>
      </c>
      <c r="G932" s="97" t="s">
        <v>12</v>
      </c>
      <c r="H932" s="97" t="s">
        <v>41</v>
      </c>
      <c r="I932" s="97">
        <v>199</v>
      </c>
      <c r="J932" s="97">
        <v>3</v>
      </c>
      <c r="K932" s="97">
        <f t="shared" si="14"/>
        <v>597</v>
      </c>
      <c r="L932" s="97">
        <f>_xlfn.XLOOKUP(E932,Emp_Data!$B$2:$B$9,Emp_Data!$A$2:$A$9)</f>
        <v>4</v>
      </c>
    </row>
    <row r="933" spans="1:12">
      <c r="A933" s="99">
        <v>707</v>
      </c>
      <c r="B933" s="101">
        <v>44411</v>
      </c>
      <c r="C933" s="96">
        <v>10</v>
      </c>
      <c r="D933" s="104" t="s">
        <v>34</v>
      </c>
      <c r="E933" s="97" t="s">
        <v>11</v>
      </c>
      <c r="F933" s="97" t="str">
        <f>VLOOKUP(E933,Emp_Data!$B$2:$C$9,2,)</f>
        <v>Steve</v>
      </c>
      <c r="G933" s="97" t="s">
        <v>12</v>
      </c>
      <c r="H933" s="97" t="s">
        <v>41</v>
      </c>
      <c r="I933" s="97">
        <v>199</v>
      </c>
      <c r="J933" s="97">
        <v>1</v>
      </c>
      <c r="K933" s="97">
        <f t="shared" si="14"/>
        <v>199</v>
      </c>
      <c r="L933" s="97">
        <f>_xlfn.XLOOKUP(E933,Emp_Data!$B$2:$B$9,Emp_Data!$A$2:$A$9)</f>
        <v>4</v>
      </c>
    </row>
    <row r="934" spans="1:12">
      <c r="A934" s="99">
        <v>711</v>
      </c>
      <c r="B934" s="101">
        <v>44411</v>
      </c>
      <c r="C934" s="96">
        <v>19</v>
      </c>
      <c r="D934" s="104" t="s">
        <v>22</v>
      </c>
      <c r="E934" s="97" t="s">
        <v>25</v>
      </c>
      <c r="F934" s="97" t="str">
        <f>VLOOKUP(E934,Emp_Data!$B$2:$C$9,2,)</f>
        <v>Jeff</v>
      </c>
      <c r="G934" s="97" t="s">
        <v>9</v>
      </c>
      <c r="H934" s="97" t="s">
        <v>41</v>
      </c>
      <c r="I934" s="97">
        <v>199</v>
      </c>
      <c r="J934" s="97">
        <v>1</v>
      </c>
      <c r="K934" s="97">
        <f t="shared" si="14"/>
        <v>199</v>
      </c>
      <c r="L934" s="97">
        <f>_xlfn.XLOOKUP(E934,Emp_Data!$B$2:$B$9,Emp_Data!$A$2:$A$9)</f>
        <v>5</v>
      </c>
    </row>
    <row r="935" spans="1:12">
      <c r="A935" s="99">
        <v>717</v>
      </c>
      <c r="B935" s="101">
        <v>44413</v>
      </c>
      <c r="C935" s="96">
        <v>12</v>
      </c>
      <c r="D935" s="104" t="s">
        <v>17</v>
      </c>
      <c r="E935" s="97" t="s">
        <v>18</v>
      </c>
      <c r="F935" s="97" t="str">
        <f>VLOOKUP(E935,Emp_Data!$B$2:$C$9,2,)</f>
        <v>Sara</v>
      </c>
      <c r="G935" s="97" t="s">
        <v>19</v>
      </c>
      <c r="H935" s="97" t="s">
        <v>41</v>
      </c>
      <c r="I935" s="97">
        <v>199</v>
      </c>
      <c r="J935" s="97">
        <v>2</v>
      </c>
      <c r="K935" s="97">
        <f t="shared" si="14"/>
        <v>398</v>
      </c>
      <c r="L935" s="97">
        <f>_xlfn.XLOOKUP(E935,Emp_Data!$B$2:$B$9,Emp_Data!$A$2:$A$9)</f>
        <v>5</v>
      </c>
    </row>
    <row r="936" spans="1:12">
      <c r="A936" s="99">
        <v>729</v>
      </c>
      <c r="B936" s="101">
        <v>44417</v>
      </c>
      <c r="C936" s="96">
        <v>6</v>
      </c>
      <c r="D936" s="104" t="s">
        <v>10</v>
      </c>
      <c r="E936" s="97" t="s">
        <v>11</v>
      </c>
      <c r="F936" s="97" t="str">
        <f>VLOOKUP(E936,Emp_Data!$B$2:$C$9,2,)</f>
        <v>Steve</v>
      </c>
      <c r="G936" s="97" t="s">
        <v>12</v>
      </c>
      <c r="H936" s="97" t="s">
        <v>41</v>
      </c>
      <c r="I936" s="97">
        <v>199</v>
      </c>
      <c r="J936" s="97">
        <v>7</v>
      </c>
      <c r="K936" s="97">
        <f t="shared" si="14"/>
        <v>1393</v>
      </c>
      <c r="L936" s="97">
        <f>_xlfn.XLOOKUP(E936,Emp_Data!$B$2:$B$9,Emp_Data!$A$2:$A$9)</f>
        <v>4</v>
      </c>
    </row>
    <row r="937" spans="1:12">
      <c r="A937" s="99">
        <v>740</v>
      </c>
      <c r="B937" s="101">
        <v>44421</v>
      </c>
      <c r="C937" s="96">
        <v>19</v>
      </c>
      <c r="D937" s="104" t="s">
        <v>22</v>
      </c>
      <c r="E937" s="97" t="s">
        <v>8</v>
      </c>
      <c r="F937" s="97" t="str">
        <f>VLOOKUP(E937,Emp_Data!$B$2:$C$9,2,)</f>
        <v>Jeff</v>
      </c>
      <c r="G937" s="97" t="s">
        <v>9</v>
      </c>
      <c r="H937" s="97" t="s">
        <v>41</v>
      </c>
      <c r="I937" s="97">
        <v>199</v>
      </c>
      <c r="J937" s="97">
        <v>4</v>
      </c>
      <c r="K937" s="97">
        <f t="shared" si="14"/>
        <v>796</v>
      </c>
      <c r="L937" s="97">
        <f>_xlfn.XLOOKUP(E937,Emp_Data!$B$2:$B$9,Emp_Data!$A$2:$A$9)</f>
        <v>3</v>
      </c>
    </row>
    <row r="938" spans="1:12">
      <c r="A938" s="99">
        <v>747</v>
      </c>
      <c r="B938" s="101">
        <v>44425</v>
      </c>
      <c r="C938" s="96">
        <v>6</v>
      </c>
      <c r="D938" s="104" t="s">
        <v>10</v>
      </c>
      <c r="E938" s="97" t="s">
        <v>27</v>
      </c>
      <c r="F938" s="97" t="str">
        <f>VLOOKUP(E938,Emp_Data!$B$2:$C$9,2,)</f>
        <v>Philip</v>
      </c>
      <c r="G938" s="97" t="s">
        <v>12</v>
      </c>
      <c r="H938" s="97" t="s">
        <v>41</v>
      </c>
      <c r="I938" s="97">
        <v>199</v>
      </c>
      <c r="J938" s="97">
        <v>3</v>
      </c>
      <c r="K938" s="97">
        <f t="shared" si="14"/>
        <v>597</v>
      </c>
      <c r="L938" s="97">
        <f>_xlfn.XLOOKUP(E938,Emp_Data!$B$2:$B$9,Emp_Data!$A$2:$A$9)</f>
        <v>8</v>
      </c>
    </row>
    <row r="939" spans="1:12">
      <c r="A939" s="99">
        <v>748</v>
      </c>
      <c r="B939" s="101">
        <v>44426</v>
      </c>
      <c r="C939" s="96">
        <v>8</v>
      </c>
      <c r="D939" s="104" t="s">
        <v>36</v>
      </c>
      <c r="E939" s="97" t="s">
        <v>27</v>
      </c>
      <c r="F939" s="97" t="str">
        <f>VLOOKUP(E939,Emp_Data!$B$2:$C$9,2,)</f>
        <v>Philip</v>
      </c>
      <c r="G939" s="97" t="s">
        <v>12</v>
      </c>
      <c r="H939" s="97" t="s">
        <v>41</v>
      </c>
      <c r="I939" s="97">
        <v>199</v>
      </c>
      <c r="J939" s="97">
        <v>7</v>
      </c>
      <c r="K939" s="97">
        <f t="shared" si="14"/>
        <v>1393</v>
      </c>
      <c r="L939" s="97">
        <f>_xlfn.XLOOKUP(E939,Emp_Data!$B$2:$B$9,Emp_Data!$A$2:$A$9)</f>
        <v>8</v>
      </c>
    </row>
    <row r="940" spans="1:12">
      <c r="A940" s="99">
        <v>754</v>
      </c>
      <c r="B940" s="101">
        <v>44428</v>
      </c>
      <c r="C940" s="96">
        <v>14</v>
      </c>
      <c r="D940" s="104" t="s">
        <v>33</v>
      </c>
      <c r="E940" s="97" t="s">
        <v>24</v>
      </c>
      <c r="F940" s="97" t="str">
        <f>VLOOKUP(E940,Emp_Data!$B$2:$C$9,2,)</f>
        <v>Steve</v>
      </c>
      <c r="G940" s="97" t="s">
        <v>19</v>
      </c>
      <c r="H940" s="97" t="s">
        <v>41</v>
      </c>
      <c r="I940" s="97">
        <v>199</v>
      </c>
      <c r="J940" s="97">
        <v>2</v>
      </c>
      <c r="K940" s="97">
        <f t="shared" si="14"/>
        <v>398</v>
      </c>
      <c r="L940" s="97">
        <f>_xlfn.XLOOKUP(E940,Emp_Data!$B$2:$B$9,Emp_Data!$A$2:$A$9)</f>
        <v>6</v>
      </c>
    </row>
    <row r="941" spans="1:12">
      <c r="A941" s="99">
        <v>755</v>
      </c>
      <c r="B941" s="101">
        <v>44428</v>
      </c>
      <c r="C941" s="96">
        <v>20</v>
      </c>
      <c r="D941" s="104" t="s">
        <v>7</v>
      </c>
      <c r="E941" s="97" t="s">
        <v>25</v>
      </c>
      <c r="F941" s="97" t="str">
        <f>VLOOKUP(E941,Emp_Data!$B$2:$C$9,2,)</f>
        <v>Jeff</v>
      </c>
      <c r="G941" s="97" t="s">
        <v>9</v>
      </c>
      <c r="H941" s="97" t="s">
        <v>41</v>
      </c>
      <c r="I941" s="97">
        <v>199</v>
      </c>
      <c r="J941" s="97">
        <v>6</v>
      </c>
      <c r="K941" s="97">
        <f t="shared" si="14"/>
        <v>1194</v>
      </c>
      <c r="L941" s="97">
        <f>_xlfn.XLOOKUP(E941,Emp_Data!$B$2:$B$9,Emp_Data!$A$2:$A$9)</f>
        <v>5</v>
      </c>
    </row>
    <row r="942" spans="1:12">
      <c r="A942" s="99">
        <v>767</v>
      </c>
      <c r="B942" s="101">
        <v>44431</v>
      </c>
      <c r="C942" s="96">
        <v>13</v>
      </c>
      <c r="D942" s="104" t="s">
        <v>23</v>
      </c>
      <c r="E942" s="97" t="s">
        <v>18</v>
      </c>
      <c r="F942" s="97" t="str">
        <f>VLOOKUP(E942,Emp_Data!$B$2:$C$9,2,)</f>
        <v>Sara</v>
      </c>
      <c r="G942" s="97" t="s">
        <v>19</v>
      </c>
      <c r="H942" s="97" t="s">
        <v>41</v>
      </c>
      <c r="I942" s="97">
        <v>199</v>
      </c>
      <c r="J942" s="97">
        <v>1</v>
      </c>
      <c r="K942" s="97">
        <f t="shared" si="14"/>
        <v>199</v>
      </c>
      <c r="L942" s="97">
        <f>_xlfn.XLOOKUP(E942,Emp_Data!$B$2:$B$9,Emp_Data!$A$2:$A$9)</f>
        <v>5</v>
      </c>
    </row>
    <row r="943" spans="1:12">
      <c r="A943" s="99">
        <v>784</v>
      </c>
      <c r="B943" s="101">
        <v>44437</v>
      </c>
      <c r="C943" s="96">
        <v>2</v>
      </c>
      <c r="D943" s="104" t="s">
        <v>35</v>
      </c>
      <c r="E943" s="97" t="s">
        <v>14</v>
      </c>
      <c r="F943" s="97" t="str">
        <f>VLOOKUP(E943,Emp_Data!$B$2:$C$9,2,)</f>
        <v>Jeff</v>
      </c>
      <c r="G943" s="97" t="s">
        <v>15</v>
      </c>
      <c r="H943" s="97" t="s">
        <v>41</v>
      </c>
      <c r="I943" s="97">
        <v>199</v>
      </c>
      <c r="J943" s="97">
        <v>5</v>
      </c>
      <c r="K943" s="97">
        <f t="shared" si="14"/>
        <v>995</v>
      </c>
      <c r="L943" s="97">
        <f>_xlfn.XLOOKUP(E943,Emp_Data!$B$2:$B$9,Emp_Data!$A$2:$A$9)</f>
        <v>2</v>
      </c>
    </row>
    <row r="944" spans="1:12">
      <c r="A944" s="99">
        <v>788</v>
      </c>
      <c r="B944" s="101">
        <v>44438</v>
      </c>
      <c r="C944" s="96">
        <v>14</v>
      </c>
      <c r="D944" s="104" t="s">
        <v>33</v>
      </c>
      <c r="E944" s="97" t="s">
        <v>24</v>
      </c>
      <c r="F944" s="97" t="str">
        <f>VLOOKUP(E944,Emp_Data!$B$2:$C$9,2,)</f>
        <v>Steve</v>
      </c>
      <c r="G944" s="97" t="s">
        <v>19</v>
      </c>
      <c r="H944" s="97" t="s">
        <v>41</v>
      </c>
      <c r="I944" s="97">
        <v>199</v>
      </c>
      <c r="J944" s="97">
        <v>6</v>
      </c>
      <c r="K944" s="97">
        <f t="shared" si="14"/>
        <v>1194</v>
      </c>
      <c r="L944" s="97">
        <f>_xlfn.XLOOKUP(E944,Emp_Data!$B$2:$B$9,Emp_Data!$A$2:$A$9)</f>
        <v>6</v>
      </c>
    </row>
    <row r="945" spans="1:12">
      <c r="A945" s="99">
        <v>794</v>
      </c>
      <c r="B945" s="101">
        <v>44440</v>
      </c>
      <c r="C945" s="96">
        <v>11</v>
      </c>
      <c r="D945" s="104" t="s">
        <v>38</v>
      </c>
      <c r="E945" s="97" t="s">
        <v>18</v>
      </c>
      <c r="F945" s="97" t="str">
        <f>VLOOKUP(E945,Emp_Data!$B$2:$C$9,2,)</f>
        <v>Sara</v>
      </c>
      <c r="G945" s="97" t="s">
        <v>19</v>
      </c>
      <c r="H945" s="97" t="s">
        <v>41</v>
      </c>
      <c r="I945" s="97">
        <v>199</v>
      </c>
      <c r="J945" s="97">
        <v>8</v>
      </c>
      <c r="K945" s="97">
        <f t="shared" si="14"/>
        <v>1592</v>
      </c>
      <c r="L945" s="97">
        <f>_xlfn.XLOOKUP(E945,Emp_Data!$B$2:$B$9,Emp_Data!$A$2:$A$9)</f>
        <v>5</v>
      </c>
    </row>
    <row r="946" spans="1:12">
      <c r="A946" s="99">
        <v>795</v>
      </c>
      <c r="B946" s="101">
        <v>44440</v>
      </c>
      <c r="C946" s="96">
        <v>13</v>
      </c>
      <c r="D946" s="104" t="s">
        <v>23</v>
      </c>
      <c r="E946" s="97" t="s">
        <v>24</v>
      </c>
      <c r="F946" s="97" t="str">
        <f>VLOOKUP(E946,Emp_Data!$B$2:$C$9,2,)</f>
        <v>Steve</v>
      </c>
      <c r="G946" s="97" t="s">
        <v>19</v>
      </c>
      <c r="H946" s="97" t="s">
        <v>41</v>
      </c>
      <c r="I946" s="97">
        <v>199</v>
      </c>
      <c r="J946" s="97">
        <v>9</v>
      </c>
      <c r="K946" s="97">
        <f t="shared" si="14"/>
        <v>1791</v>
      </c>
      <c r="L946" s="97">
        <f>_xlfn.XLOOKUP(E946,Emp_Data!$B$2:$B$9,Emp_Data!$A$2:$A$9)</f>
        <v>6</v>
      </c>
    </row>
    <row r="947" spans="1:12">
      <c r="A947" s="99">
        <v>803</v>
      </c>
      <c r="B947" s="101">
        <v>44442</v>
      </c>
      <c r="C947" s="96">
        <v>17</v>
      </c>
      <c r="D947" s="104" t="s">
        <v>32</v>
      </c>
      <c r="E947" s="97" t="s">
        <v>8</v>
      </c>
      <c r="F947" s="97" t="str">
        <f>VLOOKUP(E947,Emp_Data!$B$2:$C$9,2,)</f>
        <v>Jeff</v>
      </c>
      <c r="G947" s="97" t="s">
        <v>9</v>
      </c>
      <c r="H947" s="97" t="s">
        <v>41</v>
      </c>
      <c r="I947" s="97">
        <v>199</v>
      </c>
      <c r="J947" s="97">
        <v>5</v>
      </c>
      <c r="K947" s="97">
        <f t="shared" si="14"/>
        <v>995</v>
      </c>
      <c r="L947" s="97">
        <f>_xlfn.XLOOKUP(E947,Emp_Data!$B$2:$B$9,Emp_Data!$A$2:$A$9)</f>
        <v>3</v>
      </c>
    </row>
    <row r="948" spans="1:12">
      <c r="A948" s="99">
        <v>809</v>
      </c>
      <c r="B948" s="101">
        <v>44445</v>
      </c>
      <c r="C948" s="96">
        <v>19</v>
      </c>
      <c r="D948" s="104" t="s">
        <v>22</v>
      </c>
      <c r="E948" s="97" t="s">
        <v>25</v>
      </c>
      <c r="F948" s="97" t="str">
        <f>VLOOKUP(E948,Emp_Data!$B$2:$C$9,2,)</f>
        <v>Jeff</v>
      </c>
      <c r="G948" s="97" t="s">
        <v>9</v>
      </c>
      <c r="H948" s="97" t="s">
        <v>41</v>
      </c>
      <c r="I948" s="97">
        <v>199</v>
      </c>
      <c r="J948" s="97">
        <v>9</v>
      </c>
      <c r="K948" s="97">
        <f t="shared" si="14"/>
        <v>1791</v>
      </c>
      <c r="L948" s="97">
        <f>_xlfn.XLOOKUP(E948,Emp_Data!$B$2:$B$9,Emp_Data!$A$2:$A$9)</f>
        <v>5</v>
      </c>
    </row>
    <row r="949" spans="1:12">
      <c r="A949" s="99">
        <v>828</v>
      </c>
      <c r="B949" s="101">
        <v>44451</v>
      </c>
      <c r="C949" s="96">
        <v>5</v>
      </c>
      <c r="D949" s="104" t="s">
        <v>16</v>
      </c>
      <c r="E949" s="97" t="s">
        <v>14</v>
      </c>
      <c r="F949" s="97" t="str">
        <f>VLOOKUP(E949,Emp_Data!$B$2:$C$9,2,)</f>
        <v>Jeff</v>
      </c>
      <c r="G949" s="97" t="s">
        <v>15</v>
      </c>
      <c r="H949" s="97" t="s">
        <v>41</v>
      </c>
      <c r="I949" s="97">
        <v>199</v>
      </c>
      <c r="J949" s="97">
        <v>3</v>
      </c>
      <c r="K949" s="97">
        <f t="shared" si="14"/>
        <v>597</v>
      </c>
      <c r="L949" s="97">
        <f>_xlfn.XLOOKUP(E949,Emp_Data!$B$2:$B$9,Emp_Data!$A$2:$A$9)</f>
        <v>2</v>
      </c>
    </row>
    <row r="950" spans="1:12">
      <c r="A950" s="99">
        <v>831</v>
      </c>
      <c r="B950" s="101">
        <v>44453</v>
      </c>
      <c r="C950" s="96">
        <v>1</v>
      </c>
      <c r="D950" s="104" t="s">
        <v>31</v>
      </c>
      <c r="E950" s="97" t="s">
        <v>14</v>
      </c>
      <c r="F950" s="97" t="str">
        <f>VLOOKUP(E950,Emp_Data!$B$2:$C$9,2,)</f>
        <v>Jeff</v>
      </c>
      <c r="G950" s="97" t="s">
        <v>15</v>
      </c>
      <c r="H950" s="97" t="s">
        <v>41</v>
      </c>
      <c r="I950" s="97">
        <v>199</v>
      </c>
      <c r="J950" s="97">
        <v>1</v>
      </c>
      <c r="K950" s="97">
        <f t="shared" si="14"/>
        <v>199</v>
      </c>
      <c r="L950" s="97">
        <f>_xlfn.XLOOKUP(E950,Emp_Data!$B$2:$B$9,Emp_Data!$A$2:$A$9)</f>
        <v>2</v>
      </c>
    </row>
    <row r="951" spans="1:12">
      <c r="A951" s="99">
        <v>837</v>
      </c>
      <c r="B951" s="101">
        <v>44456</v>
      </c>
      <c r="C951" s="96">
        <v>3</v>
      </c>
      <c r="D951" s="104" t="s">
        <v>20</v>
      </c>
      <c r="E951" s="97" t="s">
        <v>21</v>
      </c>
      <c r="F951" s="97" t="str">
        <f>VLOOKUP(E951,Emp_Data!$B$2:$C$9,2,)</f>
        <v>Sara</v>
      </c>
      <c r="G951" s="97" t="s">
        <v>15</v>
      </c>
      <c r="H951" s="97" t="s">
        <v>41</v>
      </c>
      <c r="I951" s="97">
        <v>199</v>
      </c>
      <c r="J951" s="97">
        <v>6</v>
      </c>
      <c r="K951" s="97">
        <f t="shared" si="14"/>
        <v>1194</v>
      </c>
      <c r="L951" s="97">
        <f>_xlfn.XLOOKUP(E951,Emp_Data!$B$2:$B$9,Emp_Data!$A$2:$A$9)</f>
        <v>2</v>
      </c>
    </row>
    <row r="952" spans="1:12">
      <c r="A952" s="99">
        <v>842</v>
      </c>
      <c r="B952" s="101">
        <v>44459</v>
      </c>
      <c r="C952" s="96">
        <v>12</v>
      </c>
      <c r="D952" s="104" t="s">
        <v>17</v>
      </c>
      <c r="E952" s="97" t="s">
        <v>24</v>
      </c>
      <c r="F952" s="97" t="str">
        <f>VLOOKUP(E952,Emp_Data!$B$2:$C$9,2,)</f>
        <v>Steve</v>
      </c>
      <c r="G952" s="97" t="s">
        <v>19</v>
      </c>
      <c r="H952" s="97" t="s">
        <v>41</v>
      </c>
      <c r="I952" s="97">
        <v>199</v>
      </c>
      <c r="J952" s="97">
        <v>4</v>
      </c>
      <c r="K952" s="97">
        <f t="shared" si="14"/>
        <v>796</v>
      </c>
      <c r="L952" s="97">
        <f>_xlfn.XLOOKUP(E952,Emp_Data!$B$2:$B$9,Emp_Data!$A$2:$A$9)</f>
        <v>6</v>
      </c>
    </row>
    <row r="953" spans="1:12">
      <c r="A953" s="99">
        <v>843</v>
      </c>
      <c r="B953" s="101">
        <v>44459</v>
      </c>
      <c r="C953" s="96">
        <v>4</v>
      </c>
      <c r="D953" s="104" t="s">
        <v>13</v>
      </c>
      <c r="E953" s="97" t="s">
        <v>14</v>
      </c>
      <c r="F953" s="97" t="str">
        <f>VLOOKUP(E953,Emp_Data!$B$2:$C$9,2,)</f>
        <v>Jeff</v>
      </c>
      <c r="G953" s="97" t="s">
        <v>15</v>
      </c>
      <c r="H953" s="97" t="s">
        <v>41</v>
      </c>
      <c r="I953" s="97">
        <v>199</v>
      </c>
      <c r="J953" s="97">
        <v>7</v>
      </c>
      <c r="K953" s="97">
        <f t="shared" si="14"/>
        <v>1393</v>
      </c>
      <c r="L953" s="97">
        <f>_xlfn.XLOOKUP(E953,Emp_Data!$B$2:$B$9,Emp_Data!$A$2:$A$9)</f>
        <v>2</v>
      </c>
    </row>
    <row r="954" spans="1:12">
      <c r="A954" s="99">
        <v>846</v>
      </c>
      <c r="B954" s="101">
        <v>44461</v>
      </c>
      <c r="C954" s="96">
        <v>8</v>
      </c>
      <c r="D954" s="104" t="s">
        <v>36</v>
      </c>
      <c r="E954" s="97" t="s">
        <v>11</v>
      </c>
      <c r="F954" s="97" t="str">
        <f>VLOOKUP(E954,Emp_Data!$B$2:$C$9,2,)</f>
        <v>Steve</v>
      </c>
      <c r="G954" s="97" t="s">
        <v>12</v>
      </c>
      <c r="H954" s="97" t="s">
        <v>41</v>
      </c>
      <c r="I954" s="97">
        <v>199</v>
      </c>
      <c r="J954" s="97">
        <v>8</v>
      </c>
      <c r="K954" s="97">
        <f t="shared" si="14"/>
        <v>1592</v>
      </c>
      <c r="L954" s="97">
        <f>_xlfn.XLOOKUP(E954,Emp_Data!$B$2:$B$9,Emp_Data!$A$2:$A$9)</f>
        <v>4</v>
      </c>
    </row>
    <row r="955" spans="1:12">
      <c r="A955" s="99">
        <v>849</v>
      </c>
      <c r="B955" s="101">
        <v>44461</v>
      </c>
      <c r="C955" s="96">
        <v>4</v>
      </c>
      <c r="D955" s="104" t="s">
        <v>13</v>
      </c>
      <c r="E955" s="97" t="s">
        <v>14</v>
      </c>
      <c r="F955" s="97" t="str">
        <f>VLOOKUP(E955,Emp_Data!$B$2:$C$9,2,)</f>
        <v>Jeff</v>
      </c>
      <c r="G955" s="97" t="s">
        <v>15</v>
      </c>
      <c r="H955" s="97" t="s">
        <v>41</v>
      </c>
      <c r="I955" s="97">
        <v>199</v>
      </c>
      <c r="J955" s="97">
        <v>8</v>
      </c>
      <c r="K955" s="97">
        <f t="shared" si="14"/>
        <v>1592</v>
      </c>
      <c r="L955" s="97">
        <f>_xlfn.XLOOKUP(E955,Emp_Data!$B$2:$B$9,Emp_Data!$A$2:$A$9)</f>
        <v>2</v>
      </c>
    </row>
    <row r="956" spans="1:12">
      <c r="A956" s="99">
        <v>854</v>
      </c>
      <c r="B956" s="101">
        <v>44461</v>
      </c>
      <c r="C956" s="96">
        <v>7</v>
      </c>
      <c r="D956" s="104" t="s">
        <v>28</v>
      </c>
      <c r="E956" s="97" t="s">
        <v>27</v>
      </c>
      <c r="F956" s="97" t="str">
        <f>VLOOKUP(E956,Emp_Data!$B$2:$C$9,2,)</f>
        <v>Philip</v>
      </c>
      <c r="G956" s="97" t="s">
        <v>12</v>
      </c>
      <c r="H956" s="97" t="s">
        <v>41</v>
      </c>
      <c r="I956" s="97">
        <v>199</v>
      </c>
      <c r="J956" s="97">
        <v>5</v>
      </c>
      <c r="K956" s="97">
        <f t="shared" si="14"/>
        <v>995</v>
      </c>
      <c r="L956" s="97">
        <f>_xlfn.XLOOKUP(E956,Emp_Data!$B$2:$B$9,Emp_Data!$A$2:$A$9)</f>
        <v>8</v>
      </c>
    </row>
    <row r="957" spans="1:12">
      <c r="A957" s="99">
        <v>860</v>
      </c>
      <c r="B957" s="101">
        <v>44463</v>
      </c>
      <c r="C957" s="96">
        <v>6</v>
      </c>
      <c r="D957" s="104" t="s">
        <v>10</v>
      </c>
      <c r="E957" s="97" t="s">
        <v>11</v>
      </c>
      <c r="F957" s="97" t="str">
        <f>VLOOKUP(E957,Emp_Data!$B$2:$C$9,2,)</f>
        <v>Steve</v>
      </c>
      <c r="G957" s="97" t="s">
        <v>12</v>
      </c>
      <c r="H957" s="97" t="s">
        <v>41</v>
      </c>
      <c r="I957" s="97">
        <v>199</v>
      </c>
      <c r="J957" s="97">
        <v>8</v>
      </c>
      <c r="K957" s="97">
        <f t="shared" si="14"/>
        <v>1592</v>
      </c>
      <c r="L957" s="97">
        <f>_xlfn.XLOOKUP(E957,Emp_Data!$B$2:$B$9,Emp_Data!$A$2:$A$9)</f>
        <v>4</v>
      </c>
    </row>
    <row r="958" spans="1:12">
      <c r="A958" s="99">
        <v>863</v>
      </c>
      <c r="B958" s="101">
        <v>44464</v>
      </c>
      <c r="C958" s="96">
        <v>16</v>
      </c>
      <c r="D958" s="104" t="s">
        <v>37</v>
      </c>
      <c r="E958" s="97" t="s">
        <v>25</v>
      </c>
      <c r="F958" s="97" t="str">
        <f>VLOOKUP(E958,Emp_Data!$B$2:$C$9,2,)</f>
        <v>Jeff</v>
      </c>
      <c r="G958" s="97" t="s">
        <v>9</v>
      </c>
      <c r="H958" s="97" t="s">
        <v>41</v>
      </c>
      <c r="I958" s="97">
        <v>199</v>
      </c>
      <c r="J958" s="97">
        <v>0</v>
      </c>
      <c r="K958" s="97">
        <f t="shared" si="14"/>
        <v>0</v>
      </c>
      <c r="L958" s="97">
        <f>_xlfn.XLOOKUP(E958,Emp_Data!$B$2:$B$9,Emp_Data!$A$2:$A$9)</f>
        <v>5</v>
      </c>
    </row>
    <row r="959" spans="1:12">
      <c r="A959" s="99">
        <v>867</v>
      </c>
      <c r="B959" s="101">
        <v>44466</v>
      </c>
      <c r="C959" s="96">
        <v>7</v>
      </c>
      <c r="D959" s="104" t="s">
        <v>28</v>
      </c>
      <c r="E959" s="97" t="s">
        <v>11</v>
      </c>
      <c r="F959" s="97" t="str">
        <f>VLOOKUP(E959,Emp_Data!$B$2:$C$9,2,)</f>
        <v>Steve</v>
      </c>
      <c r="G959" s="97" t="s">
        <v>12</v>
      </c>
      <c r="H959" s="97" t="s">
        <v>41</v>
      </c>
      <c r="I959" s="97">
        <v>199</v>
      </c>
      <c r="J959" s="97">
        <v>6</v>
      </c>
      <c r="K959" s="97">
        <f t="shared" si="14"/>
        <v>1194</v>
      </c>
      <c r="L959" s="97">
        <f>_xlfn.XLOOKUP(E959,Emp_Data!$B$2:$B$9,Emp_Data!$A$2:$A$9)</f>
        <v>4</v>
      </c>
    </row>
    <row r="960" spans="1:12">
      <c r="A960" s="99">
        <v>873</v>
      </c>
      <c r="B960" s="101">
        <v>44468</v>
      </c>
      <c r="C960" s="96">
        <v>20</v>
      </c>
      <c r="D960" s="104" t="s">
        <v>7</v>
      </c>
      <c r="E960" s="97" t="s">
        <v>25</v>
      </c>
      <c r="F960" s="97" t="str">
        <f>VLOOKUP(E960,Emp_Data!$B$2:$C$9,2,)</f>
        <v>Jeff</v>
      </c>
      <c r="G960" s="97" t="s">
        <v>9</v>
      </c>
      <c r="H960" s="97" t="s">
        <v>41</v>
      </c>
      <c r="I960" s="97">
        <v>199</v>
      </c>
      <c r="J960" s="97">
        <v>3</v>
      </c>
      <c r="K960" s="97">
        <f t="shared" si="14"/>
        <v>597</v>
      </c>
      <c r="L960" s="97">
        <f>_xlfn.XLOOKUP(E960,Emp_Data!$B$2:$B$9,Emp_Data!$A$2:$A$9)</f>
        <v>5</v>
      </c>
    </row>
    <row r="961" spans="1:12">
      <c r="A961" s="99">
        <v>879</v>
      </c>
      <c r="B961" s="101">
        <v>44469</v>
      </c>
      <c r="C961" s="96">
        <v>20</v>
      </c>
      <c r="D961" s="104" t="s">
        <v>7</v>
      </c>
      <c r="E961" s="97" t="s">
        <v>8</v>
      </c>
      <c r="F961" s="97" t="str">
        <f>VLOOKUP(E961,Emp_Data!$B$2:$C$9,2,)</f>
        <v>Jeff</v>
      </c>
      <c r="G961" s="97" t="s">
        <v>9</v>
      </c>
      <c r="H961" s="97" t="s">
        <v>41</v>
      </c>
      <c r="I961" s="97">
        <v>199</v>
      </c>
      <c r="J961" s="97">
        <v>1</v>
      </c>
      <c r="K961" s="97">
        <f t="shared" si="14"/>
        <v>199</v>
      </c>
      <c r="L961" s="97">
        <f>_xlfn.XLOOKUP(E961,Emp_Data!$B$2:$B$9,Emp_Data!$A$2:$A$9)</f>
        <v>3</v>
      </c>
    </row>
    <row r="962" spans="1:12">
      <c r="A962" s="99">
        <v>880</v>
      </c>
      <c r="B962" s="101">
        <v>44469</v>
      </c>
      <c r="C962" s="96">
        <v>6</v>
      </c>
      <c r="D962" s="104" t="s">
        <v>10</v>
      </c>
      <c r="E962" s="97" t="s">
        <v>27</v>
      </c>
      <c r="F962" s="97" t="str">
        <f>VLOOKUP(E962,Emp_Data!$B$2:$C$9,2,)</f>
        <v>Philip</v>
      </c>
      <c r="G962" s="97" t="s">
        <v>12</v>
      </c>
      <c r="H962" s="97" t="s">
        <v>41</v>
      </c>
      <c r="I962" s="97">
        <v>199</v>
      </c>
      <c r="J962" s="97">
        <v>7</v>
      </c>
      <c r="K962" s="97">
        <f t="shared" si="14"/>
        <v>1393</v>
      </c>
      <c r="L962" s="97">
        <f>_xlfn.XLOOKUP(E962,Emp_Data!$B$2:$B$9,Emp_Data!$A$2:$A$9)</f>
        <v>8</v>
      </c>
    </row>
    <row r="963" spans="1:12">
      <c r="A963" s="99">
        <v>883</v>
      </c>
      <c r="B963" s="101">
        <v>44471</v>
      </c>
      <c r="C963" s="96">
        <v>3</v>
      </c>
      <c r="D963" s="104" t="s">
        <v>20</v>
      </c>
      <c r="E963" s="97" t="s">
        <v>21</v>
      </c>
      <c r="F963" s="97" t="str">
        <f>VLOOKUP(E963,Emp_Data!$B$2:$C$9,2,)</f>
        <v>Sara</v>
      </c>
      <c r="G963" s="97" t="s">
        <v>15</v>
      </c>
      <c r="H963" s="97" t="s">
        <v>41</v>
      </c>
      <c r="I963" s="97">
        <v>199</v>
      </c>
      <c r="J963" s="97">
        <v>5</v>
      </c>
      <c r="K963" s="97">
        <f t="shared" ref="K963:K1026" si="15">SUMPRODUCT(I963,J963)</f>
        <v>995</v>
      </c>
      <c r="L963" s="97">
        <f>_xlfn.XLOOKUP(E963,Emp_Data!$B$2:$B$9,Emp_Data!$A$2:$A$9)</f>
        <v>2</v>
      </c>
    </row>
    <row r="964" spans="1:12">
      <c r="A964" s="99">
        <v>888</v>
      </c>
      <c r="B964" s="101">
        <v>44473</v>
      </c>
      <c r="C964" s="96">
        <v>15</v>
      </c>
      <c r="D964" s="104" t="s">
        <v>29</v>
      </c>
      <c r="E964" s="97" t="s">
        <v>18</v>
      </c>
      <c r="F964" s="97" t="str">
        <f>VLOOKUP(E964,Emp_Data!$B$2:$C$9,2,)</f>
        <v>Sara</v>
      </c>
      <c r="G964" s="97" t="s">
        <v>19</v>
      </c>
      <c r="H964" s="97" t="s">
        <v>41</v>
      </c>
      <c r="I964" s="97">
        <v>199</v>
      </c>
      <c r="J964" s="97">
        <v>3</v>
      </c>
      <c r="K964" s="97">
        <f t="shared" si="15"/>
        <v>597</v>
      </c>
      <c r="L964" s="97">
        <f>_xlfn.XLOOKUP(E964,Emp_Data!$B$2:$B$9,Emp_Data!$A$2:$A$9)</f>
        <v>5</v>
      </c>
    </row>
    <row r="965" spans="1:12">
      <c r="A965" s="99">
        <v>889</v>
      </c>
      <c r="B965" s="101">
        <v>44474</v>
      </c>
      <c r="C965" s="96">
        <v>20</v>
      </c>
      <c r="D965" s="104" t="s">
        <v>7</v>
      </c>
      <c r="E965" s="97" t="s">
        <v>25</v>
      </c>
      <c r="F965" s="97" t="str">
        <f>VLOOKUP(E965,Emp_Data!$B$2:$C$9,2,)</f>
        <v>Jeff</v>
      </c>
      <c r="G965" s="97" t="s">
        <v>9</v>
      </c>
      <c r="H965" s="97" t="s">
        <v>41</v>
      </c>
      <c r="I965" s="97">
        <v>199</v>
      </c>
      <c r="J965" s="97">
        <v>3</v>
      </c>
      <c r="K965" s="97">
        <f t="shared" si="15"/>
        <v>597</v>
      </c>
      <c r="L965" s="97">
        <f>_xlfn.XLOOKUP(E965,Emp_Data!$B$2:$B$9,Emp_Data!$A$2:$A$9)</f>
        <v>5</v>
      </c>
    </row>
    <row r="966" spans="1:12">
      <c r="A966" s="99">
        <v>891</v>
      </c>
      <c r="B966" s="101">
        <v>44474</v>
      </c>
      <c r="C966" s="96">
        <v>4</v>
      </c>
      <c r="D966" s="104" t="s">
        <v>13</v>
      </c>
      <c r="E966" s="97" t="s">
        <v>14</v>
      </c>
      <c r="F966" s="97" t="str">
        <f>VLOOKUP(E966,Emp_Data!$B$2:$C$9,2,)</f>
        <v>Jeff</v>
      </c>
      <c r="G966" s="97" t="s">
        <v>15</v>
      </c>
      <c r="H966" s="97" t="s">
        <v>41</v>
      </c>
      <c r="I966" s="97">
        <v>199</v>
      </c>
      <c r="J966" s="97">
        <v>9</v>
      </c>
      <c r="K966" s="97">
        <f t="shared" si="15"/>
        <v>1791</v>
      </c>
      <c r="L966" s="97">
        <f>_xlfn.XLOOKUP(E966,Emp_Data!$B$2:$B$9,Emp_Data!$A$2:$A$9)</f>
        <v>2</v>
      </c>
    </row>
    <row r="967" spans="1:12">
      <c r="A967" s="99">
        <v>895</v>
      </c>
      <c r="B967" s="101">
        <v>44475</v>
      </c>
      <c r="C967" s="96">
        <v>9</v>
      </c>
      <c r="D967" s="104" t="s">
        <v>26</v>
      </c>
      <c r="E967" s="97" t="s">
        <v>27</v>
      </c>
      <c r="F967" s="97" t="str">
        <f>VLOOKUP(E967,Emp_Data!$B$2:$C$9,2,)</f>
        <v>Philip</v>
      </c>
      <c r="G967" s="97" t="s">
        <v>12</v>
      </c>
      <c r="H967" s="97" t="s">
        <v>41</v>
      </c>
      <c r="I967" s="97">
        <v>199</v>
      </c>
      <c r="J967" s="97">
        <v>2</v>
      </c>
      <c r="K967" s="97">
        <f t="shared" si="15"/>
        <v>398</v>
      </c>
      <c r="L967" s="97">
        <f>_xlfn.XLOOKUP(E967,Emp_Data!$B$2:$B$9,Emp_Data!$A$2:$A$9)</f>
        <v>8</v>
      </c>
    </row>
    <row r="968" spans="1:12">
      <c r="A968" s="99">
        <v>896</v>
      </c>
      <c r="B968" s="101">
        <v>44475</v>
      </c>
      <c r="C968" s="96">
        <v>6</v>
      </c>
      <c r="D968" s="104" t="s">
        <v>10</v>
      </c>
      <c r="E968" s="97" t="s">
        <v>11</v>
      </c>
      <c r="F968" s="97" t="str">
        <f>VLOOKUP(E968,Emp_Data!$B$2:$C$9,2,)</f>
        <v>Steve</v>
      </c>
      <c r="G968" s="97" t="s">
        <v>12</v>
      </c>
      <c r="H968" s="97" t="s">
        <v>41</v>
      </c>
      <c r="I968" s="97">
        <v>199</v>
      </c>
      <c r="J968" s="97">
        <v>8</v>
      </c>
      <c r="K968" s="97">
        <f t="shared" si="15"/>
        <v>1592</v>
      </c>
      <c r="L968" s="97">
        <f>_xlfn.XLOOKUP(E968,Emp_Data!$B$2:$B$9,Emp_Data!$A$2:$A$9)</f>
        <v>4</v>
      </c>
    </row>
    <row r="969" spans="1:12">
      <c r="A969" s="99">
        <v>898</v>
      </c>
      <c r="B969" s="101">
        <v>44475</v>
      </c>
      <c r="C969" s="96">
        <v>17</v>
      </c>
      <c r="D969" s="104" t="s">
        <v>32</v>
      </c>
      <c r="E969" s="97" t="s">
        <v>8</v>
      </c>
      <c r="F969" s="97" t="str">
        <f>VLOOKUP(E969,Emp_Data!$B$2:$C$9,2,)</f>
        <v>Jeff</v>
      </c>
      <c r="G969" s="97" t="s">
        <v>9</v>
      </c>
      <c r="H969" s="97" t="s">
        <v>41</v>
      </c>
      <c r="I969" s="97">
        <v>199</v>
      </c>
      <c r="J969" s="97">
        <v>2</v>
      </c>
      <c r="K969" s="97">
        <f t="shared" si="15"/>
        <v>398</v>
      </c>
      <c r="L969" s="97">
        <f>_xlfn.XLOOKUP(E969,Emp_Data!$B$2:$B$9,Emp_Data!$A$2:$A$9)</f>
        <v>3</v>
      </c>
    </row>
    <row r="970" spans="1:12">
      <c r="A970" s="99">
        <v>899</v>
      </c>
      <c r="B970" s="101">
        <v>44476</v>
      </c>
      <c r="C970" s="96">
        <v>1</v>
      </c>
      <c r="D970" s="104" t="s">
        <v>31</v>
      </c>
      <c r="E970" s="97" t="s">
        <v>21</v>
      </c>
      <c r="F970" s="97" t="str">
        <f>VLOOKUP(E970,Emp_Data!$B$2:$C$9,2,)</f>
        <v>Sara</v>
      </c>
      <c r="G970" s="97" t="s">
        <v>15</v>
      </c>
      <c r="H970" s="97" t="s">
        <v>41</v>
      </c>
      <c r="I970" s="97">
        <v>199</v>
      </c>
      <c r="J970" s="97">
        <v>4</v>
      </c>
      <c r="K970" s="97">
        <f t="shared" si="15"/>
        <v>796</v>
      </c>
      <c r="L970" s="97">
        <f>_xlfn.XLOOKUP(E970,Emp_Data!$B$2:$B$9,Emp_Data!$A$2:$A$9)</f>
        <v>2</v>
      </c>
    </row>
    <row r="971" spans="1:12">
      <c r="A971" s="99">
        <v>906</v>
      </c>
      <c r="B971" s="101">
        <v>44480</v>
      </c>
      <c r="C971" s="96">
        <v>19</v>
      </c>
      <c r="D971" s="104" t="s">
        <v>22</v>
      </c>
      <c r="E971" s="97" t="s">
        <v>25</v>
      </c>
      <c r="F971" s="97" t="str">
        <f>VLOOKUP(E971,Emp_Data!$B$2:$C$9,2,)</f>
        <v>Jeff</v>
      </c>
      <c r="G971" s="97" t="s">
        <v>9</v>
      </c>
      <c r="H971" s="97" t="s">
        <v>41</v>
      </c>
      <c r="I971" s="97">
        <v>199</v>
      </c>
      <c r="J971" s="97">
        <v>5</v>
      </c>
      <c r="K971" s="97">
        <f t="shared" si="15"/>
        <v>995</v>
      </c>
      <c r="L971" s="97">
        <f>_xlfn.XLOOKUP(E971,Emp_Data!$B$2:$B$9,Emp_Data!$A$2:$A$9)</f>
        <v>5</v>
      </c>
    </row>
    <row r="972" spans="1:12">
      <c r="A972" s="99">
        <v>907</v>
      </c>
      <c r="B972" s="101">
        <v>44481</v>
      </c>
      <c r="C972" s="96">
        <v>10</v>
      </c>
      <c r="D972" s="104" t="s">
        <v>34</v>
      </c>
      <c r="E972" s="97" t="s">
        <v>27</v>
      </c>
      <c r="F972" s="97" t="str">
        <f>VLOOKUP(E972,Emp_Data!$B$2:$C$9,2,)</f>
        <v>Philip</v>
      </c>
      <c r="G972" s="97" t="s">
        <v>12</v>
      </c>
      <c r="H972" s="97" t="s">
        <v>41</v>
      </c>
      <c r="I972" s="97">
        <v>199</v>
      </c>
      <c r="J972" s="97">
        <v>1</v>
      </c>
      <c r="K972" s="97">
        <f t="shared" si="15"/>
        <v>199</v>
      </c>
      <c r="L972" s="97">
        <f>_xlfn.XLOOKUP(E972,Emp_Data!$B$2:$B$9,Emp_Data!$A$2:$A$9)</f>
        <v>8</v>
      </c>
    </row>
    <row r="973" spans="1:12">
      <c r="A973" s="99">
        <v>910</v>
      </c>
      <c r="B973" s="101">
        <v>44482</v>
      </c>
      <c r="C973" s="96">
        <v>19</v>
      </c>
      <c r="D973" s="104" t="s">
        <v>22</v>
      </c>
      <c r="E973" s="97" t="s">
        <v>25</v>
      </c>
      <c r="F973" s="97" t="str">
        <f>VLOOKUP(E973,Emp_Data!$B$2:$C$9,2,)</f>
        <v>Jeff</v>
      </c>
      <c r="G973" s="97" t="s">
        <v>9</v>
      </c>
      <c r="H973" s="97" t="s">
        <v>41</v>
      </c>
      <c r="I973" s="97">
        <v>199</v>
      </c>
      <c r="J973" s="97">
        <v>3</v>
      </c>
      <c r="K973" s="97">
        <f t="shared" si="15"/>
        <v>597</v>
      </c>
      <c r="L973" s="97">
        <f>_xlfn.XLOOKUP(E973,Emp_Data!$B$2:$B$9,Emp_Data!$A$2:$A$9)</f>
        <v>5</v>
      </c>
    </row>
    <row r="974" spans="1:12">
      <c r="A974" s="99">
        <v>913</v>
      </c>
      <c r="B974" s="101">
        <v>44482</v>
      </c>
      <c r="C974" s="96">
        <v>9</v>
      </c>
      <c r="D974" s="104" t="s">
        <v>26</v>
      </c>
      <c r="E974" s="97" t="s">
        <v>11</v>
      </c>
      <c r="F974" s="97" t="str">
        <f>VLOOKUP(E974,Emp_Data!$B$2:$C$9,2,)</f>
        <v>Steve</v>
      </c>
      <c r="G974" s="97" t="s">
        <v>12</v>
      </c>
      <c r="H974" s="97" t="s">
        <v>41</v>
      </c>
      <c r="I974" s="97">
        <v>199</v>
      </c>
      <c r="J974" s="97">
        <v>5</v>
      </c>
      <c r="K974" s="97">
        <f t="shared" si="15"/>
        <v>995</v>
      </c>
      <c r="L974" s="97">
        <f>_xlfn.XLOOKUP(E974,Emp_Data!$B$2:$B$9,Emp_Data!$A$2:$A$9)</f>
        <v>4</v>
      </c>
    </row>
    <row r="975" spans="1:12">
      <c r="A975" s="99">
        <v>920</v>
      </c>
      <c r="B975" s="101">
        <v>44484</v>
      </c>
      <c r="C975" s="96">
        <v>2</v>
      </c>
      <c r="D975" s="104" t="s">
        <v>35</v>
      </c>
      <c r="E975" s="97" t="s">
        <v>21</v>
      </c>
      <c r="F975" s="97" t="str">
        <f>VLOOKUP(E975,Emp_Data!$B$2:$C$9,2,)</f>
        <v>Sara</v>
      </c>
      <c r="G975" s="97" t="s">
        <v>15</v>
      </c>
      <c r="H975" s="97" t="s">
        <v>41</v>
      </c>
      <c r="I975" s="97">
        <v>199</v>
      </c>
      <c r="J975" s="97">
        <v>3</v>
      </c>
      <c r="K975" s="97">
        <f t="shared" si="15"/>
        <v>597</v>
      </c>
      <c r="L975" s="97">
        <f>_xlfn.XLOOKUP(E975,Emp_Data!$B$2:$B$9,Emp_Data!$A$2:$A$9)</f>
        <v>2</v>
      </c>
    </row>
    <row r="976" spans="1:12">
      <c r="A976" s="99">
        <v>925</v>
      </c>
      <c r="B976" s="101">
        <v>44485</v>
      </c>
      <c r="C976" s="96">
        <v>12</v>
      </c>
      <c r="D976" s="104" t="s">
        <v>17</v>
      </c>
      <c r="E976" s="97" t="s">
        <v>18</v>
      </c>
      <c r="F976" s="97" t="str">
        <f>VLOOKUP(E976,Emp_Data!$B$2:$C$9,2,)</f>
        <v>Sara</v>
      </c>
      <c r="G976" s="97" t="s">
        <v>19</v>
      </c>
      <c r="H976" s="97" t="s">
        <v>41</v>
      </c>
      <c r="I976" s="97">
        <v>199</v>
      </c>
      <c r="J976" s="97">
        <v>7</v>
      </c>
      <c r="K976" s="97">
        <f t="shared" si="15"/>
        <v>1393</v>
      </c>
      <c r="L976" s="97">
        <f>_xlfn.XLOOKUP(E976,Emp_Data!$B$2:$B$9,Emp_Data!$A$2:$A$9)</f>
        <v>5</v>
      </c>
    </row>
    <row r="977" spans="1:12">
      <c r="A977" s="99">
        <v>926</v>
      </c>
      <c r="B977" s="101">
        <v>44486</v>
      </c>
      <c r="C977" s="96">
        <v>1</v>
      </c>
      <c r="D977" s="104" t="s">
        <v>31</v>
      </c>
      <c r="E977" s="97" t="s">
        <v>21</v>
      </c>
      <c r="F977" s="97" t="str">
        <f>VLOOKUP(E977,Emp_Data!$B$2:$C$9,2,)</f>
        <v>Sara</v>
      </c>
      <c r="G977" s="97" t="s">
        <v>15</v>
      </c>
      <c r="H977" s="97" t="s">
        <v>41</v>
      </c>
      <c r="I977" s="97">
        <v>199</v>
      </c>
      <c r="J977" s="97">
        <v>0</v>
      </c>
      <c r="K977" s="97">
        <f t="shared" si="15"/>
        <v>0</v>
      </c>
      <c r="L977" s="97">
        <f>_xlfn.XLOOKUP(E977,Emp_Data!$B$2:$B$9,Emp_Data!$A$2:$A$9)</f>
        <v>2</v>
      </c>
    </row>
    <row r="978" spans="1:12">
      <c r="A978" s="99">
        <v>927</v>
      </c>
      <c r="B978" s="101">
        <v>44486</v>
      </c>
      <c r="C978" s="96">
        <v>8</v>
      </c>
      <c r="D978" s="104" t="s">
        <v>36</v>
      </c>
      <c r="E978" s="97" t="s">
        <v>11</v>
      </c>
      <c r="F978" s="97" t="str">
        <f>VLOOKUP(E978,Emp_Data!$B$2:$C$9,2,)</f>
        <v>Steve</v>
      </c>
      <c r="G978" s="97" t="s">
        <v>12</v>
      </c>
      <c r="H978" s="97" t="s">
        <v>41</v>
      </c>
      <c r="I978" s="97">
        <v>199</v>
      </c>
      <c r="J978" s="97">
        <v>8</v>
      </c>
      <c r="K978" s="97">
        <f t="shared" si="15"/>
        <v>1592</v>
      </c>
      <c r="L978" s="97">
        <f>_xlfn.XLOOKUP(E978,Emp_Data!$B$2:$B$9,Emp_Data!$A$2:$A$9)</f>
        <v>4</v>
      </c>
    </row>
    <row r="979" spans="1:12">
      <c r="A979" s="99">
        <v>930</v>
      </c>
      <c r="B979" s="101">
        <v>44486</v>
      </c>
      <c r="C979" s="96">
        <v>10</v>
      </c>
      <c r="D979" s="104" t="s">
        <v>34</v>
      </c>
      <c r="E979" s="97" t="s">
        <v>11</v>
      </c>
      <c r="F979" s="97" t="str">
        <f>VLOOKUP(E979,Emp_Data!$B$2:$C$9,2,)</f>
        <v>Steve</v>
      </c>
      <c r="G979" s="97" t="s">
        <v>12</v>
      </c>
      <c r="H979" s="97" t="s">
        <v>41</v>
      </c>
      <c r="I979" s="97">
        <v>199</v>
      </c>
      <c r="J979" s="97">
        <v>3</v>
      </c>
      <c r="K979" s="97">
        <f t="shared" si="15"/>
        <v>597</v>
      </c>
      <c r="L979" s="97">
        <f>_xlfn.XLOOKUP(E979,Emp_Data!$B$2:$B$9,Emp_Data!$A$2:$A$9)</f>
        <v>4</v>
      </c>
    </row>
    <row r="980" spans="1:12">
      <c r="A980" s="99">
        <v>932</v>
      </c>
      <c r="B980" s="101">
        <v>44488</v>
      </c>
      <c r="C980" s="96">
        <v>5</v>
      </c>
      <c r="D980" s="104" t="s">
        <v>16</v>
      </c>
      <c r="E980" s="97" t="s">
        <v>21</v>
      </c>
      <c r="F980" s="97" t="str">
        <f>VLOOKUP(E980,Emp_Data!$B$2:$C$9,2,)</f>
        <v>Sara</v>
      </c>
      <c r="G980" s="97" t="s">
        <v>15</v>
      </c>
      <c r="H980" s="97" t="s">
        <v>41</v>
      </c>
      <c r="I980" s="97">
        <v>199</v>
      </c>
      <c r="J980" s="97">
        <v>6</v>
      </c>
      <c r="K980" s="97">
        <f t="shared" si="15"/>
        <v>1194</v>
      </c>
      <c r="L980" s="97">
        <f>_xlfn.XLOOKUP(E980,Emp_Data!$B$2:$B$9,Emp_Data!$A$2:$A$9)</f>
        <v>2</v>
      </c>
    </row>
    <row r="981" spans="1:12">
      <c r="A981" s="99">
        <v>940</v>
      </c>
      <c r="B981" s="101">
        <v>44491</v>
      </c>
      <c r="C981" s="96">
        <v>5</v>
      </c>
      <c r="D981" s="104" t="s">
        <v>16</v>
      </c>
      <c r="E981" s="97" t="s">
        <v>14</v>
      </c>
      <c r="F981" s="97" t="str">
        <f>VLOOKUP(E981,Emp_Data!$B$2:$C$9,2,)</f>
        <v>Jeff</v>
      </c>
      <c r="G981" s="97" t="s">
        <v>15</v>
      </c>
      <c r="H981" s="97" t="s">
        <v>41</v>
      </c>
      <c r="I981" s="97">
        <v>199</v>
      </c>
      <c r="J981" s="97">
        <v>5</v>
      </c>
      <c r="K981" s="97">
        <f t="shared" si="15"/>
        <v>995</v>
      </c>
      <c r="L981" s="97">
        <f>_xlfn.XLOOKUP(E981,Emp_Data!$B$2:$B$9,Emp_Data!$A$2:$A$9)</f>
        <v>2</v>
      </c>
    </row>
    <row r="982" spans="1:12">
      <c r="A982" s="99">
        <v>945</v>
      </c>
      <c r="B982" s="101">
        <v>44493</v>
      </c>
      <c r="C982" s="96">
        <v>17</v>
      </c>
      <c r="D982" s="104" t="s">
        <v>32</v>
      </c>
      <c r="E982" s="97" t="s">
        <v>8</v>
      </c>
      <c r="F982" s="97" t="str">
        <f>VLOOKUP(E982,Emp_Data!$B$2:$C$9,2,)</f>
        <v>Jeff</v>
      </c>
      <c r="G982" s="97" t="s">
        <v>9</v>
      </c>
      <c r="H982" s="97" t="s">
        <v>41</v>
      </c>
      <c r="I982" s="97">
        <v>199</v>
      </c>
      <c r="J982" s="97">
        <v>5</v>
      </c>
      <c r="K982" s="97">
        <f t="shared" si="15"/>
        <v>995</v>
      </c>
      <c r="L982" s="97">
        <f>_xlfn.XLOOKUP(E982,Emp_Data!$B$2:$B$9,Emp_Data!$A$2:$A$9)</f>
        <v>3</v>
      </c>
    </row>
    <row r="983" spans="1:12">
      <c r="A983" s="99">
        <v>946</v>
      </c>
      <c r="B983" s="101">
        <v>44494</v>
      </c>
      <c r="C983" s="96">
        <v>1</v>
      </c>
      <c r="D983" s="104" t="s">
        <v>31</v>
      </c>
      <c r="E983" s="97" t="s">
        <v>14</v>
      </c>
      <c r="F983" s="97" t="str">
        <f>VLOOKUP(E983,Emp_Data!$B$2:$C$9,2,)</f>
        <v>Jeff</v>
      </c>
      <c r="G983" s="97" t="s">
        <v>15</v>
      </c>
      <c r="H983" s="97" t="s">
        <v>41</v>
      </c>
      <c r="I983" s="97">
        <v>199</v>
      </c>
      <c r="J983" s="97">
        <v>1</v>
      </c>
      <c r="K983" s="97">
        <f t="shared" si="15"/>
        <v>199</v>
      </c>
      <c r="L983" s="97">
        <f>_xlfn.XLOOKUP(E983,Emp_Data!$B$2:$B$9,Emp_Data!$A$2:$A$9)</f>
        <v>2</v>
      </c>
    </row>
    <row r="984" spans="1:12">
      <c r="A984" s="99">
        <v>948</v>
      </c>
      <c r="B984" s="101">
        <v>44494</v>
      </c>
      <c r="C984" s="96">
        <v>9</v>
      </c>
      <c r="D984" s="104" t="s">
        <v>26</v>
      </c>
      <c r="E984" s="97" t="s">
        <v>11</v>
      </c>
      <c r="F984" s="97" t="str">
        <f>VLOOKUP(E984,Emp_Data!$B$2:$C$9,2,)</f>
        <v>Steve</v>
      </c>
      <c r="G984" s="97" t="s">
        <v>12</v>
      </c>
      <c r="H984" s="97" t="s">
        <v>41</v>
      </c>
      <c r="I984" s="97">
        <v>199</v>
      </c>
      <c r="J984" s="97">
        <v>5</v>
      </c>
      <c r="K984" s="97">
        <f t="shared" si="15"/>
        <v>995</v>
      </c>
      <c r="L984" s="97">
        <f>_xlfn.XLOOKUP(E984,Emp_Data!$B$2:$B$9,Emp_Data!$A$2:$A$9)</f>
        <v>4</v>
      </c>
    </row>
    <row r="985" spans="1:12">
      <c r="A985" s="99">
        <v>951</v>
      </c>
      <c r="B985" s="101">
        <v>44496</v>
      </c>
      <c r="C985" s="96">
        <v>17</v>
      </c>
      <c r="D985" s="104" t="s">
        <v>32</v>
      </c>
      <c r="E985" s="97" t="s">
        <v>8</v>
      </c>
      <c r="F985" s="97" t="str">
        <f>VLOOKUP(E985,Emp_Data!$B$2:$C$9,2,)</f>
        <v>Jeff</v>
      </c>
      <c r="G985" s="97" t="s">
        <v>9</v>
      </c>
      <c r="H985" s="97" t="s">
        <v>41</v>
      </c>
      <c r="I985" s="97">
        <v>199</v>
      </c>
      <c r="J985" s="97">
        <v>1</v>
      </c>
      <c r="K985" s="97">
        <f t="shared" si="15"/>
        <v>199</v>
      </c>
      <c r="L985" s="97">
        <f>_xlfn.XLOOKUP(E985,Emp_Data!$B$2:$B$9,Emp_Data!$A$2:$A$9)</f>
        <v>3</v>
      </c>
    </row>
    <row r="986" spans="1:12">
      <c r="A986" s="99">
        <v>953</v>
      </c>
      <c r="B986" s="101">
        <v>44496</v>
      </c>
      <c r="C986" s="96">
        <v>3</v>
      </c>
      <c r="D986" s="104" t="s">
        <v>20</v>
      </c>
      <c r="E986" s="97" t="s">
        <v>21</v>
      </c>
      <c r="F986" s="97" t="str">
        <f>VLOOKUP(E986,Emp_Data!$B$2:$C$9,2,)</f>
        <v>Sara</v>
      </c>
      <c r="G986" s="97" t="s">
        <v>15</v>
      </c>
      <c r="H986" s="97" t="s">
        <v>41</v>
      </c>
      <c r="I986" s="97">
        <v>199</v>
      </c>
      <c r="J986" s="97">
        <v>1</v>
      </c>
      <c r="K986" s="97">
        <f t="shared" si="15"/>
        <v>199</v>
      </c>
      <c r="L986" s="97">
        <f>_xlfn.XLOOKUP(E986,Emp_Data!$B$2:$B$9,Emp_Data!$A$2:$A$9)</f>
        <v>2</v>
      </c>
    </row>
    <row r="987" spans="1:12">
      <c r="A987" s="99">
        <v>954</v>
      </c>
      <c r="B987" s="101">
        <v>44496</v>
      </c>
      <c r="C987" s="96">
        <v>4</v>
      </c>
      <c r="D987" s="104" t="s">
        <v>13</v>
      </c>
      <c r="E987" s="97" t="s">
        <v>14</v>
      </c>
      <c r="F987" s="97" t="str">
        <f>VLOOKUP(E987,Emp_Data!$B$2:$C$9,2,)</f>
        <v>Jeff</v>
      </c>
      <c r="G987" s="97" t="s">
        <v>15</v>
      </c>
      <c r="H987" s="97" t="s">
        <v>41</v>
      </c>
      <c r="I987" s="97">
        <v>199</v>
      </c>
      <c r="J987" s="97">
        <v>8</v>
      </c>
      <c r="K987" s="97">
        <f t="shared" si="15"/>
        <v>1592</v>
      </c>
      <c r="L987" s="97">
        <f>_xlfn.XLOOKUP(E987,Emp_Data!$B$2:$B$9,Emp_Data!$A$2:$A$9)</f>
        <v>2</v>
      </c>
    </row>
    <row r="988" spans="1:12">
      <c r="A988" s="99">
        <v>955</v>
      </c>
      <c r="B988" s="101">
        <v>44497</v>
      </c>
      <c r="C988" s="96">
        <v>10</v>
      </c>
      <c r="D988" s="104" t="s">
        <v>34</v>
      </c>
      <c r="E988" s="97" t="s">
        <v>27</v>
      </c>
      <c r="F988" s="97" t="str">
        <f>VLOOKUP(E988,Emp_Data!$B$2:$C$9,2,)</f>
        <v>Philip</v>
      </c>
      <c r="G988" s="97" t="s">
        <v>12</v>
      </c>
      <c r="H988" s="97" t="s">
        <v>41</v>
      </c>
      <c r="I988" s="97">
        <v>199</v>
      </c>
      <c r="J988" s="97">
        <v>0</v>
      </c>
      <c r="K988" s="97">
        <f t="shared" si="15"/>
        <v>0</v>
      </c>
      <c r="L988" s="97">
        <f>_xlfn.XLOOKUP(E988,Emp_Data!$B$2:$B$9,Emp_Data!$A$2:$A$9)</f>
        <v>8</v>
      </c>
    </row>
    <row r="989" spans="1:12">
      <c r="A989" s="99">
        <v>965</v>
      </c>
      <c r="B989" s="101">
        <v>44498</v>
      </c>
      <c r="C989" s="96">
        <v>2</v>
      </c>
      <c r="D989" s="104" t="s">
        <v>35</v>
      </c>
      <c r="E989" s="97" t="s">
        <v>21</v>
      </c>
      <c r="F989" s="97" t="str">
        <f>VLOOKUP(E989,Emp_Data!$B$2:$C$9,2,)</f>
        <v>Sara</v>
      </c>
      <c r="G989" s="97" t="s">
        <v>15</v>
      </c>
      <c r="H989" s="97" t="s">
        <v>41</v>
      </c>
      <c r="I989" s="97">
        <v>199</v>
      </c>
      <c r="J989" s="97">
        <v>7</v>
      </c>
      <c r="K989" s="97">
        <f t="shared" si="15"/>
        <v>1393</v>
      </c>
      <c r="L989" s="97">
        <f>_xlfn.XLOOKUP(E989,Emp_Data!$B$2:$B$9,Emp_Data!$A$2:$A$9)</f>
        <v>2</v>
      </c>
    </row>
    <row r="990" spans="1:12">
      <c r="A990" s="99">
        <v>971</v>
      </c>
      <c r="B990" s="101">
        <v>44501</v>
      </c>
      <c r="C990" s="96">
        <v>14</v>
      </c>
      <c r="D990" s="104" t="s">
        <v>33</v>
      </c>
      <c r="E990" s="97" t="s">
        <v>24</v>
      </c>
      <c r="F990" s="97" t="str">
        <f>VLOOKUP(E990,Emp_Data!$B$2:$C$9,2,)</f>
        <v>Steve</v>
      </c>
      <c r="G990" s="97" t="s">
        <v>19</v>
      </c>
      <c r="H990" s="97" t="s">
        <v>41</v>
      </c>
      <c r="I990" s="97">
        <v>199</v>
      </c>
      <c r="J990" s="97">
        <v>0</v>
      </c>
      <c r="K990" s="97">
        <f t="shared" si="15"/>
        <v>0</v>
      </c>
      <c r="L990" s="97">
        <f>_xlfn.XLOOKUP(E990,Emp_Data!$B$2:$B$9,Emp_Data!$A$2:$A$9)</f>
        <v>6</v>
      </c>
    </row>
    <row r="991" spans="1:12">
      <c r="A991" s="99">
        <v>977</v>
      </c>
      <c r="B991" s="101">
        <v>44505</v>
      </c>
      <c r="C991" s="96">
        <v>5</v>
      </c>
      <c r="D991" s="104" t="s">
        <v>16</v>
      </c>
      <c r="E991" s="97" t="s">
        <v>21</v>
      </c>
      <c r="F991" s="97" t="str">
        <f>VLOOKUP(E991,Emp_Data!$B$2:$C$9,2,)</f>
        <v>Sara</v>
      </c>
      <c r="G991" s="97" t="s">
        <v>15</v>
      </c>
      <c r="H991" s="97" t="s">
        <v>41</v>
      </c>
      <c r="I991" s="97">
        <v>199</v>
      </c>
      <c r="J991" s="97">
        <v>9</v>
      </c>
      <c r="K991" s="97">
        <f t="shared" si="15"/>
        <v>1791</v>
      </c>
      <c r="L991" s="97">
        <f>_xlfn.XLOOKUP(E991,Emp_Data!$B$2:$B$9,Emp_Data!$A$2:$A$9)</f>
        <v>2</v>
      </c>
    </row>
    <row r="992" spans="1:12">
      <c r="A992" s="99">
        <v>982</v>
      </c>
      <c r="B992" s="101">
        <v>44508</v>
      </c>
      <c r="C992" s="96">
        <v>8</v>
      </c>
      <c r="D992" s="104" t="s">
        <v>36</v>
      </c>
      <c r="E992" s="97" t="s">
        <v>11</v>
      </c>
      <c r="F992" s="97" t="str">
        <f>VLOOKUP(E992,Emp_Data!$B$2:$C$9,2,)</f>
        <v>Steve</v>
      </c>
      <c r="G992" s="97" t="s">
        <v>12</v>
      </c>
      <c r="H992" s="97" t="s">
        <v>41</v>
      </c>
      <c r="I992" s="97">
        <v>199</v>
      </c>
      <c r="J992" s="97">
        <v>1</v>
      </c>
      <c r="K992" s="97">
        <f t="shared" si="15"/>
        <v>199</v>
      </c>
      <c r="L992" s="97">
        <f>_xlfn.XLOOKUP(E992,Emp_Data!$B$2:$B$9,Emp_Data!$A$2:$A$9)</f>
        <v>4</v>
      </c>
    </row>
    <row r="993" spans="1:12">
      <c r="A993" s="99">
        <v>987</v>
      </c>
      <c r="B993" s="101">
        <v>44509</v>
      </c>
      <c r="C993" s="96">
        <v>8</v>
      </c>
      <c r="D993" s="104" t="s">
        <v>36</v>
      </c>
      <c r="E993" s="97" t="s">
        <v>27</v>
      </c>
      <c r="F993" s="97" t="str">
        <f>VLOOKUP(E993,Emp_Data!$B$2:$C$9,2,)</f>
        <v>Philip</v>
      </c>
      <c r="G993" s="97" t="s">
        <v>12</v>
      </c>
      <c r="H993" s="97" t="s">
        <v>41</v>
      </c>
      <c r="I993" s="97">
        <v>199</v>
      </c>
      <c r="J993" s="97">
        <v>7</v>
      </c>
      <c r="K993" s="97">
        <f t="shared" si="15"/>
        <v>1393</v>
      </c>
      <c r="L993" s="97">
        <f>_xlfn.XLOOKUP(E993,Emp_Data!$B$2:$B$9,Emp_Data!$A$2:$A$9)</f>
        <v>8</v>
      </c>
    </row>
    <row r="994" spans="1:12">
      <c r="A994" s="99">
        <v>988</v>
      </c>
      <c r="B994" s="101">
        <v>44509</v>
      </c>
      <c r="C994" s="96">
        <v>17</v>
      </c>
      <c r="D994" s="104" t="s">
        <v>32</v>
      </c>
      <c r="E994" s="97" t="s">
        <v>25</v>
      </c>
      <c r="F994" s="97" t="str">
        <f>VLOOKUP(E994,Emp_Data!$B$2:$C$9,2,)</f>
        <v>Jeff</v>
      </c>
      <c r="G994" s="97" t="s">
        <v>9</v>
      </c>
      <c r="H994" s="97" t="s">
        <v>41</v>
      </c>
      <c r="I994" s="97">
        <v>199</v>
      </c>
      <c r="J994" s="97">
        <v>2</v>
      </c>
      <c r="K994" s="97">
        <f t="shared" si="15"/>
        <v>398</v>
      </c>
      <c r="L994" s="97">
        <f>_xlfn.XLOOKUP(E994,Emp_Data!$B$2:$B$9,Emp_Data!$A$2:$A$9)</f>
        <v>5</v>
      </c>
    </row>
    <row r="995" spans="1:12">
      <c r="A995" s="99">
        <v>992</v>
      </c>
      <c r="B995" s="101">
        <v>44510</v>
      </c>
      <c r="C995" s="96">
        <v>19</v>
      </c>
      <c r="D995" s="104" t="s">
        <v>22</v>
      </c>
      <c r="E995" s="97" t="s">
        <v>8</v>
      </c>
      <c r="F995" s="97" t="str">
        <f>VLOOKUP(E995,Emp_Data!$B$2:$C$9,2,)</f>
        <v>Jeff</v>
      </c>
      <c r="G995" s="97" t="s">
        <v>9</v>
      </c>
      <c r="H995" s="97" t="s">
        <v>41</v>
      </c>
      <c r="I995" s="97">
        <v>199</v>
      </c>
      <c r="J995" s="97">
        <v>8</v>
      </c>
      <c r="K995" s="97">
        <f t="shared" si="15"/>
        <v>1592</v>
      </c>
      <c r="L995" s="97">
        <f>_xlfn.XLOOKUP(E995,Emp_Data!$B$2:$B$9,Emp_Data!$A$2:$A$9)</f>
        <v>3</v>
      </c>
    </row>
    <row r="996" spans="1:12">
      <c r="A996" s="99">
        <v>996</v>
      </c>
      <c r="B996" s="101">
        <v>44511</v>
      </c>
      <c r="C996" s="96">
        <v>7</v>
      </c>
      <c r="D996" s="104" t="s">
        <v>28</v>
      </c>
      <c r="E996" s="97" t="s">
        <v>27</v>
      </c>
      <c r="F996" s="97" t="str">
        <f>VLOOKUP(E996,Emp_Data!$B$2:$C$9,2,)</f>
        <v>Philip</v>
      </c>
      <c r="G996" s="97" t="s">
        <v>12</v>
      </c>
      <c r="H996" s="97" t="s">
        <v>41</v>
      </c>
      <c r="I996" s="97">
        <v>199</v>
      </c>
      <c r="J996" s="97">
        <v>0</v>
      </c>
      <c r="K996" s="97">
        <f t="shared" si="15"/>
        <v>0</v>
      </c>
      <c r="L996" s="97">
        <f>_xlfn.XLOOKUP(E996,Emp_Data!$B$2:$B$9,Emp_Data!$A$2:$A$9)</f>
        <v>8</v>
      </c>
    </row>
    <row r="997" spans="1:12">
      <c r="A997" s="99">
        <v>997</v>
      </c>
      <c r="B997" s="101">
        <v>44511</v>
      </c>
      <c r="C997" s="96">
        <v>13</v>
      </c>
      <c r="D997" s="104" t="s">
        <v>23</v>
      </c>
      <c r="E997" s="97" t="s">
        <v>24</v>
      </c>
      <c r="F997" s="97" t="str">
        <f>VLOOKUP(E997,Emp_Data!$B$2:$C$9,2,)</f>
        <v>Steve</v>
      </c>
      <c r="G997" s="97" t="s">
        <v>19</v>
      </c>
      <c r="H997" s="97" t="s">
        <v>41</v>
      </c>
      <c r="I997" s="97">
        <v>199</v>
      </c>
      <c r="J997" s="97">
        <v>9</v>
      </c>
      <c r="K997" s="97">
        <f t="shared" si="15"/>
        <v>1791</v>
      </c>
      <c r="L997" s="97">
        <f>_xlfn.XLOOKUP(E997,Emp_Data!$B$2:$B$9,Emp_Data!$A$2:$A$9)</f>
        <v>6</v>
      </c>
    </row>
    <row r="998" spans="1:12">
      <c r="A998" s="99">
        <v>998</v>
      </c>
      <c r="B998" s="101">
        <v>44512</v>
      </c>
      <c r="C998" s="96">
        <v>14</v>
      </c>
      <c r="D998" s="104" t="s">
        <v>33</v>
      </c>
      <c r="E998" s="97" t="s">
        <v>24</v>
      </c>
      <c r="F998" s="97" t="str">
        <f>VLOOKUP(E998,Emp_Data!$B$2:$C$9,2,)</f>
        <v>Steve</v>
      </c>
      <c r="G998" s="97" t="s">
        <v>19</v>
      </c>
      <c r="H998" s="97" t="s">
        <v>41</v>
      </c>
      <c r="I998" s="97">
        <v>199</v>
      </c>
      <c r="J998" s="97">
        <v>5</v>
      </c>
      <c r="K998" s="97">
        <f t="shared" si="15"/>
        <v>995</v>
      </c>
      <c r="L998" s="97">
        <f>_xlfn.XLOOKUP(E998,Emp_Data!$B$2:$B$9,Emp_Data!$A$2:$A$9)</f>
        <v>6</v>
      </c>
    </row>
    <row r="999" spans="1:12">
      <c r="A999" s="99">
        <v>999</v>
      </c>
      <c r="B999" s="101">
        <v>44513</v>
      </c>
      <c r="C999" s="96">
        <v>2</v>
      </c>
      <c r="D999" s="104" t="s">
        <v>35</v>
      </c>
      <c r="E999" s="97" t="s">
        <v>14</v>
      </c>
      <c r="F999" s="97" t="str">
        <f>VLOOKUP(E999,Emp_Data!$B$2:$C$9,2,)</f>
        <v>Jeff</v>
      </c>
      <c r="G999" s="97" t="s">
        <v>15</v>
      </c>
      <c r="H999" s="97" t="s">
        <v>41</v>
      </c>
      <c r="I999" s="97">
        <v>199</v>
      </c>
      <c r="J999" s="97">
        <v>3</v>
      </c>
      <c r="K999" s="97">
        <f t="shared" si="15"/>
        <v>597</v>
      </c>
      <c r="L999" s="97">
        <f>_xlfn.XLOOKUP(E999,Emp_Data!$B$2:$B$9,Emp_Data!$A$2:$A$9)</f>
        <v>2</v>
      </c>
    </row>
    <row r="1000" spans="1:12">
      <c r="A1000" s="99">
        <v>1000</v>
      </c>
      <c r="B1000" s="101">
        <v>44514</v>
      </c>
      <c r="C1000" s="96">
        <v>1</v>
      </c>
      <c r="D1000" s="104" t="s">
        <v>31</v>
      </c>
      <c r="E1000" s="97" t="s">
        <v>21</v>
      </c>
      <c r="F1000" s="97" t="str">
        <f>VLOOKUP(E1000,Emp_Data!$B$2:$C$9,2,)</f>
        <v>Sara</v>
      </c>
      <c r="G1000" s="97" t="s">
        <v>15</v>
      </c>
      <c r="H1000" s="97" t="s">
        <v>41</v>
      </c>
      <c r="I1000" s="97">
        <v>199</v>
      </c>
      <c r="J1000" s="97">
        <v>7</v>
      </c>
      <c r="K1000" s="97">
        <f t="shared" si="15"/>
        <v>1393</v>
      </c>
      <c r="L1000" s="97">
        <f>_xlfn.XLOOKUP(E1000,Emp_Data!$B$2:$B$9,Emp_Data!$A$2:$A$9)</f>
        <v>2</v>
      </c>
    </row>
    <row r="1001" spans="1:12">
      <c r="A1001" s="99">
        <v>1002</v>
      </c>
      <c r="B1001" s="101">
        <v>44515</v>
      </c>
      <c r="C1001" s="96">
        <v>2</v>
      </c>
      <c r="D1001" s="104" t="s">
        <v>35</v>
      </c>
      <c r="E1001" s="97" t="s">
        <v>21</v>
      </c>
      <c r="F1001" s="97" t="str">
        <f>VLOOKUP(E1001,Emp_Data!$B$2:$C$9,2,)</f>
        <v>Sara</v>
      </c>
      <c r="G1001" s="97" t="s">
        <v>15</v>
      </c>
      <c r="H1001" s="97" t="s">
        <v>41</v>
      </c>
      <c r="I1001" s="97">
        <v>199</v>
      </c>
      <c r="J1001" s="97">
        <v>2</v>
      </c>
      <c r="K1001" s="97">
        <f t="shared" si="15"/>
        <v>398</v>
      </c>
      <c r="L1001" s="97">
        <f>_xlfn.XLOOKUP(E1001,Emp_Data!$B$2:$B$9,Emp_Data!$A$2:$A$9)</f>
        <v>2</v>
      </c>
    </row>
    <row r="1002" spans="1:12">
      <c r="A1002" s="99">
        <v>1004</v>
      </c>
      <c r="B1002" s="101">
        <v>44515</v>
      </c>
      <c r="C1002" s="96">
        <v>17</v>
      </c>
      <c r="D1002" s="104" t="s">
        <v>32</v>
      </c>
      <c r="E1002" s="97" t="s">
        <v>25</v>
      </c>
      <c r="F1002" s="97" t="str">
        <f>VLOOKUP(E1002,Emp_Data!$B$2:$C$9,2,)</f>
        <v>Jeff</v>
      </c>
      <c r="G1002" s="97" t="s">
        <v>9</v>
      </c>
      <c r="H1002" s="97" t="s">
        <v>41</v>
      </c>
      <c r="I1002" s="97">
        <v>199</v>
      </c>
      <c r="J1002" s="97">
        <v>9</v>
      </c>
      <c r="K1002" s="97">
        <f t="shared" si="15"/>
        <v>1791</v>
      </c>
      <c r="L1002" s="97">
        <f>_xlfn.XLOOKUP(E1002,Emp_Data!$B$2:$B$9,Emp_Data!$A$2:$A$9)</f>
        <v>5</v>
      </c>
    </row>
    <row r="1003" spans="1:12">
      <c r="A1003" s="99">
        <v>1005</v>
      </c>
      <c r="B1003" s="101">
        <v>44515</v>
      </c>
      <c r="C1003" s="96">
        <v>10</v>
      </c>
      <c r="D1003" s="104" t="s">
        <v>34</v>
      </c>
      <c r="E1003" s="97" t="s">
        <v>27</v>
      </c>
      <c r="F1003" s="97" t="str">
        <f>VLOOKUP(E1003,Emp_Data!$B$2:$C$9,2,)</f>
        <v>Philip</v>
      </c>
      <c r="G1003" s="97" t="s">
        <v>12</v>
      </c>
      <c r="H1003" s="97" t="s">
        <v>41</v>
      </c>
      <c r="I1003" s="97">
        <v>199</v>
      </c>
      <c r="J1003" s="97">
        <v>1</v>
      </c>
      <c r="K1003" s="97">
        <f t="shared" si="15"/>
        <v>199</v>
      </c>
      <c r="L1003" s="97">
        <f>_xlfn.XLOOKUP(E1003,Emp_Data!$B$2:$B$9,Emp_Data!$A$2:$A$9)</f>
        <v>8</v>
      </c>
    </row>
    <row r="1004" spans="1:12">
      <c r="A1004" s="99">
        <v>1007</v>
      </c>
      <c r="B1004" s="101">
        <v>44515</v>
      </c>
      <c r="C1004" s="96">
        <v>6</v>
      </c>
      <c r="D1004" s="104" t="s">
        <v>10</v>
      </c>
      <c r="E1004" s="97" t="s">
        <v>27</v>
      </c>
      <c r="F1004" s="97" t="str">
        <f>VLOOKUP(E1004,Emp_Data!$B$2:$C$9,2,)</f>
        <v>Philip</v>
      </c>
      <c r="G1004" s="97" t="s">
        <v>12</v>
      </c>
      <c r="H1004" s="97" t="s">
        <v>41</v>
      </c>
      <c r="I1004" s="97">
        <v>199</v>
      </c>
      <c r="J1004" s="97">
        <v>7</v>
      </c>
      <c r="K1004" s="97">
        <f t="shared" si="15"/>
        <v>1393</v>
      </c>
      <c r="L1004" s="97">
        <f>_xlfn.XLOOKUP(E1004,Emp_Data!$B$2:$B$9,Emp_Data!$A$2:$A$9)</f>
        <v>8</v>
      </c>
    </row>
    <row r="1005" spans="1:12">
      <c r="A1005" s="99">
        <v>1010</v>
      </c>
      <c r="B1005" s="101">
        <v>44517</v>
      </c>
      <c r="C1005" s="96">
        <v>1</v>
      </c>
      <c r="D1005" s="104" t="s">
        <v>31</v>
      </c>
      <c r="E1005" s="97" t="s">
        <v>14</v>
      </c>
      <c r="F1005" s="97" t="str">
        <f>VLOOKUP(E1005,Emp_Data!$B$2:$C$9,2,)</f>
        <v>Jeff</v>
      </c>
      <c r="G1005" s="97" t="s">
        <v>15</v>
      </c>
      <c r="H1005" s="97" t="s">
        <v>41</v>
      </c>
      <c r="I1005" s="97">
        <v>199</v>
      </c>
      <c r="J1005" s="97">
        <v>2</v>
      </c>
      <c r="K1005" s="97">
        <f t="shared" si="15"/>
        <v>398</v>
      </c>
      <c r="L1005" s="97">
        <f>_xlfn.XLOOKUP(E1005,Emp_Data!$B$2:$B$9,Emp_Data!$A$2:$A$9)</f>
        <v>2</v>
      </c>
    </row>
    <row r="1006" spans="1:12">
      <c r="A1006" s="99">
        <v>1014</v>
      </c>
      <c r="B1006" s="101">
        <v>44518</v>
      </c>
      <c r="C1006" s="96">
        <v>2</v>
      </c>
      <c r="D1006" s="104" t="s">
        <v>35</v>
      </c>
      <c r="E1006" s="97" t="s">
        <v>21</v>
      </c>
      <c r="F1006" s="97" t="str">
        <f>VLOOKUP(E1006,Emp_Data!$B$2:$C$9,2,)</f>
        <v>Sara</v>
      </c>
      <c r="G1006" s="97" t="s">
        <v>15</v>
      </c>
      <c r="H1006" s="97" t="s">
        <v>41</v>
      </c>
      <c r="I1006" s="97">
        <v>199</v>
      </c>
      <c r="J1006" s="97">
        <v>6</v>
      </c>
      <c r="K1006" s="97">
        <f t="shared" si="15"/>
        <v>1194</v>
      </c>
      <c r="L1006" s="97">
        <f>_xlfn.XLOOKUP(E1006,Emp_Data!$B$2:$B$9,Emp_Data!$A$2:$A$9)</f>
        <v>2</v>
      </c>
    </row>
    <row r="1007" spans="1:12">
      <c r="A1007" s="99">
        <v>1017</v>
      </c>
      <c r="B1007" s="101">
        <v>44519</v>
      </c>
      <c r="C1007" s="96">
        <v>12</v>
      </c>
      <c r="D1007" s="104" t="s">
        <v>17</v>
      </c>
      <c r="E1007" s="97" t="s">
        <v>18</v>
      </c>
      <c r="F1007" s="97" t="str">
        <f>VLOOKUP(E1007,Emp_Data!$B$2:$C$9,2,)</f>
        <v>Sara</v>
      </c>
      <c r="G1007" s="97" t="s">
        <v>19</v>
      </c>
      <c r="H1007" s="97" t="s">
        <v>41</v>
      </c>
      <c r="I1007" s="97">
        <v>199</v>
      </c>
      <c r="J1007" s="97">
        <v>4</v>
      </c>
      <c r="K1007" s="97">
        <f t="shared" si="15"/>
        <v>796</v>
      </c>
      <c r="L1007" s="97">
        <f>_xlfn.XLOOKUP(E1007,Emp_Data!$B$2:$B$9,Emp_Data!$A$2:$A$9)</f>
        <v>5</v>
      </c>
    </row>
    <row r="1008" spans="1:12">
      <c r="A1008" s="99">
        <v>1025</v>
      </c>
      <c r="B1008" s="101">
        <v>44522</v>
      </c>
      <c r="C1008" s="96">
        <v>2</v>
      </c>
      <c r="D1008" s="104" t="s">
        <v>35</v>
      </c>
      <c r="E1008" s="97" t="s">
        <v>21</v>
      </c>
      <c r="F1008" s="97" t="str">
        <f>VLOOKUP(E1008,Emp_Data!$B$2:$C$9,2,)</f>
        <v>Sara</v>
      </c>
      <c r="G1008" s="97" t="s">
        <v>15</v>
      </c>
      <c r="H1008" s="97" t="s">
        <v>41</v>
      </c>
      <c r="I1008" s="97">
        <v>199</v>
      </c>
      <c r="J1008" s="97">
        <v>9</v>
      </c>
      <c r="K1008" s="97">
        <f t="shared" si="15"/>
        <v>1791</v>
      </c>
      <c r="L1008" s="97">
        <f>_xlfn.XLOOKUP(E1008,Emp_Data!$B$2:$B$9,Emp_Data!$A$2:$A$9)</f>
        <v>2</v>
      </c>
    </row>
    <row r="1009" spans="1:12">
      <c r="A1009" s="99">
        <v>1032</v>
      </c>
      <c r="B1009" s="101">
        <v>44522</v>
      </c>
      <c r="C1009" s="96">
        <v>13</v>
      </c>
      <c r="D1009" s="104" t="s">
        <v>23</v>
      </c>
      <c r="E1009" s="97" t="s">
        <v>18</v>
      </c>
      <c r="F1009" s="97" t="str">
        <f>VLOOKUP(E1009,Emp_Data!$B$2:$C$9,2,)</f>
        <v>Sara</v>
      </c>
      <c r="G1009" s="97" t="s">
        <v>19</v>
      </c>
      <c r="H1009" s="97" t="s">
        <v>41</v>
      </c>
      <c r="I1009" s="97">
        <v>199</v>
      </c>
      <c r="J1009" s="97">
        <v>7</v>
      </c>
      <c r="K1009" s="97">
        <f t="shared" si="15"/>
        <v>1393</v>
      </c>
      <c r="L1009" s="97">
        <f>_xlfn.XLOOKUP(E1009,Emp_Data!$B$2:$B$9,Emp_Data!$A$2:$A$9)</f>
        <v>5</v>
      </c>
    </row>
    <row r="1010" spans="1:12">
      <c r="A1010" s="99">
        <v>1038</v>
      </c>
      <c r="B1010" s="101">
        <v>44523</v>
      </c>
      <c r="C1010" s="96">
        <v>17</v>
      </c>
      <c r="D1010" s="104" t="s">
        <v>32</v>
      </c>
      <c r="E1010" s="97" t="s">
        <v>8</v>
      </c>
      <c r="F1010" s="97" t="str">
        <f>VLOOKUP(E1010,Emp_Data!$B$2:$C$9,2,)</f>
        <v>Jeff</v>
      </c>
      <c r="G1010" s="97" t="s">
        <v>9</v>
      </c>
      <c r="H1010" s="97" t="s">
        <v>41</v>
      </c>
      <c r="I1010" s="97">
        <v>199</v>
      </c>
      <c r="J1010" s="97">
        <v>3</v>
      </c>
      <c r="K1010" s="97">
        <f t="shared" si="15"/>
        <v>597</v>
      </c>
      <c r="L1010" s="97">
        <f>_xlfn.XLOOKUP(E1010,Emp_Data!$B$2:$B$9,Emp_Data!$A$2:$A$9)</f>
        <v>3</v>
      </c>
    </row>
    <row r="1011" spans="1:12">
      <c r="A1011" s="99">
        <v>1040</v>
      </c>
      <c r="B1011" s="101">
        <v>44524</v>
      </c>
      <c r="C1011" s="96">
        <v>7</v>
      </c>
      <c r="D1011" s="104" t="s">
        <v>28</v>
      </c>
      <c r="E1011" s="97" t="s">
        <v>11</v>
      </c>
      <c r="F1011" s="97" t="str">
        <f>VLOOKUP(E1011,Emp_Data!$B$2:$C$9,2,)</f>
        <v>Steve</v>
      </c>
      <c r="G1011" s="97" t="s">
        <v>12</v>
      </c>
      <c r="H1011" s="97" t="s">
        <v>41</v>
      </c>
      <c r="I1011" s="97">
        <v>199</v>
      </c>
      <c r="J1011" s="97">
        <v>5</v>
      </c>
      <c r="K1011" s="97">
        <f t="shared" si="15"/>
        <v>995</v>
      </c>
      <c r="L1011" s="97">
        <f>_xlfn.XLOOKUP(E1011,Emp_Data!$B$2:$B$9,Emp_Data!$A$2:$A$9)</f>
        <v>4</v>
      </c>
    </row>
    <row r="1012" spans="1:12">
      <c r="A1012" s="99">
        <v>1057</v>
      </c>
      <c r="B1012" s="101">
        <v>44529</v>
      </c>
      <c r="C1012" s="96">
        <v>8</v>
      </c>
      <c r="D1012" s="104" t="s">
        <v>36</v>
      </c>
      <c r="E1012" s="97" t="s">
        <v>11</v>
      </c>
      <c r="F1012" s="97" t="str">
        <f>VLOOKUP(E1012,Emp_Data!$B$2:$C$9,2,)</f>
        <v>Steve</v>
      </c>
      <c r="G1012" s="97" t="s">
        <v>12</v>
      </c>
      <c r="H1012" s="97" t="s">
        <v>41</v>
      </c>
      <c r="I1012" s="97">
        <v>199</v>
      </c>
      <c r="J1012" s="97">
        <v>3</v>
      </c>
      <c r="K1012" s="97">
        <f t="shared" si="15"/>
        <v>597</v>
      </c>
      <c r="L1012" s="97">
        <f>_xlfn.XLOOKUP(E1012,Emp_Data!$B$2:$B$9,Emp_Data!$A$2:$A$9)</f>
        <v>4</v>
      </c>
    </row>
    <row r="1013" spans="1:12">
      <c r="A1013" s="99">
        <v>1069</v>
      </c>
      <c r="B1013" s="101">
        <v>44536</v>
      </c>
      <c r="C1013" s="96">
        <v>4</v>
      </c>
      <c r="D1013" s="104" t="s">
        <v>13</v>
      </c>
      <c r="E1013" s="97" t="s">
        <v>14</v>
      </c>
      <c r="F1013" s="97" t="str">
        <f>VLOOKUP(E1013,Emp_Data!$B$2:$C$9,2,)</f>
        <v>Jeff</v>
      </c>
      <c r="G1013" s="97" t="s">
        <v>15</v>
      </c>
      <c r="H1013" s="97" t="s">
        <v>41</v>
      </c>
      <c r="I1013" s="97">
        <v>199</v>
      </c>
      <c r="J1013" s="97">
        <v>2</v>
      </c>
      <c r="K1013" s="97">
        <f t="shared" si="15"/>
        <v>398</v>
      </c>
      <c r="L1013" s="97">
        <f>_xlfn.XLOOKUP(E1013,Emp_Data!$B$2:$B$9,Emp_Data!$A$2:$A$9)</f>
        <v>2</v>
      </c>
    </row>
    <row r="1014" spans="1:12">
      <c r="A1014" s="99">
        <v>1070</v>
      </c>
      <c r="B1014" s="101">
        <v>44536</v>
      </c>
      <c r="C1014" s="96">
        <v>14</v>
      </c>
      <c r="D1014" s="104" t="s">
        <v>33</v>
      </c>
      <c r="E1014" s="97" t="s">
        <v>18</v>
      </c>
      <c r="F1014" s="97" t="str">
        <f>VLOOKUP(E1014,Emp_Data!$B$2:$C$9,2,)</f>
        <v>Sara</v>
      </c>
      <c r="G1014" s="97" t="s">
        <v>19</v>
      </c>
      <c r="H1014" s="97" t="s">
        <v>41</v>
      </c>
      <c r="I1014" s="97">
        <v>199</v>
      </c>
      <c r="J1014" s="97">
        <v>3</v>
      </c>
      <c r="K1014" s="97">
        <f t="shared" si="15"/>
        <v>597</v>
      </c>
      <c r="L1014" s="97">
        <f>_xlfn.XLOOKUP(E1014,Emp_Data!$B$2:$B$9,Emp_Data!$A$2:$A$9)</f>
        <v>5</v>
      </c>
    </row>
    <row r="1015" spans="1:12">
      <c r="A1015" s="99">
        <v>1071</v>
      </c>
      <c r="B1015" s="101">
        <v>44536</v>
      </c>
      <c r="C1015" s="96">
        <v>4</v>
      </c>
      <c r="D1015" s="104" t="s">
        <v>13</v>
      </c>
      <c r="E1015" s="97" t="s">
        <v>14</v>
      </c>
      <c r="F1015" s="97" t="str">
        <f>VLOOKUP(E1015,Emp_Data!$B$2:$C$9,2,)</f>
        <v>Jeff</v>
      </c>
      <c r="G1015" s="97" t="s">
        <v>15</v>
      </c>
      <c r="H1015" s="97" t="s">
        <v>41</v>
      </c>
      <c r="I1015" s="97">
        <v>199</v>
      </c>
      <c r="J1015" s="97">
        <v>5</v>
      </c>
      <c r="K1015" s="97">
        <f t="shared" si="15"/>
        <v>995</v>
      </c>
      <c r="L1015" s="97">
        <f>_xlfn.XLOOKUP(E1015,Emp_Data!$B$2:$B$9,Emp_Data!$A$2:$A$9)</f>
        <v>2</v>
      </c>
    </row>
    <row r="1016" spans="1:12">
      <c r="A1016" s="99">
        <v>1084</v>
      </c>
      <c r="B1016" s="101">
        <v>44543</v>
      </c>
      <c r="C1016" s="96">
        <v>2</v>
      </c>
      <c r="D1016" s="104" t="s">
        <v>35</v>
      </c>
      <c r="E1016" s="97" t="s">
        <v>14</v>
      </c>
      <c r="F1016" s="97" t="str">
        <f>VLOOKUP(E1016,Emp_Data!$B$2:$C$9,2,)</f>
        <v>Jeff</v>
      </c>
      <c r="G1016" s="97" t="s">
        <v>15</v>
      </c>
      <c r="H1016" s="97" t="s">
        <v>41</v>
      </c>
      <c r="I1016" s="97">
        <v>199</v>
      </c>
      <c r="J1016" s="97">
        <v>4</v>
      </c>
      <c r="K1016" s="97">
        <f t="shared" si="15"/>
        <v>796</v>
      </c>
      <c r="L1016" s="97">
        <f>_xlfn.XLOOKUP(E1016,Emp_Data!$B$2:$B$9,Emp_Data!$A$2:$A$9)</f>
        <v>2</v>
      </c>
    </row>
    <row r="1017" spans="1:12">
      <c r="A1017" s="99">
        <v>1085</v>
      </c>
      <c r="B1017" s="101">
        <v>44543</v>
      </c>
      <c r="C1017" s="96">
        <v>5</v>
      </c>
      <c r="D1017" s="104" t="s">
        <v>16</v>
      </c>
      <c r="E1017" s="97" t="s">
        <v>21</v>
      </c>
      <c r="F1017" s="97" t="str">
        <f>VLOOKUP(E1017,Emp_Data!$B$2:$C$9,2,)</f>
        <v>Sara</v>
      </c>
      <c r="G1017" s="97" t="s">
        <v>15</v>
      </c>
      <c r="H1017" s="97" t="s">
        <v>41</v>
      </c>
      <c r="I1017" s="97">
        <v>199</v>
      </c>
      <c r="J1017" s="97">
        <v>9</v>
      </c>
      <c r="K1017" s="97">
        <f t="shared" si="15"/>
        <v>1791</v>
      </c>
      <c r="L1017" s="97">
        <f>_xlfn.XLOOKUP(E1017,Emp_Data!$B$2:$B$9,Emp_Data!$A$2:$A$9)</f>
        <v>2</v>
      </c>
    </row>
    <row r="1018" spans="1:12">
      <c r="A1018" s="99">
        <v>1098</v>
      </c>
      <c r="B1018" s="101">
        <v>44548</v>
      </c>
      <c r="C1018" s="96">
        <v>10</v>
      </c>
      <c r="D1018" s="104" t="s">
        <v>34</v>
      </c>
      <c r="E1018" s="97" t="s">
        <v>27</v>
      </c>
      <c r="F1018" s="97" t="str">
        <f>VLOOKUP(E1018,Emp_Data!$B$2:$C$9,2,)</f>
        <v>Philip</v>
      </c>
      <c r="G1018" s="97" t="s">
        <v>12</v>
      </c>
      <c r="H1018" s="97" t="s">
        <v>41</v>
      </c>
      <c r="I1018" s="97">
        <v>199</v>
      </c>
      <c r="J1018" s="97">
        <v>3</v>
      </c>
      <c r="K1018" s="97">
        <f t="shared" si="15"/>
        <v>597</v>
      </c>
      <c r="L1018" s="97">
        <f>_xlfn.XLOOKUP(E1018,Emp_Data!$B$2:$B$9,Emp_Data!$A$2:$A$9)</f>
        <v>8</v>
      </c>
    </row>
    <row r="1019" spans="1:12">
      <c r="A1019" s="99">
        <v>1104</v>
      </c>
      <c r="B1019" s="101">
        <v>44548</v>
      </c>
      <c r="C1019" s="96">
        <v>12</v>
      </c>
      <c r="D1019" s="104" t="s">
        <v>17</v>
      </c>
      <c r="E1019" s="97" t="s">
        <v>24</v>
      </c>
      <c r="F1019" s="97" t="str">
        <f>VLOOKUP(E1019,Emp_Data!$B$2:$C$9,2,)</f>
        <v>Steve</v>
      </c>
      <c r="G1019" s="97" t="s">
        <v>19</v>
      </c>
      <c r="H1019" s="97" t="s">
        <v>41</v>
      </c>
      <c r="I1019" s="97">
        <v>199</v>
      </c>
      <c r="J1019" s="97">
        <v>2</v>
      </c>
      <c r="K1019" s="97">
        <f t="shared" si="15"/>
        <v>398</v>
      </c>
      <c r="L1019" s="97">
        <f>_xlfn.XLOOKUP(E1019,Emp_Data!$B$2:$B$9,Emp_Data!$A$2:$A$9)</f>
        <v>6</v>
      </c>
    </row>
    <row r="1020" spans="1:12">
      <c r="A1020" s="99">
        <v>1107</v>
      </c>
      <c r="B1020" s="101">
        <v>44548</v>
      </c>
      <c r="C1020" s="96">
        <v>7</v>
      </c>
      <c r="D1020" s="104" t="s">
        <v>28</v>
      </c>
      <c r="E1020" s="97" t="s">
        <v>11</v>
      </c>
      <c r="F1020" s="97" t="str">
        <f>VLOOKUP(E1020,Emp_Data!$B$2:$C$9,2,)</f>
        <v>Steve</v>
      </c>
      <c r="G1020" s="97" t="s">
        <v>12</v>
      </c>
      <c r="H1020" s="97" t="s">
        <v>41</v>
      </c>
      <c r="I1020" s="97">
        <v>199</v>
      </c>
      <c r="J1020" s="97">
        <v>9</v>
      </c>
      <c r="K1020" s="97">
        <f t="shared" si="15"/>
        <v>1791</v>
      </c>
      <c r="L1020" s="97">
        <f>_xlfn.XLOOKUP(E1020,Emp_Data!$B$2:$B$9,Emp_Data!$A$2:$A$9)</f>
        <v>4</v>
      </c>
    </row>
    <row r="1021" spans="1:12">
      <c r="A1021" s="99">
        <v>1115</v>
      </c>
      <c r="B1021" s="101">
        <v>44550</v>
      </c>
      <c r="C1021" s="96">
        <v>20</v>
      </c>
      <c r="D1021" s="104" t="s">
        <v>7</v>
      </c>
      <c r="E1021" s="97" t="s">
        <v>8</v>
      </c>
      <c r="F1021" s="97" t="str">
        <f>VLOOKUP(E1021,Emp_Data!$B$2:$C$9,2,)</f>
        <v>Jeff</v>
      </c>
      <c r="G1021" s="97" t="s">
        <v>9</v>
      </c>
      <c r="H1021" s="97" t="s">
        <v>41</v>
      </c>
      <c r="I1021" s="97">
        <v>199</v>
      </c>
      <c r="J1021" s="97">
        <v>1</v>
      </c>
      <c r="K1021" s="97">
        <f t="shared" si="15"/>
        <v>199</v>
      </c>
      <c r="L1021" s="97">
        <f>_xlfn.XLOOKUP(E1021,Emp_Data!$B$2:$B$9,Emp_Data!$A$2:$A$9)</f>
        <v>3</v>
      </c>
    </row>
    <row r="1022" spans="1:12">
      <c r="A1022" s="99">
        <v>1119</v>
      </c>
      <c r="B1022" s="101">
        <v>44550</v>
      </c>
      <c r="C1022" s="96">
        <v>10</v>
      </c>
      <c r="D1022" s="104" t="s">
        <v>34</v>
      </c>
      <c r="E1022" s="97" t="s">
        <v>27</v>
      </c>
      <c r="F1022" s="97" t="str">
        <f>VLOOKUP(E1022,Emp_Data!$B$2:$C$9,2,)</f>
        <v>Philip</v>
      </c>
      <c r="G1022" s="97" t="s">
        <v>12</v>
      </c>
      <c r="H1022" s="97" t="s">
        <v>41</v>
      </c>
      <c r="I1022" s="97">
        <v>199</v>
      </c>
      <c r="J1022" s="97">
        <v>6</v>
      </c>
      <c r="K1022" s="97">
        <f t="shared" si="15"/>
        <v>1194</v>
      </c>
      <c r="L1022" s="97">
        <f>_xlfn.XLOOKUP(E1022,Emp_Data!$B$2:$B$9,Emp_Data!$A$2:$A$9)</f>
        <v>8</v>
      </c>
    </row>
    <row r="1023" spans="1:12">
      <c r="A1023" s="99">
        <v>1127</v>
      </c>
      <c r="B1023" s="101">
        <v>44553</v>
      </c>
      <c r="C1023" s="96">
        <v>17</v>
      </c>
      <c r="D1023" s="104" t="s">
        <v>32</v>
      </c>
      <c r="E1023" s="97" t="s">
        <v>8</v>
      </c>
      <c r="F1023" s="97" t="str">
        <f>VLOOKUP(E1023,Emp_Data!$B$2:$C$9,2,)</f>
        <v>Jeff</v>
      </c>
      <c r="G1023" s="97" t="s">
        <v>9</v>
      </c>
      <c r="H1023" s="97" t="s">
        <v>41</v>
      </c>
      <c r="I1023" s="97">
        <v>199</v>
      </c>
      <c r="J1023" s="97">
        <v>9</v>
      </c>
      <c r="K1023" s="97">
        <f t="shared" si="15"/>
        <v>1791</v>
      </c>
      <c r="L1023" s="97">
        <f>_xlfn.XLOOKUP(E1023,Emp_Data!$B$2:$B$9,Emp_Data!$A$2:$A$9)</f>
        <v>3</v>
      </c>
    </row>
    <row r="1024" spans="1:12">
      <c r="A1024" s="99">
        <v>1130</v>
      </c>
      <c r="B1024" s="101">
        <v>44555</v>
      </c>
      <c r="C1024" s="96">
        <v>18</v>
      </c>
      <c r="D1024" s="104" t="s">
        <v>30</v>
      </c>
      <c r="E1024" s="97" t="s">
        <v>8</v>
      </c>
      <c r="F1024" s="97" t="str">
        <f>VLOOKUP(E1024,Emp_Data!$B$2:$C$9,2,)</f>
        <v>Jeff</v>
      </c>
      <c r="G1024" s="97" t="s">
        <v>9</v>
      </c>
      <c r="H1024" s="97" t="s">
        <v>41</v>
      </c>
      <c r="I1024" s="97">
        <v>199</v>
      </c>
      <c r="J1024" s="97">
        <v>8</v>
      </c>
      <c r="K1024" s="97">
        <f t="shared" si="15"/>
        <v>1592</v>
      </c>
      <c r="L1024" s="97">
        <f>_xlfn.XLOOKUP(E1024,Emp_Data!$B$2:$B$9,Emp_Data!$A$2:$A$9)</f>
        <v>3</v>
      </c>
    </row>
    <row r="1025" spans="1:12">
      <c r="A1025" s="99">
        <v>1132</v>
      </c>
      <c r="B1025" s="101">
        <v>44555</v>
      </c>
      <c r="C1025" s="96">
        <v>17</v>
      </c>
      <c r="D1025" s="104" t="s">
        <v>32</v>
      </c>
      <c r="E1025" s="97" t="s">
        <v>25</v>
      </c>
      <c r="F1025" s="97" t="str">
        <f>VLOOKUP(E1025,Emp_Data!$B$2:$C$9,2,)</f>
        <v>Jeff</v>
      </c>
      <c r="G1025" s="97" t="s">
        <v>9</v>
      </c>
      <c r="H1025" s="97" t="s">
        <v>41</v>
      </c>
      <c r="I1025" s="97">
        <v>199</v>
      </c>
      <c r="J1025" s="97">
        <v>3</v>
      </c>
      <c r="K1025" s="97">
        <f t="shared" si="15"/>
        <v>597</v>
      </c>
      <c r="L1025" s="97">
        <f>_xlfn.XLOOKUP(E1025,Emp_Data!$B$2:$B$9,Emp_Data!$A$2:$A$9)</f>
        <v>5</v>
      </c>
    </row>
    <row r="1026" spans="1:12">
      <c r="A1026" s="99">
        <v>1146</v>
      </c>
      <c r="B1026" s="101">
        <v>44561</v>
      </c>
      <c r="C1026" s="96">
        <v>4</v>
      </c>
      <c r="D1026" s="104" t="s">
        <v>13</v>
      </c>
      <c r="E1026" s="97" t="s">
        <v>14</v>
      </c>
      <c r="F1026" s="97" t="str">
        <f>VLOOKUP(E1026,Emp_Data!$B$2:$C$9,2,)</f>
        <v>Jeff</v>
      </c>
      <c r="G1026" s="97" t="s">
        <v>15</v>
      </c>
      <c r="H1026" s="97" t="s">
        <v>41</v>
      </c>
      <c r="I1026" s="97">
        <v>199</v>
      </c>
      <c r="J1026" s="97">
        <v>8</v>
      </c>
      <c r="K1026" s="97">
        <f t="shared" si="15"/>
        <v>1592</v>
      </c>
      <c r="L1026" s="97">
        <f>_xlfn.XLOOKUP(E1026,Emp_Data!$B$2:$B$9,Emp_Data!$A$2:$A$9)</f>
        <v>2</v>
      </c>
    </row>
    <row r="1027" spans="1:12">
      <c r="A1027" s="99">
        <v>1148</v>
      </c>
      <c r="B1027" s="101">
        <v>44563</v>
      </c>
      <c r="C1027" s="96">
        <v>19</v>
      </c>
      <c r="D1027" s="104" t="s">
        <v>22</v>
      </c>
      <c r="E1027" s="97" t="s">
        <v>8</v>
      </c>
      <c r="F1027" s="97" t="str">
        <f>VLOOKUP(E1027,Emp_Data!$B$2:$C$9,2,)</f>
        <v>Jeff</v>
      </c>
      <c r="G1027" s="97" t="s">
        <v>9</v>
      </c>
      <c r="H1027" s="97" t="s">
        <v>41</v>
      </c>
      <c r="I1027" s="97">
        <v>199</v>
      </c>
      <c r="J1027" s="97">
        <v>0</v>
      </c>
      <c r="K1027" s="97">
        <f t="shared" ref="K1027:K1090" si="16">SUMPRODUCT(I1027,J1027)</f>
        <v>0</v>
      </c>
      <c r="L1027" s="97">
        <f>_xlfn.XLOOKUP(E1027,Emp_Data!$B$2:$B$9,Emp_Data!$A$2:$A$9)</f>
        <v>3</v>
      </c>
    </row>
    <row r="1028" spans="1:12">
      <c r="A1028" s="99">
        <v>1158</v>
      </c>
      <c r="B1028" s="101">
        <v>44566</v>
      </c>
      <c r="C1028" s="96">
        <v>17</v>
      </c>
      <c r="D1028" s="104" t="s">
        <v>32</v>
      </c>
      <c r="E1028" s="97" t="s">
        <v>25</v>
      </c>
      <c r="F1028" s="97" t="str">
        <f>VLOOKUP(E1028,Emp_Data!$B$2:$C$9,2,)</f>
        <v>Jeff</v>
      </c>
      <c r="G1028" s="97" t="s">
        <v>9</v>
      </c>
      <c r="H1028" s="97" t="s">
        <v>41</v>
      </c>
      <c r="I1028" s="97">
        <v>199</v>
      </c>
      <c r="J1028" s="97">
        <v>6</v>
      </c>
      <c r="K1028" s="97">
        <f t="shared" si="16"/>
        <v>1194</v>
      </c>
      <c r="L1028" s="97">
        <f>_xlfn.XLOOKUP(E1028,Emp_Data!$B$2:$B$9,Emp_Data!$A$2:$A$9)</f>
        <v>5</v>
      </c>
    </row>
    <row r="1029" spans="1:12">
      <c r="A1029" s="99">
        <v>1160</v>
      </c>
      <c r="B1029" s="101">
        <v>44567</v>
      </c>
      <c r="C1029" s="96">
        <v>20</v>
      </c>
      <c r="D1029" s="104" t="s">
        <v>7</v>
      </c>
      <c r="E1029" s="97" t="s">
        <v>8</v>
      </c>
      <c r="F1029" s="97" t="str">
        <f>VLOOKUP(E1029,Emp_Data!$B$2:$C$9,2,)</f>
        <v>Jeff</v>
      </c>
      <c r="G1029" s="97" t="s">
        <v>9</v>
      </c>
      <c r="H1029" s="97" t="s">
        <v>41</v>
      </c>
      <c r="I1029" s="97">
        <v>199</v>
      </c>
      <c r="J1029" s="97">
        <v>0</v>
      </c>
      <c r="K1029" s="97">
        <f t="shared" si="16"/>
        <v>0</v>
      </c>
      <c r="L1029" s="97">
        <f>_xlfn.XLOOKUP(E1029,Emp_Data!$B$2:$B$9,Emp_Data!$A$2:$A$9)</f>
        <v>3</v>
      </c>
    </row>
    <row r="1030" spans="1:12">
      <c r="A1030" s="99">
        <v>1162</v>
      </c>
      <c r="B1030" s="101">
        <v>44567</v>
      </c>
      <c r="C1030" s="96">
        <v>15</v>
      </c>
      <c r="D1030" s="104" t="s">
        <v>29</v>
      </c>
      <c r="E1030" s="97" t="s">
        <v>24</v>
      </c>
      <c r="F1030" s="97" t="str">
        <f>VLOOKUP(E1030,Emp_Data!$B$2:$C$9,2,)</f>
        <v>Steve</v>
      </c>
      <c r="G1030" s="97" t="s">
        <v>19</v>
      </c>
      <c r="H1030" s="97" t="s">
        <v>41</v>
      </c>
      <c r="I1030" s="97">
        <v>199</v>
      </c>
      <c r="J1030" s="97">
        <v>7</v>
      </c>
      <c r="K1030" s="97">
        <f t="shared" si="16"/>
        <v>1393</v>
      </c>
      <c r="L1030" s="97">
        <f>_xlfn.XLOOKUP(E1030,Emp_Data!$B$2:$B$9,Emp_Data!$A$2:$A$9)</f>
        <v>6</v>
      </c>
    </row>
    <row r="1031" spans="1:12">
      <c r="A1031" s="99">
        <v>1163</v>
      </c>
      <c r="B1031" s="101">
        <v>44568</v>
      </c>
      <c r="C1031" s="96">
        <v>17</v>
      </c>
      <c r="D1031" s="104" t="s">
        <v>32</v>
      </c>
      <c r="E1031" s="97" t="s">
        <v>8</v>
      </c>
      <c r="F1031" s="97" t="str">
        <f>VLOOKUP(E1031,Emp_Data!$B$2:$C$9,2,)</f>
        <v>Jeff</v>
      </c>
      <c r="G1031" s="97" t="s">
        <v>9</v>
      </c>
      <c r="H1031" s="97" t="s">
        <v>41</v>
      </c>
      <c r="I1031" s="97">
        <v>199</v>
      </c>
      <c r="J1031" s="97">
        <v>0</v>
      </c>
      <c r="K1031" s="97">
        <f t="shared" si="16"/>
        <v>0</v>
      </c>
      <c r="L1031" s="97">
        <f>_xlfn.XLOOKUP(E1031,Emp_Data!$B$2:$B$9,Emp_Data!$A$2:$A$9)</f>
        <v>3</v>
      </c>
    </row>
    <row r="1032" spans="1:12">
      <c r="A1032" s="99">
        <v>1165</v>
      </c>
      <c r="B1032" s="101">
        <v>44568</v>
      </c>
      <c r="C1032" s="96">
        <v>6</v>
      </c>
      <c r="D1032" s="104" t="s">
        <v>10</v>
      </c>
      <c r="E1032" s="97" t="s">
        <v>27</v>
      </c>
      <c r="F1032" s="97" t="str">
        <f>VLOOKUP(E1032,Emp_Data!$B$2:$C$9,2,)</f>
        <v>Philip</v>
      </c>
      <c r="G1032" s="97" t="s">
        <v>12</v>
      </c>
      <c r="H1032" s="97" t="s">
        <v>41</v>
      </c>
      <c r="I1032" s="97">
        <v>199</v>
      </c>
      <c r="J1032" s="97">
        <v>1</v>
      </c>
      <c r="K1032" s="97">
        <f t="shared" si="16"/>
        <v>199</v>
      </c>
      <c r="L1032" s="97">
        <f>_xlfn.XLOOKUP(E1032,Emp_Data!$B$2:$B$9,Emp_Data!$A$2:$A$9)</f>
        <v>8</v>
      </c>
    </row>
    <row r="1033" spans="1:12">
      <c r="A1033" s="99">
        <v>1171</v>
      </c>
      <c r="B1033" s="101">
        <v>44571</v>
      </c>
      <c r="C1033" s="96">
        <v>14</v>
      </c>
      <c r="D1033" s="104" t="s">
        <v>33</v>
      </c>
      <c r="E1033" s="97" t="s">
        <v>18</v>
      </c>
      <c r="F1033" s="97" t="str">
        <f>VLOOKUP(E1033,Emp_Data!$B$2:$C$9,2,)</f>
        <v>Sara</v>
      </c>
      <c r="G1033" s="97" t="s">
        <v>19</v>
      </c>
      <c r="H1033" s="97" t="s">
        <v>41</v>
      </c>
      <c r="I1033" s="97">
        <v>199</v>
      </c>
      <c r="J1033" s="97">
        <v>7</v>
      </c>
      <c r="K1033" s="97">
        <f t="shared" si="16"/>
        <v>1393</v>
      </c>
      <c r="L1033" s="97">
        <f>_xlfn.XLOOKUP(E1033,Emp_Data!$B$2:$B$9,Emp_Data!$A$2:$A$9)</f>
        <v>5</v>
      </c>
    </row>
    <row r="1034" spans="1:12">
      <c r="A1034" s="99">
        <v>1173</v>
      </c>
      <c r="B1034" s="101">
        <v>44571</v>
      </c>
      <c r="C1034" s="96">
        <v>6</v>
      </c>
      <c r="D1034" s="104" t="s">
        <v>10</v>
      </c>
      <c r="E1034" s="97" t="s">
        <v>11</v>
      </c>
      <c r="F1034" s="97" t="str">
        <f>VLOOKUP(E1034,Emp_Data!$B$2:$C$9,2,)</f>
        <v>Steve</v>
      </c>
      <c r="G1034" s="97" t="s">
        <v>12</v>
      </c>
      <c r="H1034" s="97" t="s">
        <v>41</v>
      </c>
      <c r="I1034" s="97">
        <v>199</v>
      </c>
      <c r="J1034" s="97">
        <v>2</v>
      </c>
      <c r="K1034" s="97">
        <f t="shared" si="16"/>
        <v>398</v>
      </c>
      <c r="L1034" s="97">
        <f>_xlfn.XLOOKUP(E1034,Emp_Data!$B$2:$B$9,Emp_Data!$A$2:$A$9)</f>
        <v>4</v>
      </c>
    </row>
    <row r="1035" spans="1:12">
      <c r="A1035" s="99">
        <v>1174</v>
      </c>
      <c r="B1035" s="101">
        <v>44572</v>
      </c>
      <c r="C1035" s="96">
        <v>11</v>
      </c>
      <c r="D1035" s="104" t="s">
        <v>38</v>
      </c>
      <c r="E1035" s="97" t="s">
        <v>18</v>
      </c>
      <c r="F1035" s="97" t="str">
        <f>VLOOKUP(E1035,Emp_Data!$B$2:$C$9,2,)</f>
        <v>Sara</v>
      </c>
      <c r="G1035" s="97" t="s">
        <v>19</v>
      </c>
      <c r="H1035" s="97" t="s">
        <v>41</v>
      </c>
      <c r="I1035" s="97">
        <v>199</v>
      </c>
      <c r="J1035" s="97">
        <v>6</v>
      </c>
      <c r="K1035" s="97">
        <f t="shared" si="16"/>
        <v>1194</v>
      </c>
      <c r="L1035" s="97">
        <f>_xlfn.XLOOKUP(E1035,Emp_Data!$B$2:$B$9,Emp_Data!$A$2:$A$9)</f>
        <v>5</v>
      </c>
    </row>
    <row r="1036" spans="1:12">
      <c r="A1036" s="99">
        <v>1177</v>
      </c>
      <c r="B1036" s="101">
        <v>44573</v>
      </c>
      <c r="C1036" s="96">
        <v>5</v>
      </c>
      <c r="D1036" s="104" t="s">
        <v>16</v>
      </c>
      <c r="E1036" s="97" t="s">
        <v>21</v>
      </c>
      <c r="F1036" s="97" t="str">
        <f>VLOOKUP(E1036,Emp_Data!$B$2:$C$9,2,)</f>
        <v>Sara</v>
      </c>
      <c r="G1036" s="97" t="s">
        <v>15</v>
      </c>
      <c r="H1036" s="97" t="s">
        <v>41</v>
      </c>
      <c r="I1036" s="97">
        <v>199</v>
      </c>
      <c r="J1036" s="97">
        <v>9</v>
      </c>
      <c r="K1036" s="97">
        <f t="shared" si="16"/>
        <v>1791</v>
      </c>
      <c r="L1036" s="97">
        <f>_xlfn.XLOOKUP(E1036,Emp_Data!$B$2:$B$9,Emp_Data!$A$2:$A$9)</f>
        <v>2</v>
      </c>
    </row>
    <row r="1037" spans="1:12">
      <c r="A1037" s="99">
        <v>1184</v>
      </c>
      <c r="B1037" s="101">
        <v>44574</v>
      </c>
      <c r="C1037" s="96">
        <v>15</v>
      </c>
      <c r="D1037" s="104" t="s">
        <v>29</v>
      </c>
      <c r="E1037" s="97" t="s">
        <v>24</v>
      </c>
      <c r="F1037" s="97" t="str">
        <f>VLOOKUP(E1037,Emp_Data!$B$2:$C$9,2,)</f>
        <v>Steve</v>
      </c>
      <c r="G1037" s="97" t="s">
        <v>19</v>
      </c>
      <c r="H1037" s="97" t="s">
        <v>41</v>
      </c>
      <c r="I1037" s="97">
        <v>199</v>
      </c>
      <c r="J1037" s="97">
        <v>3</v>
      </c>
      <c r="K1037" s="97">
        <f t="shared" si="16"/>
        <v>597</v>
      </c>
      <c r="L1037" s="97">
        <f>_xlfn.XLOOKUP(E1037,Emp_Data!$B$2:$B$9,Emp_Data!$A$2:$A$9)</f>
        <v>6</v>
      </c>
    </row>
    <row r="1038" spans="1:12">
      <c r="A1038" s="99">
        <v>1197</v>
      </c>
      <c r="B1038" s="101">
        <v>44577</v>
      </c>
      <c r="C1038" s="96">
        <v>6</v>
      </c>
      <c r="D1038" s="104" t="s">
        <v>10</v>
      </c>
      <c r="E1038" s="97" t="s">
        <v>27</v>
      </c>
      <c r="F1038" s="97" t="str">
        <f>VLOOKUP(E1038,Emp_Data!$B$2:$C$9,2,)</f>
        <v>Philip</v>
      </c>
      <c r="G1038" s="97" t="s">
        <v>12</v>
      </c>
      <c r="H1038" s="97" t="s">
        <v>41</v>
      </c>
      <c r="I1038" s="97">
        <v>199</v>
      </c>
      <c r="J1038" s="97">
        <v>2</v>
      </c>
      <c r="K1038" s="97">
        <f t="shared" si="16"/>
        <v>398</v>
      </c>
      <c r="L1038" s="97">
        <f>_xlfn.XLOOKUP(E1038,Emp_Data!$B$2:$B$9,Emp_Data!$A$2:$A$9)</f>
        <v>8</v>
      </c>
    </row>
    <row r="1039" spans="1:12">
      <c r="A1039" s="99">
        <v>1210</v>
      </c>
      <c r="B1039" s="101">
        <v>44579</v>
      </c>
      <c r="C1039" s="96">
        <v>11</v>
      </c>
      <c r="D1039" s="104" t="s">
        <v>38</v>
      </c>
      <c r="E1039" s="97" t="s">
        <v>24</v>
      </c>
      <c r="F1039" s="97" t="str">
        <f>VLOOKUP(E1039,Emp_Data!$B$2:$C$9,2,)</f>
        <v>Steve</v>
      </c>
      <c r="G1039" s="97" t="s">
        <v>19</v>
      </c>
      <c r="H1039" s="97" t="s">
        <v>41</v>
      </c>
      <c r="I1039" s="97">
        <v>199</v>
      </c>
      <c r="J1039" s="97">
        <v>7</v>
      </c>
      <c r="K1039" s="97">
        <f t="shared" si="16"/>
        <v>1393</v>
      </c>
      <c r="L1039" s="97">
        <f>_xlfn.XLOOKUP(E1039,Emp_Data!$B$2:$B$9,Emp_Data!$A$2:$A$9)</f>
        <v>6</v>
      </c>
    </row>
    <row r="1040" spans="1:12">
      <c r="A1040" s="99">
        <v>1224</v>
      </c>
      <c r="B1040" s="101">
        <v>44587</v>
      </c>
      <c r="C1040" s="96">
        <v>4</v>
      </c>
      <c r="D1040" s="104" t="s">
        <v>13</v>
      </c>
      <c r="E1040" s="97" t="s">
        <v>14</v>
      </c>
      <c r="F1040" s="97" t="str">
        <f>VLOOKUP(E1040,Emp_Data!$B$2:$C$9,2,)</f>
        <v>Jeff</v>
      </c>
      <c r="G1040" s="97" t="s">
        <v>15</v>
      </c>
      <c r="H1040" s="97" t="s">
        <v>41</v>
      </c>
      <c r="I1040" s="97">
        <v>199</v>
      </c>
      <c r="J1040" s="97">
        <v>5</v>
      </c>
      <c r="K1040" s="97">
        <f t="shared" si="16"/>
        <v>995</v>
      </c>
      <c r="L1040" s="97">
        <f>_xlfn.XLOOKUP(E1040,Emp_Data!$B$2:$B$9,Emp_Data!$A$2:$A$9)</f>
        <v>2</v>
      </c>
    </row>
    <row r="1041" spans="1:12">
      <c r="A1041" s="99">
        <v>1229</v>
      </c>
      <c r="B1041" s="101">
        <v>44589</v>
      </c>
      <c r="C1041" s="96">
        <v>12</v>
      </c>
      <c r="D1041" s="104" t="s">
        <v>17</v>
      </c>
      <c r="E1041" s="97" t="s">
        <v>24</v>
      </c>
      <c r="F1041" s="97" t="str">
        <f>VLOOKUP(E1041,Emp_Data!$B$2:$C$9,2,)</f>
        <v>Steve</v>
      </c>
      <c r="G1041" s="97" t="s">
        <v>19</v>
      </c>
      <c r="H1041" s="97" t="s">
        <v>41</v>
      </c>
      <c r="I1041" s="97">
        <v>199</v>
      </c>
      <c r="J1041" s="97">
        <v>4</v>
      </c>
      <c r="K1041" s="97">
        <f t="shared" si="16"/>
        <v>796</v>
      </c>
      <c r="L1041" s="97">
        <f>_xlfn.XLOOKUP(E1041,Emp_Data!$B$2:$B$9,Emp_Data!$A$2:$A$9)</f>
        <v>6</v>
      </c>
    </row>
    <row r="1042" spans="1:12">
      <c r="A1042" s="99">
        <v>1240</v>
      </c>
      <c r="B1042" s="101">
        <v>44595</v>
      </c>
      <c r="C1042" s="96">
        <v>12</v>
      </c>
      <c r="D1042" s="104" t="s">
        <v>17</v>
      </c>
      <c r="E1042" s="97" t="s">
        <v>18</v>
      </c>
      <c r="F1042" s="97" t="str">
        <f>VLOOKUP(E1042,Emp_Data!$B$2:$C$9,2,)</f>
        <v>Sara</v>
      </c>
      <c r="G1042" s="97" t="s">
        <v>19</v>
      </c>
      <c r="H1042" s="97" t="s">
        <v>41</v>
      </c>
      <c r="I1042" s="97">
        <v>199</v>
      </c>
      <c r="J1042" s="97">
        <v>3</v>
      </c>
      <c r="K1042" s="97">
        <f t="shared" si="16"/>
        <v>597</v>
      </c>
      <c r="L1042" s="97">
        <f>_xlfn.XLOOKUP(E1042,Emp_Data!$B$2:$B$9,Emp_Data!$A$2:$A$9)</f>
        <v>5</v>
      </c>
    </row>
    <row r="1043" spans="1:12">
      <c r="A1043" s="99">
        <v>1245</v>
      </c>
      <c r="B1043" s="101">
        <v>44597</v>
      </c>
      <c r="C1043" s="96">
        <v>8</v>
      </c>
      <c r="D1043" s="104" t="s">
        <v>36</v>
      </c>
      <c r="E1043" s="97" t="s">
        <v>27</v>
      </c>
      <c r="F1043" s="97" t="str">
        <f>VLOOKUP(E1043,Emp_Data!$B$2:$C$9,2,)</f>
        <v>Philip</v>
      </c>
      <c r="G1043" s="97" t="s">
        <v>12</v>
      </c>
      <c r="H1043" s="97" t="s">
        <v>41</v>
      </c>
      <c r="I1043" s="97">
        <v>199</v>
      </c>
      <c r="J1043" s="97">
        <v>0</v>
      </c>
      <c r="K1043" s="97">
        <f t="shared" si="16"/>
        <v>0</v>
      </c>
      <c r="L1043" s="97">
        <f>_xlfn.XLOOKUP(E1043,Emp_Data!$B$2:$B$9,Emp_Data!$A$2:$A$9)</f>
        <v>8</v>
      </c>
    </row>
    <row r="1044" spans="1:12">
      <c r="A1044" s="99">
        <v>1251</v>
      </c>
      <c r="B1044" s="101">
        <v>44597</v>
      </c>
      <c r="C1044" s="96">
        <v>3</v>
      </c>
      <c r="D1044" s="104" t="s">
        <v>20</v>
      </c>
      <c r="E1044" s="97" t="s">
        <v>21</v>
      </c>
      <c r="F1044" s="97" t="str">
        <f>VLOOKUP(E1044,Emp_Data!$B$2:$C$9,2,)</f>
        <v>Sara</v>
      </c>
      <c r="G1044" s="97" t="s">
        <v>15</v>
      </c>
      <c r="H1044" s="97" t="s">
        <v>41</v>
      </c>
      <c r="I1044" s="97">
        <v>199</v>
      </c>
      <c r="J1044" s="97">
        <v>1</v>
      </c>
      <c r="K1044" s="97">
        <f t="shared" si="16"/>
        <v>199</v>
      </c>
      <c r="L1044" s="97">
        <f>_xlfn.XLOOKUP(E1044,Emp_Data!$B$2:$B$9,Emp_Data!$A$2:$A$9)</f>
        <v>2</v>
      </c>
    </row>
    <row r="1045" spans="1:12">
      <c r="A1045" s="99">
        <v>1254</v>
      </c>
      <c r="B1045" s="101">
        <v>44599</v>
      </c>
      <c r="C1045" s="96">
        <v>15</v>
      </c>
      <c r="D1045" s="104" t="s">
        <v>29</v>
      </c>
      <c r="E1045" s="97" t="s">
        <v>18</v>
      </c>
      <c r="F1045" s="97" t="str">
        <f>VLOOKUP(E1045,Emp_Data!$B$2:$C$9,2,)</f>
        <v>Sara</v>
      </c>
      <c r="G1045" s="97" t="s">
        <v>19</v>
      </c>
      <c r="H1045" s="97" t="s">
        <v>41</v>
      </c>
      <c r="I1045" s="97">
        <v>199</v>
      </c>
      <c r="J1045" s="97">
        <v>8</v>
      </c>
      <c r="K1045" s="97">
        <f t="shared" si="16"/>
        <v>1592</v>
      </c>
      <c r="L1045" s="97">
        <f>_xlfn.XLOOKUP(E1045,Emp_Data!$B$2:$B$9,Emp_Data!$A$2:$A$9)</f>
        <v>5</v>
      </c>
    </row>
    <row r="1046" spans="1:12">
      <c r="A1046" s="99">
        <v>1260</v>
      </c>
      <c r="B1046" s="101">
        <v>44601</v>
      </c>
      <c r="C1046" s="96">
        <v>8</v>
      </c>
      <c r="D1046" s="104" t="s">
        <v>36</v>
      </c>
      <c r="E1046" s="97" t="s">
        <v>11</v>
      </c>
      <c r="F1046" s="97" t="str">
        <f>VLOOKUP(E1046,Emp_Data!$B$2:$C$9,2,)</f>
        <v>Steve</v>
      </c>
      <c r="G1046" s="97" t="s">
        <v>12</v>
      </c>
      <c r="H1046" s="97" t="s">
        <v>41</v>
      </c>
      <c r="I1046" s="97">
        <v>199</v>
      </c>
      <c r="J1046" s="97">
        <v>3</v>
      </c>
      <c r="K1046" s="97">
        <f t="shared" si="16"/>
        <v>597</v>
      </c>
      <c r="L1046" s="97">
        <f>_xlfn.XLOOKUP(E1046,Emp_Data!$B$2:$B$9,Emp_Data!$A$2:$A$9)</f>
        <v>4</v>
      </c>
    </row>
    <row r="1047" spans="1:12">
      <c r="A1047" s="99">
        <v>1261</v>
      </c>
      <c r="B1047" s="101">
        <v>44602</v>
      </c>
      <c r="C1047" s="96">
        <v>5</v>
      </c>
      <c r="D1047" s="104" t="s">
        <v>16</v>
      </c>
      <c r="E1047" s="97" t="s">
        <v>21</v>
      </c>
      <c r="F1047" s="97" t="str">
        <f>VLOOKUP(E1047,Emp_Data!$B$2:$C$9,2,)</f>
        <v>Sara</v>
      </c>
      <c r="G1047" s="97" t="s">
        <v>15</v>
      </c>
      <c r="H1047" s="97" t="s">
        <v>41</v>
      </c>
      <c r="I1047" s="97">
        <v>199</v>
      </c>
      <c r="J1047" s="97">
        <v>5</v>
      </c>
      <c r="K1047" s="97">
        <f t="shared" si="16"/>
        <v>995</v>
      </c>
      <c r="L1047" s="97">
        <f>_xlfn.XLOOKUP(E1047,Emp_Data!$B$2:$B$9,Emp_Data!$A$2:$A$9)</f>
        <v>2</v>
      </c>
    </row>
    <row r="1048" spans="1:12">
      <c r="A1048" s="99">
        <v>1266</v>
      </c>
      <c r="B1048" s="101">
        <v>44605</v>
      </c>
      <c r="C1048" s="96">
        <v>8</v>
      </c>
      <c r="D1048" s="104" t="s">
        <v>36</v>
      </c>
      <c r="E1048" s="97" t="s">
        <v>11</v>
      </c>
      <c r="F1048" s="97" t="str">
        <f>VLOOKUP(E1048,Emp_Data!$B$2:$C$9,2,)</f>
        <v>Steve</v>
      </c>
      <c r="G1048" s="97" t="s">
        <v>12</v>
      </c>
      <c r="H1048" s="97" t="s">
        <v>41</v>
      </c>
      <c r="I1048" s="97">
        <v>199</v>
      </c>
      <c r="J1048" s="97">
        <v>7</v>
      </c>
      <c r="K1048" s="97">
        <f t="shared" si="16"/>
        <v>1393</v>
      </c>
      <c r="L1048" s="97">
        <f>_xlfn.XLOOKUP(E1048,Emp_Data!$B$2:$B$9,Emp_Data!$A$2:$A$9)</f>
        <v>4</v>
      </c>
    </row>
    <row r="1049" spans="1:12">
      <c r="A1049" s="99">
        <v>1267</v>
      </c>
      <c r="B1049" s="101">
        <v>44605</v>
      </c>
      <c r="C1049" s="96">
        <v>17</v>
      </c>
      <c r="D1049" s="104" t="s">
        <v>32</v>
      </c>
      <c r="E1049" s="97" t="s">
        <v>25</v>
      </c>
      <c r="F1049" s="97" t="str">
        <f>VLOOKUP(E1049,Emp_Data!$B$2:$C$9,2,)</f>
        <v>Jeff</v>
      </c>
      <c r="G1049" s="97" t="s">
        <v>9</v>
      </c>
      <c r="H1049" s="97" t="s">
        <v>41</v>
      </c>
      <c r="I1049" s="97">
        <v>199</v>
      </c>
      <c r="J1049" s="97">
        <v>9</v>
      </c>
      <c r="K1049" s="97">
        <f t="shared" si="16"/>
        <v>1791</v>
      </c>
      <c r="L1049" s="97">
        <f>_xlfn.XLOOKUP(E1049,Emp_Data!$B$2:$B$9,Emp_Data!$A$2:$A$9)</f>
        <v>5</v>
      </c>
    </row>
    <row r="1050" spans="1:12">
      <c r="A1050" s="99">
        <v>1271</v>
      </c>
      <c r="B1050" s="101">
        <v>44608</v>
      </c>
      <c r="C1050" s="96">
        <v>16</v>
      </c>
      <c r="D1050" s="104" t="s">
        <v>37</v>
      </c>
      <c r="E1050" s="97" t="s">
        <v>25</v>
      </c>
      <c r="F1050" s="97" t="str">
        <f>VLOOKUP(E1050,Emp_Data!$B$2:$C$9,2,)</f>
        <v>Jeff</v>
      </c>
      <c r="G1050" s="97" t="s">
        <v>9</v>
      </c>
      <c r="H1050" s="97" t="s">
        <v>41</v>
      </c>
      <c r="I1050" s="97">
        <v>199</v>
      </c>
      <c r="J1050" s="97">
        <v>1</v>
      </c>
      <c r="K1050" s="97">
        <f t="shared" si="16"/>
        <v>199</v>
      </c>
      <c r="L1050" s="97">
        <f>_xlfn.XLOOKUP(E1050,Emp_Data!$B$2:$B$9,Emp_Data!$A$2:$A$9)</f>
        <v>5</v>
      </c>
    </row>
    <row r="1051" spans="1:12">
      <c r="A1051" s="99">
        <v>1273</v>
      </c>
      <c r="B1051" s="101">
        <v>44610</v>
      </c>
      <c r="C1051" s="96">
        <v>20</v>
      </c>
      <c r="D1051" s="104" t="s">
        <v>7</v>
      </c>
      <c r="E1051" s="97" t="s">
        <v>8</v>
      </c>
      <c r="F1051" s="97" t="str">
        <f>VLOOKUP(E1051,Emp_Data!$B$2:$C$9,2,)</f>
        <v>Jeff</v>
      </c>
      <c r="G1051" s="97" t="s">
        <v>9</v>
      </c>
      <c r="H1051" s="97" t="s">
        <v>41</v>
      </c>
      <c r="I1051" s="97">
        <v>199</v>
      </c>
      <c r="J1051" s="97">
        <v>5</v>
      </c>
      <c r="K1051" s="97">
        <f t="shared" si="16"/>
        <v>995</v>
      </c>
      <c r="L1051" s="97">
        <f>_xlfn.XLOOKUP(E1051,Emp_Data!$B$2:$B$9,Emp_Data!$A$2:$A$9)</f>
        <v>3</v>
      </c>
    </row>
    <row r="1052" spans="1:12">
      <c r="A1052" s="99">
        <v>1281</v>
      </c>
      <c r="B1052" s="101">
        <v>44611</v>
      </c>
      <c r="C1052" s="96">
        <v>19</v>
      </c>
      <c r="D1052" s="104" t="s">
        <v>22</v>
      </c>
      <c r="E1052" s="97" t="s">
        <v>25</v>
      </c>
      <c r="F1052" s="97" t="str">
        <f>VLOOKUP(E1052,Emp_Data!$B$2:$C$9,2,)</f>
        <v>Jeff</v>
      </c>
      <c r="G1052" s="97" t="s">
        <v>9</v>
      </c>
      <c r="H1052" s="97" t="s">
        <v>41</v>
      </c>
      <c r="I1052" s="97">
        <v>199</v>
      </c>
      <c r="J1052" s="97">
        <v>0</v>
      </c>
      <c r="K1052" s="97">
        <f t="shared" si="16"/>
        <v>0</v>
      </c>
      <c r="L1052" s="97">
        <f>_xlfn.XLOOKUP(E1052,Emp_Data!$B$2:$B$9,Emp_Data!$A$2:$A$9)</f>
        <v>5</v>
      </c>
    </row>
    <row r="1053" spans="1:12">
      <c r="A1053" s="99">
        <v>1284</v>
      </c>
      <c r="B1053" s="101">
        <v>44611</v>
      </c>
      <c r="C1053" s="96">
        <v>8</v>
      </c>
      <c r="D1053" s="104" t="s">
        <v>36</v>
      </c>
      <c r="E1053" s="97" t="s">
        <v>11</v>
      </c>
      <c r="F1053" s="97" t="str">
        <f>VLOOKUP(E1053,Emp_Data!$B$2:$C$9,2,)</f>
        <v>Steve</v>
      </c>
      <c r="G1053" s="97" t="s">
        <v>12</v>
      </c>
      <c r="H1053" s="97" t="s">
        <v>41</v>
      </c>
      <c r="I1053" s="97">
        <v>199</v>
      </c>
      <c r="J1053" s="97">
        <v>5</v>
      </c>
      <c r="K1053" s="97">
        <f t="shared" si="16"/>
        <v>995</v>
      </c>
      <c r="L1053" s="97">
        <f>_xlfn.XLOOKUP(E1053,Emp_Data!$B$2:$B$9,Emp_Data!$A$2:$A$9)</f>
        <v>4</v>
      </c>
    </row>
    <row r="1054" spans="1:12">
      <c r="A1054" s="99">
        <v>1288</v>
      </c>
      <c r="B1054" s="101">
        <v>44611</v>
      </c>
      <c r="C1054" s="96">
        <v>7</v>
      </c>
      <c r="D1054" s="104" t="s">
        <v>28</v>
      </c>
      <c r="E1054" s="97" t="s">
        <v>11</v>
      </c>
      <c r="F1054" s="97" t="str">
        <f>VLOOKUP(E1054,Emp_Data!$B$2:$C$9,2,)</f>
        <v>Steve</v>
      </c>
      <c r="G1054" s="97" t="s">
        <v>12</v>
      </c>
      <c r="H1054" s="97" t="s">
        <v>41</v>
      </c>
      <c r="I1054" s="97">
        <v>199</v>
      </c>
      <c r="J1054" s="97">
        <v>1</v>
      </c>
      <c r="K1054" s="97">
        <f t="shared" si="16"/>
        <v>199</v>
      </c>
      <c r="L1054" s="97">
        <f>_xlfn.XLOOKUP(E1054,Emp_Data!$B$2:$B$9,Emp_Data!$A$2:$A$9)</f>
        <v>4</v>
      </c>
    </row>
    <row r="1055" spans="1:12">
      <c r="A1055" s="99">
        <v>1289</v>
      </c>
      <c r="B1055" s="101">
        <v>44611</v>
      </c>
      <c r="C1055" s="96">
        <v>17</v>
      </c>
      <c r="D1055" s="104" t="s">
        <v>32</v>
      </c>
      <c r="E1055" s="97" t="s">
        <v>8</v>
      </c>
      <c r="F1055" s="97" t="str">
        <f>VLOOKUP(E1055,Emp_Data!$B$2:$C$9,2,)</f>
        <v>Jeff</v>
      </c>
      <c r="G1055" s="97" t="s">
        <v>9</v>
      </c>
      <c r="H1055" s="97" t="s">
        <v>41</v>
      </c>
      <c r="I1055" s="97">
        <v>199</v>
      </c>
      <c r="J1055" s="97">
        <v>4</v>
      </c>
      <c r="K1055" s="97">
        <f t="shared" si="16"/>
        <v>796</v>
      </c>
      <c r="L1055" s="97">
        <f>_xlfn.XLOOKUP(E1055,Emp_Data!$B$2:$B$9,Emp_Data!$A$2:$A$9)</f>
        <v>3</v>
      </c>
    </row>
    <row r="1056" spans="1:12">
      <c r="A1056" s="99">
        <v>1292</v>
      </c>
      <c r="B1056" s="101">
        <v>44612</v>
      </c>
      <c r="C1056" s="96">
        <v>2</v>
      </c>
      <c r="D1056" s="104" t="s">
        <v>35</v>
      </c>
      <c r="E1056" s="97" t="s">
        <v>14</v>
      </c>
      <c r="F1056" s="97" t="str">
        <f>VLOOKUP(E1056,Emp_Data!$B$2:$C$9,2,)</f>
        <v>Jeff</v>
      </c>
      <c r="G1056" s="97" t="s">
        <v>15</v>
      </c>
      <c r="H1056" s="97" t="s">
        <v>41</v>
      </c>
      <c r="I1056" s="97">
        <v>199</v>
      </c>
      <c r="J1056" s="97">
        <v>3</v>
      </c>
      <c r="K1056" s="97">
        <f t="shared" si="16"/>
        <v>597</v>
      </c>
      <c r="L1056" s="97">
        <f>_xlfn.XLOOKUP(E1056,Emp_Data!$B$2:$B$9,Emp_Data!$A$2:$A$9)</f>
        <v>2</v>
      </c>
    </row>
    <row r="1057" spans="1:12">
      <c r="A1057" s="99">
        <v>1299</v>
      </c>
      <c r="B1057" s="101">
        <v>44614</v>
      </c>
      <c r="C1057" s="96">
        <v>16</v>
      </c>
      <c r="D1057" s="104" t="s">
        <v>37</v>
      </c>
      <c r="E1057" s="97" t="s">
        <v>8</v>
      </c>
      <c r="F1057" s="97" t="str">
        <f>VLOOKUP(E1057,Emp_Data!$B$2:$C$9,2,)</f>
        <v>Jeff</v>
      </c>
      <c r="G1057" s="97" t="s">
        <v>9</v>
      </c>
      <c r="H1057" s="97" t="s">
        <v>41</v>
      </c>
      <c r="I1057" s="97">
        <v>199</v>
      </c>
      <c r="J1057" s="97">
        <v>2</v>
      </c>
      <c r="K1057" s="97">
        <f t="shared" si="16"/>
        <v>398</v>
      </c>
      <c r="L1057" s="97">
        <f>_xlfn.XLOOKUP(E1057,Emp_Data!$B$2:$B$9,Emp_Data!$A$2:$A$9)</f>
        <v>3</v>
      </c>
    </row>
    <row r="1058" spans="1:12">
      <c r="A1058" s="99">
        <v>1301</v>
      </c>
      <c r="B1058" s="101">
        <v>44614</v>
      </c>
      <c r="C1058" s="96">
        <v>3</v>
      </c>
      <c r="D1058" s="104" t="s">
        <v>20</v>
      </c>
      <c r="E1058" s="97" t="s">
        <v>21</v>
      </c>
      <c r="F1058" s="97" t="str">
        <f>VLOOKUP(E1058,Emp_Data!$B$2:$C$9,2,)</f>
        <v>Sara</v>
      </c>
      <c r="G1058" s="97" t="s">
        <v>15</v>
      </c>
      <c r="H1058" s="97" t="s">
        <v>41</v>
      </c>
      <c r="I1058" s="97">
        <v>199</v>
      </c>
      <c r="J1058" s="97">
        <v>9</v>
      </c>
      <c r="K1058" s="97">
        <f t="shared" si="16"/>
        <v>1791</v>
      </c>
      <c r="L1058" s="97">
        <f>_xlfn.XLOOKUP(E1058,Emp_Data!$B$2:$B$9,Emp_Data!$A$2:$A$9)</f>
        <v>2</v>
      </c>
    </row>
    <row r="1059" spans="1:12">
      <c r="A1059" s="99">
        <v>1305</v>
      </c>
      <c r="B1059" s="101">
        <v>44615</v>
      </c>
      <c r="C1059" s="96">
        <v>6</v>
      </c>
      <c r="D1059" s="104" t="s">
        <v>10</v>
      </c>
      <c r="E1059" s="97" t="s">
        <v>11</v>
      </c>
      <c r="F1059" s="97" t="str">
        <f>VLOOKUP(E1059,Emp_Data!$B$2:$C$9,2,)</f>
        <v>Steve</v>
      </c>
      <c r="G1059" s="97" t="s">
        <v>12</v>
      </c>
      <c r="H1059" s="97" t="s">
        <v>41</v>
      </c>
      <c r="I1059" s="97">
        <v>199</v>
      </c>
      <c r="J1059" s="97">
        <v>8</v>
      </c>
      <c r="K1059" s="97">
        <f t="shared" si="16"/>
        <v>1592</v>
      </c>
      <c r="L1059" s="97">
        <f>_xlfn.XLOOKUP(E1059,Emp_Data!$B$2:$B$9,Emp_Data!$A$2:$A$9)</f>
        <v>4</v>
      </c>
    </row>
    <row r="1060" spans="1:12">
      <c r="A1060" s="99">
        <v>1314</v>
      </c>
      <c r="B1060" s="101">
        <v>44618</v>
      </c>
      <c r="C1060" s="96">
        <v>11</v>
      </c>
      <c r="D1060" s="104" t="s">
        <v>38</v>
      </c>
      <c r="E1060" s="97" t="s">
        <v>18</v>
      </c>
      <c r="F1060" s="97" t="str">
        <f>VLOOKUP(E1060,Emp_Data!$B$2:$C$9,2,)</f>
        <v>Sara</v>
      </c>
      <c r="G1060" s="97" t="s">
        <v>19</v>
      </c>
      <c r="H1060" s="97" t="s">
        <v>41</v>
      </c>
      <c r="I1060" s="97">
        <v>199</v>
      </c>
      <c r="J1060" s="97">
        <v>9</v>
      </c>
      <c r="K1060" s="97">
        <f t="shared" si="16"/>
        <v>1791</v>
      </c>
      <c r="L1060" s="97">
        <f>_xlfn.XLOOKUP(E1060,Emp_Data!$B$2:$B$9,Emp_Data!$A$2:$A$9)</f>
        <v>5</v>
      </c>
    </row>
    <row r="1061" spans="1:12">
      <c r="A1061" s="99">
        <v>1319</v>
      </c>
      <c r="B1061" s="101">
        <v>44619</v>
      </c>
      <c r="C1061" s="96">
        <v>11</v>
      </c>
      <c r="D1061" s="104" t="s">
        <v>38</v>
      </c>
      <c r="E1061" s="97" t="s">
        <v>24</v>
      </c>
      <c r="F1061" s="97" t="str">
        <f>VLOOKUP(E1061,Emp_Data!$B$2:$C$9,2,)</f>
        <v>Steve</v>
      </c>
      <c r="G1061" s="97" t="s">
        <v>19</v>
      </c>
      <c r="H1061" s="97" t="s">
        <v>41</v>
      </c>
      <c r="I1061" s="97">
        <v>199</v>
      </c>
      <c r="J1061" s="97">
        <v>9</v>
      </c>
      <c r="K1061" s="97">
        <f t="shared" si="16"/>
        <v>1791</v>
      </c>
      <c r="L1061" s="97">
        <f>_xlfn.XLOOKUP(E1061,Emp_Data!$B$2:$B$9,Emp_Data!$A$2:$A$9)</f>
        <v>6</v>
      </c>
    </row>
    <row r="1062" spans="1:12">
      <c r="A1062" s="99">
        <v>1327</v>
      </c>
      <c r="B1062" s="101">
        <v>44621</v>
      </c>
      <c r="C1062" s="96">
        <v>3</v>
      </c>
      <c r="D1062" s="104" t="s">
        <v>20</v>
      </c>
      <c r="E1062" s="97" t="s">
        <v>14</v>
      </c>
      <c r="F1062" s="97" t="str">
        <f>VLOOKUP(E1062,Emp_Data!$B$2:$C$9,2,)</f>
        <v>Jeff</v>
      </c>
      <c r="G1062" s="97" t="s">
        <v>15</v>
      </c>
      <c r="H1062" s="97" t="s">
        <v>41</v>
      </c>
      <c r="I1062" s="97">
        <v>199</v>
      </c>
      <c r="J1062" s="97">
        <v>6</v>
      </c>
      <c r="K1062" s="97">
        <f t="shared" si="16"/>
        <v>1194</v>
      </c>
      <c r="L1062" s="97">
        <f>_xlfn.XLOOKUP(E1062,Emp_Data!$B$2:$B$9,Emp_Data!$A$2:$A$9)</f>
        <v>2</v>
      </c>
    </row>
    <row r="1063" spans="1:12">
      <c r="A1063" s="99">
        <v>1333</v>
      </c>
      <c r="B1063" s="101">
        <v>44625</v>
      </c>
      <c r="C1063" s="96">
        <v>16</v>
      </c>
      <c r="D1063" s="104" t="s">
        <v>37</v>
      </c>
      <c r="E1063" s="97" t="s">
        <v>8</v>
      </c>
      <c r="F1063" s="97" t="str">
        <f>VLOOKUP(E1063,Emp_Data!$B$2:$C$9,2,)</f>
        <v>Jeff</v>
      </c>
      <c r="G1063" s="97" t="s">
        <v>9</v>
      </c>
      <c r="H1063" s="97" t="s">
        <v>41</v>
      </c>
      <c r="I1063" s="97">
        <v>199</v>
      </c>
      <c r="J1063" s="97">
        <v>5</v>
      </c>
      <c r="K1063" s="97">
        <f t="shared" si="16"/>
        <v>995</v>
      </c>
      <c r="L1063" s="97">
        <f>_xlfn.XLOOKUP(E1063,Emp_Data!$B$2:$B$9,Emp_Data!$A$2:$A$9)</f>
        <v>3</v>
      </c>
    </row>
    <row r="1064" spans="1:12">
      <c r="A1064" s="99">
        <v>1340</v>
      </c>
      <c r="B1064" s="101">
        <v>44627</v>
      </c>
      <c r="C1064" s="96">
        <v>2</v>
      </c>
      <c r="D1064" s="104" t="s">
        <v>35</v>
      </c>
      <c r="E1064" s="97" t="s">
        <v>14</v>
      </c>
      <c r="F1064" s="97" t="str">
        <f>VLOOKUP(E1064,Emp_Data!$B$2:$C$9,2,)</f>
        <v>Jeff</v>
      </c>
      <c r="G1064" s="97" t="s">
        <v>15</v>
      </c>
      <c r="H1064" s="97" t="s">
        <v>41</v>
      </c>
      <c r="I1064" s="97">
        <v>199</v>
      </c>
      <c r="J1064" s="97">
        <v>7</v>
      </c>
      <c r="K1064" s="97">
        <f t="shared" si="16"/>
        <v>1393</v>
      </c>
      <c r="L1064" s="97">
        <f>_xlfn.XLOOKUP(E1064,Emp_Data!$B$2:$B$9,Emp_Data!$A$2:$A$9)</f>
        <v>2</v>
      </c>
    </row>
    <row r="1065" spans="1:12">
      <c r="A1065" s="99">
        <v>1343</v>
      </c>
      <c r="B1065" s="101">
        <v>44627</v>
      </c>
      <c r="C1065" s="96">
        <v>4</v>
      </c>
      <c r="D1065" s="104" t="s">
        <v>13</v>
      </c>
      <c r="E1065" s="97" t="s">
        <v>21</v>
      </c>
      <c r="F1065" s="97" t="str">
        <f>VLOOKUP(E1065,Emp_Data!$B$2:$C$9,2,)</f>
        <v>Sara</v>
      </c>
      <c r="G1065" s="97" t="s">
        <v>15</v>
      </c>
      <c r="H1065" s="97" t="s">
        <v>41</v>
      </c>
      <c r="I1065" s="97">
        <v>199</v>
      </c>
      <c r="J1065" s="97">
        <v>1</v>
      </c>
      <c r="K1065" s="97">
        <f t="shared" si="16"/>
        <v>199</v>
      </c>
      <c r="L1065" s="97">
        <f>_xlfn.XLOOKUP(E1065,Emp_Data!$B$2:$B$9,Emp_Data!$A$2:$A$9)</f>
        <v>2</v>
      </c>
    </row>
    <row r="1066" spans="1:12">
      <c r="A1066" s="99">
        <v>1344</v>
      </c>
      <c r="B1066" s="101">
        <v>44627</v>
      </c>
      <c r="C1066" s="96">
        <v>6</v>
      </c>
      <c r="D1066" s="104" t="s">
        <v>10</v>
      </c>
      <c r="E1066" s="97" t="s">
        <v>27</v>
      </c>
      <c r="F1066" s="97" t="str">
        <f>VLOOKUP(E1066,Emp_Data!$B$2:$C$9,2,)</f>
        <v>Philip</v>
      </c>
      <c r="G1066" s="97" t="s">
        <v>12</v>
      </c>
      <c r="H1066" s="97" t="s">
        <v>41</v>
      </c>
      <c r="I1066" s="97">
        <v>199</v>
      </c>
      <c r="J1066" s="97">
        <v>0</v>
      </c>
      <c r="K1066" s="97">
        <f t="shared" si="16"/>
        <v>0</v>
      </c>
      <c r="L1066" s="97">
        <f>_xlfn.XLOOKUP(E1066,Emp_Data!$B$2:$B$9,Emp_Data!$A$2:$A$9)</f>
        <v>8</v>
      </c>
    </row>
    <row r="1067" spans="1:12">
      <c r="A1067" s="99">
        <v>1348</v>
      </c>
      <c r="B1067" s="101">
        <v>44629</v>
      </c>
      <c r="C1067" s="96">
        <v>4</v>
      </c>
      <c r="D1067" s="104" t="s">
        <v>13</v>
      </c>
      <c r="E1067" s="97" t="s">
        <v>21</v>
      </c>
      <c r="F1067" s="97" t="str">
        <f>VLOOKUP(E1067,Emp_Data!$B$2:$C$9,2,)</f>
        <v>Sara</v>
      </c>
      <c r="G1067" s="97" t="s">
        <v>15</v>
      </c>
      <c r="H1067" s="97" t="s">
        <v>41</v>
      </c>
      <c r="I1067" s="97">
        <v>199</v>
      </c>
      <c r="J1067" s="97">
        <v>6</v>
      </c>
      <c r="K1067" s="97">
        <f t="shared" si="16"/>
        <v>1194</v>
      </c>
      <c r="L1067" s="97">
        <f>_xlfn.XLOOKUP(E1067,Emp_Data!$B$2:$B$9,Emp_Data!$A$2:$A$9)</f>
        <v>2</v>
      </c>
    </row>
    <row r="1068" spans="1:12">
      <c r="A1068" s="99">
        <v>1349</v>
      </c>
      <c r="B1068" s="101">
        <v>44629</v>
      </c>
      <c r="C1068" s="96">
        <v>19</v>
      </c>
      <c r="D1068" s="104" t="s">
        <v>22</v>
      </c>
      <c r="E1068" s="97" t="s">
        <v>8</v>
      </c>
      <c r="F1068" s="97" t="str">
        <f>VLOOKUP(E1068,Emp_Data!$B$2:$C$9,2,)</f>
        <v>Jeff</v>
      </c>
      <c r="G1068" s="97" t="s">
        <v>9</v>
      </c>
      <c r="H1068" s="97" t="s">
        <v>41</v>
      </c>
      <c r="I1068" s="97">
        <v>199</v>
      </c>
      <c r="J1068" s="97">
        <v>4</v>
      </c>
      <c r="K1068" s="97">
        <f t="shared" si="16"/>
        <v>796</v>
      </c>
      <c r="L1068" s="97">
        <f>_xlfn.XLOOKUP(E1068,Emp_Data!$B$2:$B$9,Emp_Data!$A$2:$A$9)</f>
        <v>3</v>
      </c>
    </row>
    <row r="1069" spans="1:12">
      <c r="A1069" s="99">
        <v>1350</v>
      </c>
      <c r="B1069" s="101">
        <v>44629</v>
      </c>
      <c r="C1069" s="96">
        <v>8</v>
      </c>
      <c r="D1069" s="104" t="s">
        <v>36</v>
      </c>
      <c r="E1069" s="97" t="s">
        <v>27</v>
      </c>
      <c r="F1069" s="97" t="str">
        <f>VLOOKUP(E1069,Emp_Data!$B$2:$C$9,2,)</f>
        <v>Philip</v>
      </c>
      <c r="G1069" s="97" t="s">
        <v>12</v>
      </c>
      <c r="H1069" s="97" t="s">
        <v>41</v>
      </c>
      <c r="I1069" s="97">
        <v>199</v>
      </c>
      <c r="J1069" s="97">
        <v>7</v>
      </c>
      <c r="K1069" s="97">
        <f t="shared" si="16"/>
        <v>1393</v>
      </c>
      <c r="L1069" s="97">
        <f>_xlfn.XLOOKUP(E1069,Emp_Data!$B$2:$B$9,Emp_Data!$A$2:$A$9)</f>
        <v>8</v>
      </c>
    </row>
    <row r="1070" spans="1:12">
      <c r="A1070" s="99">
        <v>1352</v>
      </c>
      <c r="B1070" s="101">
        <v>44630</v>
      </c>
      <c r="C1070" s="96">
        <v>15</v>
      </c>
      <c r="D1070" s="104" t="s">
        <v>29</v>
      </c>
      <c r="E1070" s="97" t="s">
        <v>24</v>
      </c>
      <c r="F1070" s="97" t="str">
        <f>VLOOKUP(E1070,Emp_Data!$B$2:$C$9,2,)</f>
        <v>Steve</v>
      </c>
      <c r="G1070" s="97" t="s">
        <v>19</v>
      </c>
      <c r="H1070" s="97" t="s">
        <v>41</v>
      </c>
      <c r="I1070" s="97">
        <v>199</v>
      </c>
      <c r="J1070" s="97">
        <v>2</v>
      </c>
      <c r="K1070" s="97">
        <f t="shared" si="16"/>
        <v>398</v>
      </c>
      <c r="L1070" s="97">
        <f>_xlfn.XLOOKUP(E1070,Emp_Data!$B$2:$B$9,Emp_Data!$A$2:$A$9)</f>
        <v>6</v>
      </c>
    </row>
    <row r="1071" spans="1:12">
      <c r="A1071" s="99">
        <v>1365</v>
      </c>
      <c r="B1071" s="101">
        <v>44631</v>
      </c>
      <c r="C1071" s="96">
        <v>14</v>
      </c>
      <c r="D1071" s="104" t="s">
        <v>33</v>
      </c>
      <c r="E1071" s="97" t="s">
        <v>18</v>
      </c>
      <c r="F1071" s="97" t="str">
        <f>VLOOKUP(E1071,Emp_Data!$B$2:$C$9,2,)</f>
        <v>Sara</v>
      </c>
      <c r="G1071" s="97" t="s">
        <v>19</v>
      </c>
      <c r="H1071" s="97" t="s">
        <v>41</v>
      </c>
      <c r="I1071" s="97">
        <v>199</v>
      </c>
      <c r="J1071" s="97">
        <v>1</v>
      </c>
      <c r="K1071" s="97">
        <f t="shared" si="16"/>
        <v>199</v>
      </c>
      <c r="L1071" s="97">
        <f>_xlfn.XLOOKUP(E1071,Emp_Data!$B$2:$B$9,Emp_Data!$A$2:$A$9)</f>
        <v>5</v>
      </c>
    </row>
    <row r="1072" spans="1:12">
      <c r="A1072" s="99">
        <v>1367</v>
      </c>
      <c r="B1072" s="101">
        <v>44631</v>
      </c>
      <c r="C1072" s="96">
        <v>8</v>
      </c>
      <c r="D1072" s="104" t="s">
        <v>36</v>
      </c>
      <c r="E1072" s="97" t="s">
        <v>27</v>
      </c>
      <c r="F1072" s="97" t="str">
        <f>VLOOKUP(E1072,Emp_Data!$B$2:$C$9,2,)</f>
        <v>Philip</v>
      </c>
      <c r="G1072" s="97" t="s">
        <v>12</v>
      </c>
      <c r="H1072" s="97" t="s">
        <v>41</v>
      </c>
      <c r="I1072" s="97">
        <v>199</v>
      </c>
      <c r="J1072" s="97">
        <v>5</v>
      </c>
      <c r="K1072" s="97">
        <f t="shared" si="16"/>
        <v>995</v>
      </c>
      <c r="L1072" s="97">
        <f>_xlfn.XLOOKUP(E1072,Emp_Data!$B$2:$B$9,Emp_Data!$A$2:$A$9)</f>
        <v>8</v>
      </c>
    </row>
    <row r="1073" spans="1:12">
      <c r="A1073" s="99">
        <v>1369</v>
      </c>
      <c r="B1073" s="101">
        <v>44633</v>
      </c>
      <c r="C1073" s="96">
        <v>11</v>
      </c>
      <c r="D1073" s="104" t="s">
        <v>38</v>
      </c>
      <c r="E1073" s="97" t="s">
        <v>18</v>
      </c>
      <c r="F1073" s="97" t="str">
        <f>VLOOKUP(E1073,Emp_Data!$B$2:$C$9,2,)</f>
        <v>Sara</v>
      </c>
      <c r="G1073" s="97" t="s">
        <v>19</v>
      </c>
      <c r="H1073" s="97" t="s">
        <v>41</v>
      </c>
      <c r="I1073" s="97">
        <v>199</v>
      </c>
      <c r="J1073" s="97">
        <v>0</v>
      </c>
      <c r="K1073" s="97">
        <f t="shared" si="16"/>
        <v>0</v>
      </c>
      <c r="L1073" s="97">
        <f>_xlfn.XLOOKUP(E1073,Emp_Data!$B$2:$B$9,Emp_Data!$A$2:$A$9)</f>
        <v>5</v>
      </c>
    </row>
    <row r="1074" spans="1:12">
      <c r="A1074" s="99">
        <v>1373</v>
      </c>
      <c r="B1074" s="101">
        <v>44635</v>
      </c>
      <c r="C1074" s="96">
        <v>1</v>
      </c>
      <c r="D1074" s="104" t="s">
        <v>31</v>
      </c>
      <c r="E1074" s="97" t="s">
        <v>21</v>
      </c>
      <c r="F1074" s="97" t="str">
        <f>VLOOKUP(E1074,Emp_Data!$B$2:$C$9,2,)</f>
        <v>Sara</v>
      </c>
      <c r="G1074" s="97" t="s">
        <v>15</v>
      </c>
      <c r="H1074" s="97" t="s">
        <v>41</v>
      </c>
      <c r="I1074" s="97">
        <v>199</v>
      </c>
      <c r="J1074" s="97">
        <v>4</v>
      </c>
      <c r="K1074" s="97">
        <f t="shared" si="16"/>
        <v>796</v>
      </c>
      <c r="L1074" s="97">
        <f>_xlfn.XLOOKUP(E1074,Emp_Data!$B$2:$B$9,Emp_Data!$A$2:$A$9)</f>
        <v>2</v>
      </c>
    </row>
    <row r="1075" spans="1:12">
      <c r="A1075" s="99">
        <v>1384</v>
      </c>
      <c r="B1075" s="101">
        <v>44639</v>
      </c>
      <c r="C1075" s="96">
        <v>15</v>
      </c>
      <c r="D1075" s="104" t="s">
        <v>29</v>
      </c>
      <c r="E1075" s="97" t="s">
        <v>18</v>
      </c>
      <c r="F1075" s="97" t="str">
        <f>VLOOKUP(E1075,Emp_Data!$B$2:$C$9,2,)</f>
        <v>Sara</v>
      </c>
      <c r="G1075" s="97" t="s">
        <v>19</v>
      </c>
      <c r="H1075" s="97" t="s">
        <v>41</v>
      </c>
      <c r="I1075" s="97">
        <v>199</v>
      </c>
      <c r="J1075" s="97">
        <v>9</v>
      </c>
      <c r="K1075" s="97">
        <f t="shared" si="16"/>
        <v>1791</v>
      </c>
      <c r="L1075" s="97">
        <f>_xlfn.XLOOKUP(E1075,Emp_Data!$B$2:$B$9,Emp_Data!$A$2:$A$9)</f>
        <v>5</v>
      </c>
    </row>
    <row r="1076" spans="1:12">
      <c r="A1076" s="99">
        <v>1386</v>
      </c>
      <c r="B1076" s="101">
        <v>44639</v>
      </c>
      <c r="C1076" s="96">
        <v>2</v>
      </c>
      <c r="D1076" s="104" t="s">
        <v>35</v>
      </c>
      <c r="E1076" s="97" t="s">
        <v>21</v>
      </c>
      <c r="F1076" s="97" t="str">
        <f>VLOOKUP(E1076,Emp_Data!$B$2:$C$9,2,)</f>
        <v>Sara</v>
      </c>
      <c r="G1076" s="97" t="s">
        <v>15</v>
      </c>
      <c r="H1076" s="97" t="s">
        <v>41</v>
      </c>
      <c r="I1076" s="97">
        <v>199</v>
      </c>
      <c r="J1076" s="97">
        <v>8</v>
      </c>
      <c r="K1076" s="97">
        <f t="shared" si="16"/>
        <v>1592</v>
      </c>
      <c r="L1076" s="97">
        <f>_xlfn.XLOOKUP(E1076,Emp_Data!$B$2:$B$9,Emp_Data!$A$2:$A$9)</f>
        <v>2</v>
      </c>
    </row>
    <row r="1077" spans="1:12">
      <c r="A1077" s="99">
        <v>1395</v>
      </c>
      <c r="B1077" s="101">
        <v>44641</v>
      </c>
      <c r="C1077" s="96">
        <v>4</v>
      </c>
      <c r="D1077" s="104" t="s">
        <v>13</v>
      </c>
      <c r="E1077" s="97" t="s">
        <v>14</v>
      </c>
      <c r="F1077" s="97" t="str">
        <f>VLOOKUP(E1077,Emp_Data!$B$2:$C$9,2,)</f>
        <v>Jeff</v>
      </c>
      <c r="G1077" s="97" t="s">
        <v>15</v>
      </c>
      <c r="H1077" s="97" t="s">
        <v>41</v>
      </c>
      <c r="I1077" s="97">
        <v>199</v>
      </c>
      <c r="J1077" s="97">
        <v>3</v>
      </c>
      <c r="K1077" s="97">
        <f t="shared" si="16"/>
        <v>597</v>
      </c>
      <c r="L1077" s="97">
        <f>_xlfn.XLOOKUP(E1077,Emp_Data!$B$2:$B$9,Emp_Data!$A$2:$A$9)</f>
        <v>2</v>
      </c>
    </row>
    <row r="1078" spans="1:12">
      <c r="A1078" s="99">
        <v>1399</v>
      </c>
      <c r="B1078" s="101">
        <v>44643</v>
      </c>
      <c r="C1078" s="96">
        <v>2</v>
      </c>
      <c r="D1078" s="104" t="s">
        <v>35</v>
      </c>
      <c r="E1078" s="97" t="s">
        <v>21</v>
      </c>
      <c r="F1078" s="97" t="str">
        <f>VLOOKUP(E1078,Emp_Data!$B$2:$C$9,2,)</f>
        <v>Sara</v>
      </c>
      <c r="G1078" s="97" t="s">
        <v>15</v>
      </c>
      <c r="H1078" s="97" t="s">
        <v>41</v>
      </c>
      <c r="I1078" s="97">
        <v>199</v>
      </c>
      <c r="J1078" s="97">
        <v>8</v>
      </c>
      <c r="K1078" s="97">
        <f t="shared" si="16"/>
        <v>1592</v>
      </c>
      <c r="L1078" s="97">
        <f>_xlfn.XLOOKUP(E1078,Emp_Data!$B$2:$B$9,Emp_Data!$A$2:$A$9)</f>
        <v>2</v>
      </c>
    </row>
    <row r="1079" spans="1:12">
      <c r="A1079" s="99">
        <v>1405</v>
      </c>
      <c r="B1079" s="101">
        <v>44643</v>
      </c>
      <c r="C1079" s="96">
        <v>11</v>
      </c>
      <c r="D1079" s="104" t="s">
        <v>38</v>
      </c>
      <c r="E1079" s="97" t="s">
        <v>24</v>
      </c>
      <c r="F1079" s="97" t="str">
        <f>VLOOKUP(E1079,Emp_Data!$B$2:$C$9,2,)</f>
        <v>Steve</v>
      </c>
      <c r="G1079" s="97" t="s">
        <v>19</v>
      </c>
      <c r="H1079" s="97" t="s">
        <v>41</v>
      </c>
      <c r="I1079" s="97">
        <v>199</v>
      </c>
      <c r="J1079" s="97">
        <v>8</v>
      </c>
      <c r="K1079" s="97">
        <f t="shared" si="16"/>
        <v>1592</v>
      </c>
      <c r="L1079" s="97">
        <f>_xlfn.XLOOKUP(E1079,Emp_Data!$B$2:$B$9,Emp_Data!$A$2:$A$9)</f>
        <v>6</v>
      </c>
    </row>
    <row r="1080" spans="1:12">
      <c r="A1080" s="99">
        <v>1411</v>
      </c>
      <c r="B1080" s="101">
        <v>44646</v>
      </c>
      <c r="C1080" s="96">
        <v>8</v>
      </c>
      <c r="D1080" s="104" t="s">
        <v>36</v>
      </c>
      <c r="E1080" s="97" t="s">
        <v>11</v>
      </c>
      <c r="F1080" s="97" t="str">
        <f>VLOOKUP(E1080,Emp_Data!$B$2:$C$9,2,)</f>
        <v>Steve</v>
      </c>
      <c r="G1080" s="97" t="s">
        <v>12</v>
      </c>
      <c r="H1080" s="97" t="s">
        <v>41</v>
      </c>
      <c r="I1080" s="97">
        <v>199</v>
      </c>
      <c r="J1080" s="97">
        <v>1</v>
      </c>
      <c r="K1080" s="97">
        <f t="shared" si="16"/>
        <v>199</v>
      </c>
      <c r="L1080" s="97">
        <f>_xlfn.XLOOKUP(E1080,Emp_Data!$B$2:$B$9,Emp_Data!$A$2:$A$9)</f>
        <v>4</v>
      </c>
    </row>
    <row r="1081" spans="1:12">
      <c r="A1081" s="99">
        <v>1417</v>
      </c>
      <c r="B1081" s="101">
        <v>44647</v>
      </c>
      <c r="C1081" s="96">
        <v>18</v>
      </c>
      <c r="D1081" s="104" t="s">
        <v>30</v>
      </c>
      <c r="E1081" s="97" t="s">
        <v>25</v>
      </c>
      <c r="F1081" s="97" t="str">
        <f>VLOOKUP(E1081,Emp_Data!$B$2:$C$9,2,)</f>
        <v>Jeff</v>
      </c>
      <c r="G1081" s="97" t="s">
        <v>9</v>
      </c>
      <c r="H1081" s="97" t="s">
        <v>41</v>
      </c>
      <c r="I1081" s="97">
        <v>199</v>
      </c>
      <c r="J1081" s="97">
        <v>2</v>
      </c>
      <c r="K1081" s="97">
        <f t="shared" si="16"/>
        <v>398</v>
      </c>
      <c r="L1081" s="97">
        <f>_xlfn.XLOOKUP(E1081,Emp_Data!$B$2:$B$9,Emp_Data!$A$2:$A$9)</f>
        <v>5</v>
      </c>
    </row>
    <row r="1082" spans="1:12">
      <c r="A1082" s="99">
        <v>1420</v>
      </c>
      <c r="B1082" s="101">
        <v>44649</v>
      </c>
      <c r="C1082" s="96">
        <v>18</v>
      </c>
      <c r="D1082" s="104" t="s">
        <v>30</v>
      </c>
      <c r="E1082" s="97" t="s">
        <v>8</v>
      </c>
      <c r="F1082" s="97" t="str">
        <f>VLOOKUP(E1082,Emp_Data!$B$2:$C$9,2,)</f>
        <v>Jeff</v>
      </c>
      <c r="G1082" s="97" t="s">
        <v>9</v>
      </c>
      <c r="H1082" s="97" t="s">
        <v>41</v>
      </c>
      <c r="I1082" s="97">
        <v>199</v>
      </c>
      <c r="J1082" s="97">
        <v>0</v>
      </c>
      <c r="K1082" s="97">
        <f t="shared" si="16"/>
        <v>0</v>
      </c>
      <c r="L1082" s="97">
        <f>_xlfn.XLOOKUP(E1082,Emp_Data!$B$2:$B$9,Emp_Data!$A$2:$A$9)</f>
        <v>3</v>
      </c>
    </row>
    <row r="1083" spans="1:12">
      <c r="A1083" s="99">
        <v>1421</v>
      </c>
      <c r="B1083" s="101">
        <v>44649</v>
      </c>
      <c r="C1083" s="96">
        <v>2</v>
      </c>
      <c r="D1083" s="104" t="s">
        <v>35</v>
      </c>
      <c r="E1083" s="97" t="s">
        <v>14</v>
      </c>
      <c r="F1083" s="97" t="str">
        <f>VLOOKUP(E1083,Emp_Data!$B$2:$C$9,2,)</f>
        <v>Jeff</v>
      </c>
      <c r="G1083" s="97" t="s">
        <v>15</v>
      </c>
      <c r="H1083" s="97" t="s">
        <v>41</v>
      </c>
      <c r="I1083" s="97">
        <v>199</v>
      </c>
      <c r="J1083" s="97">
        <v>0</v>
      </c>
      <c r="K1083" s="97">
        <f t="shared" si="16"/>
        <v>0</v>
      </c>
      <c r="L1083" s="97">
        <f>_xlfn.XLOOKUP(E1083,Emp_Data!$B$2:$B$9,Emp_Data!$A$2:$A$9)</f>
        <v>2</v>
      </c>
    </row>
    <row r="1084" spans="1:12">
      <c r="A1084" s="99">
        <v>1422</v>
      </c>
      <c r="B1084" s="101">
        <v>44650</v>
      </c>
      <c r="C1084" s="96">
        <v>2</v>
      </c>
      <c r="D1084" s="104" t="s">
        <v>35</v>
      </c>
      <c r="E1084" s="97" t="s">
        <v>21</v>
      </c>
      <c r="F1084" s="97" t="str">
        <f>VLOOKUP(E1084,Emp_Data!$B$2:$C$9,2,)</f>
        <v>Sara</v>
      </c>
      <c r="G1084" s="97" t="s">
        <v>15</v>
      </c>
      <c r="H1084" s="97" t="s">
        <v>41</v>
      </c>
      <c r="I1084" s="97">
        <v>199</v>
      </c>
      <c r="J1084" s="97">
        <v>9</v>
      </c>
      <c r="K1084" s="97">
        <f t="shared" si="16"/>
        <v>1791</v>
      </c>
      <c r="L1084" s="97">
        <f>_xlfn.XLOOKUP(E1084,Emp_Data!$B$2:$B$9,Emp_Data!$A$2:$A$9)</f>
        <v>2</v>
      </c>
    </row>
    <row r="1085" spans="1:12">
      <c r="A1085" s="99">
        <v>1428</v>
      </c>
      <c r="B1085" s="101">
        <v>44651</v>
      </c>
      <c r="C1085" s="96">
        <v>5</v>
      </c>
      <c r="D1085" s="104" t="s">
        <v>16</v>
      </c>
      <c r="E1085" s="97" t="s">
        <v>21</v>
      </c>
      <c r="F1085" s="97" t="str">
        <f>VLOOKUP(E1085,Emp_Data!$B$2:$C$9,2,)</f>
        <v>Sara</v>
      </c>
      <c r="G1085" s="97" t="s">
        <v>15</v>
      </c>
      <c r="H1085" s="97" t="s">
        <v>41</v>
      </c>
      <c r="I1085" s="97">
        <v>199</v>
      </c>
      <c r="J1085" s="97">
        <v>9</v>
      </c>
      <c r="K1085" s="97">
        <f t="shared" si="16"/>
        <v>1791</v>
      </c>
      <c r="L1085" s="97">
        <f>_xlfn.XLOOKUP(E1085,Emp_Data!$B$2:$B$9,Emp_Data!$A$2:$A$9)</f>
        <v>2</v>
      </c>
    </row>
    <row r="1086" spans="1:12">
      <c r="A1086" s="99">
        <v>1430</v>
      </c>
      <c r="B1086" s="101">
        <v>44652</v>
      </c>
      <c r="C1086" s="96">
        <v>10</v>
      </c>
      <c r="D1086" s="104" t="s">
        <v>34</v>
      </c>
      <c r="E1086" s="97" t="s">
        <v>27</v>
      </c>
      <c r="F1086" s="97" t="str">
        <f>VLOOKUP(E1086,Emp_Data!$B$2:$C$9,2,)</f>
        <v>Philip</v>
      </c>
      <c r="G1086" s="97" t="s">
        <v>12</v>
      </c>
      <c r="H1086" s="97" t="s">
        <v>41</v>
      </c>
      <c r="I1086" s="97">
        <v>199</v>
      </c>
      <c r="J1086" s="97">
        <v>6</v>
      </c>
      <c r="K1086" s="97">
        <f t="shared" si="16"/>
        <v>1194</v>
      </c>
      <c r="L1086" s="97">
        <f>_xlfn.XLOOKUP(E1086,Emp_Data!$B$2:$B$9,Emp_Data!$A$2:$A$9)</f>
        <v>8</v>
      </c>
    </row>
    <row r="1087" spans="1:12">
      <c r="A1087" s="99">
        <v>1437</v>
      </c>
      <c r="B1087" s="101">
        <v>44656</v>
      </c>
      <c r="C1087" s="96">
        <v>7</v>
      </c>
      <c r="D1087" s="104" t="s">
        <v>28</v>
      </c>
      <c r="E1087" s="97" t="s">
        <v>11</v>
      </c>
      <c r="F1087" s="97" t="str">
        <f>VLOOKUP(E1087,Emp_Data!$B$2:$C$9,2,)</f>
        <v>Steve</v>
      </c>
      <c r="G1087" s="97" t="s">
        <v>12</v>
      </c>
      <c r="H1087" s="97" t="s">
        <v>41</v>
      </c>
      <c r="I1087" s="97">
        <v>199</v>
      </c>
      <c r="J1087" s="97">
        <v>8</v>
      </c>
      <c r="K1087" s="97">
        <f t="shared" si="16"/>
        <v>1592</v>
      </c>
      <c r="L1087" s="97">
        <f>_xlfn.XLOOKUP(E1087,Emp_Data!$B$2:$B$9,Emp_Data!$A$2:$A$9)</f>
        <v>4</v>
      </c>
    </row>
    <row r="1088" spans="1:12">
      <c r="A1088" s="99">
        <v>1439</v>
      </c>
      <c r="B1088" s="101">
        <v>44656</v>
      </c>
      <c r="C1088" s="96">
        <v>16</v>
      </c>
      <c r="D1088" s="104" t="s">
        <v>37</v>
      </c>
      <c r="E1088" s="97" t="s">
        <v>8</v>
      </c>
      <c r="F1088" s="97" t="str">
        <f>VLOOKUP(E1088,Emp_Data!$B$2:$C$9,2,)</f>
        <v>Jeff</v>
      </c>
      <c r="G1088" s="97" t="s">
        <v>9</v>
      </c>
      <c r="H1088" s="97" t="s">
        <v>41</v>
      </c>
      <c r="I1088" s="97">
        <v>199</v>
      </c>
      <c r="J1088" s="97">
        <v>9</v>
      </c>
      <c r="K1088" s="97">
        <f t="shared" si="16"/>
        <v>1791</v>
      </c>
      <c r="L1088" s="97">
        <f>_xlfn.XLOOKUP(E1088,Emp_Data!$B$2:$B$9,Emp_Data!$A$2:$A$9)</f>
        <v>3</v>
      </c>
    </row>
    <row r="1089" spans="1:12">
      <c r="A1089" s="99">
        <v>1440</v>
      </c>
      <c r="B1089" s="101">
        <v>44656</v>
      </c>
      <c r="C1089" s="96">
        <v>18</v>
      </c>
      <c r="D1089" s="104" t="s">
        <v>30</v>
      </c>
      <c r="E1089" s="97" t="s">
        <v>8</v>
      </c>
      <c r="F1089" s="97" t="str">
        <f>VLOOKUP(E1089,Emp_Data!$B$2:$C$9,2,)</f>
        <v>Jeff</v>
      </c>
      <c r="G1089" s="97" t="s">
        <v>9</v>
      </c>
      <c r="H1089" s="97" t="s">
        <v>41</v>
      </c>
      <c r="I1089" s="97">
        <v>199</v>
      </c>
      <c r="J1089" s="97">
        <v>2</v>
      </c>
      <c r="K1089" s="97">
        <f t="shared" si="16"/>
        <v>398</v>
      </c>
      <c r="L1089" s="97">
        <f>_xlfn.XLOOKUP(E1089,Emp_Data!$B$2:$B$9,Emp_Data!$A$2:$A$9)</f>
        <v>3</v>
      </c>
    </row>
    <row r="1090" spans="1:12">
      <c r="A1090" s="99">
        <v>1441</v>
      </c>
      <c r="B1090" s="101">
        <v>44656</v>
      </c>
      <c r="C1090" s="96">
        <v>13</v>
      </c>
      <c r="D1090" s="104" t="s">
        <v>23</v>
      </c>
      <c r="E1090" s="97" t="s">
        <v>24</v>
      </c>
      <c r="F1090" s="97" t="str">
        <f>VLOOKUP(E1090,Emp_Data!$B$2:$C$9,2,)</f>
        <v>Steve</v>
      </c>
      <c r="G1090" s="97" t="s">
        <v>19</v>
      </c>
      <c r="H1090" s="97" t="s">
        <v>41</v>
      </c>
      <c r="I1090" s="97">
        <v>199</v>
      </c>
      <c r="J1090" s="97">
        <v>5</v>
      </c>
      <c r="K1090" s="97">
        <f t="shared" si="16"/>
        <v>995</v>
      </c>
      <c r="L1090" s="97">
        <f>_xlfn.XLOOKUP(E1090,Emp_Data!$B$2:$B$9,Emp_Data!$A$2:$A$9)</f>
        <v>6</v>
      </c>
    </row>
    <row r="1091" spans="1:12">
      <c r="A1091" s="99">
        <v>1445</v>
      </c>
      <c r="B1091" s="101">
        <v>44657</v>
      </c>
      <c r="C1091" s="96">
        <v>1</v>
      </c>
      <c r="D1091" s="104" t="s">
        <v>31</v>
      </c>
      <c r="E1091" s="97" t="s">
        <v>21</v>
      </c>
      <c r="F1091" s="97" t="str">
        <f>VLOOKUP(E1091,Emp_Data!$B$2:$C$9,2,)</f>
        <v>Sara</v>
      </c>
      <c r="G1091" s="97" t="s">
        <v>15</v>
      </c>
      <c r="H1091" s="97" t="s">
        <v>41</v>
      </c>
      <c r="I1091" s="97">
        <v>199</v>
      </c>
      <c r="J1091" s="97">
        <v>3</v>
      </c>
      <c r="K1091" s="97">
        <f t="shared" ref="K1091:K1154" si="17">SUMPRODUCT(I1091,J1091)</f>
        <v>597</v>
      </c>
      <c r="L1091" s="97">
        <f>_xlfn.XLOOKUP(E1091,Emp_Data!$B$2:$B$9,Emp_Data!$A$2:$A$9)</f>
        <v>2</v>
      </c>
    </row>
    <row r="1092" spans="1:12">
      <c r="A1092" s="99">
        <v>1450</v>
      </c>
      <c r="B1092" s="101">
        <v>44658</v>
      </c>
      <c r="C1092" s="96">
        <v>4</v>
      </c>
      <c r="D1092" s="104" t="s">
        <v>13</v>
      </c>
      <c r="E1092" s="97" t="s">
        <v>21</v>
      </c>
      <c r="F1092" s="97" t="str">
        <f>VLOOKUP(E1092,Emp_Data!$B$2:$C$9,2,)</f>
        <v>Sara</v>
      </c>
      <c r="G1092" s="97" t="s">
        <v>15</v>
      </c>
      <c r="H1092" s="97" t="s">
        <v>41</v>
      </c>
      <c r="I1092" s="97">
        <v>199</v>
      </c>
      <c r="J1092" s="97">
        <v>5</v>
      </c>
      <c r="K1092" s="97">
        <f t="shared" si="17"/>
        <v>995</v>
      </c>
      <c r="L1092" s="97">
        <f>_xlfn.XLOOKUP(E1092,Emp_Data!$B$2:$B$9,Emp_Data!$A$2:$A$9)</f>
        <v>2</v>
      </c>
    </row>
    <row r="1093" spans="1:12">
      <c r="A1093" s="99">
        <v>1456</v>
      </c>
      <c r="B1093" s="101">
        <v>44660</v>
      </c>
      <c r="C1093" s="96">
        <v>17</v>
      </c>
      <c r="D1093" s="104" t="s">
        <v>32</v>
      </c>
      <c r="E1093" s="97" t="s">
        <v>25</v>
      </c>
      <c r="F1093" s="97" t="str">
        <f>VLOOKUP(E1093,Emp_Data!$B$2:$C$9,2,)</f>
        <v>Jeff</v>
      </c>
      <c r="G1093" s="97" t="s">
        <v>9</v>
      </c>
      <c r="H1093" s="97" t="s">
        <v>41</v>
      </c>
      <c r="I1093" s="97">
        <v>199</v>
      </c>
      <c r="J1093" s="97">
        <v>7</v>
      </c>
      <c r="K1093" s="97">
        <f t="shared" si="17"/>
        <v>1393</v>
      </c>
      <c r="L1093" s="97">
        <f>_xlfn.XLOOKUP(E1093,Emp_Data!$B$2:$B$9,Emp_Data!$A$2:$A$9)</f>
        <v>5</v>
      </c>
    </row>
    <row r="1094" spans="1:12">
      <c r="A1094" s="99">
        <v>1459</v>
      </c>
      <c r="B1094" s="101">
        <v>44661</v>
      </c>
      <c r="C1094" s="96">
        <v>17</v>
      </c>
      <c r="D1094" s="104" t="s">
        <v>32</v>
      </c>
      <c r="E1094" s="97" t="s">
        <v>8</v>
      </c>
      <c r="F1094" s="97" t="str">
        <f>VLOOKUP(E1094,Emp_Data!$B$2:$C$9,2,)</f>
        <v>Jeff</v>
      </c>
      <c r="G1094" s="97" t="s">
        <v>9</v>
      </c>
      <c r="H1094" s="97" t="s">
        <v>41</v>
      </c>
      <c r="I1094" s="97">
        <v>199</v>
      </c>
      <c r="J1094" s="97">
        <v>5</v>
      </c>
      <c r="K1094" s="97">
        <f t="shared" si="17"/>
        <v>995</v>
      </c>
      <c r="L1094" s="97">
        <f>_xlfn.XLOOKUP(E1094,Emp_Data!$B$2:$B$9,Emp_Data!$A$2:$A$9)</f>
        <v>3</v>
      </c>
    </row>
    <row r="1095" spans="1:12">
      <c r="A1095" s="99">
        <v>1460</v>
      </c>
      <c r="B1095" s="101">
        <v>44662</v>
      </c>
      <c r="C1095" s="96">
        <v>13</v>
      </c>
      <c r="D1095" s="104" t="s">
        <v>23</v>
      </c>
      <c r="E1095" s="97" t="s">
        <v>18</v>
      </c>
      <c r="F1095" s="97" t="str">
        <f>VLOOKUP(E1095,Emp_Data!$B$2:$C$9,2,)</f>
        <v>Sara</v>
      </c>
      <c r="G1095" s="97" t="s">
        <v>19</v>
      </c>
      <c r="H1095" s="97" t="s">
        <v>41</v>
      </c>
      <c r="I1095" s="97">
        <v>199</v>
      </c>
      <c r="J1095" s="97">
        <v>9</v>
      </c>
      <c r="K1095" s="97">
        <f t="shared" si="17"/>
        <v>1791</v>
      </c>
      <c r="L1095" s="97">
        <f>_xlfn.XLOOKUP(E1095,Emp_Data!$B$2:$B$9,Emp_Data!$A$2:$A$9)</f>
        <v>5</v>
      </c>
    </row>
    <row r="1096" spans="1:12">
      <c r="A1096" s="99">
        <v>1463</v>
      </c>
      <c r="B1096" s="101">
        <v>44663</v>
      </c>
      <c r="C1096" s="96">
        <v>13</v>
      </c>
      <c r="D1096" s="104" t="s">
        <v>23</v>
      </c>
      <c r="E1096" s="97" t="s">
        <v>18</v>
      </c>
      <c r="F1096" s="97" t="str">
        <f>VLOOKUP(E1096,Emp_Data!$B$2:$C$9,2,)</f>
        <v>Sara</v>
      </c>
      <c r="G1096" s="97" t="s">
        <v>19</v>
      </c>
      <c r="H1096" s="97" t="s">
        <v>41</v>
      </c>
      <c r="I1096" s="97">
        <v>199</v>
      </c>
      <c r="J1096" s="97">
        <v>3</v>
      </c>
      <c r="K1096" s="97">
        <f t="shared" si="17"/>
        <v>597</v>
      </c>
      <c r="L1096" s="97">
        <f>_xlfn.XLOOKUP(E1096,Emp_Data!$B$2:$B$9,Emp_Data!$A$2:$A$9)</f>
        <v>5</v>
      </c>
    </row>
    <row r="1097" spans="1:12">
      <c r="A1097" s="99">
        <v>1467</v>
      </c>
      <c r="B1097" s="101">
        <v>44666</v>
      </c>
      <c r="C1097" s="96">
        <v>3</v>
      </c>
      <c r="D1097" s="104" t="s">
        <v>20</v>
      </c>
      <c r="E1097" s="97" t="s">
        <v>21</v>
      </c>
      <c r="F1097" s="97" t="str">
        <f>VLOOKUP(E1097,Emp_Data!$B$2:$C$9,2,)</f>
        <v>Sara</v>
      </c>
      <c r="G1097" s="97" t="s">
        <v>15</v>
      </c>
      <c r="H1097" s="97" t="s">
        <v>41</v>
      </c>
      <c r="I1097" s="97">
        <v>199</v>
      </c>
      <c r="J1097" s="97">
        <v>5</v>
      </c>
      <c r="K1097" s="97">
        <f t="shared" si="17"/>
        <v>995</v>
      </c>
      <c r="L1097" s="97">
        <f>_xlfn.XLOOKUP(E1097,Emp_Data!$B$2:$B$9,Emp_Data!$A$2:$A$9)</f>
        <v>2</v>
      </c>
    </row>
    <row r="1098" spans="1:12">
      <c r="A1098" s="99">
        <v>1488</v>
      </c>
      <c r="B1098" s="101">
        <v>44674</v>
      </c>
      <c r="C1098" s="96">
        <v>12</v>
      </c>
      <c r="D1098" s="104" t="s">
        <v>17</v>
      </c>
      <c r="E1098" s="97" t="s">
        <v>24</v>
      </c>
      <c r="F1098" s="97" t="str">
        <f>VLOOKUP(E1098,Emp_Data!$B$2:$C$9,2,)</f>
        <v>Steve</v>
      </c>
      <c r="G1098" s="97" t="s">
        <v>19</v>
      </c>
      <c r="H1098" s="97" t="s">
        <v>41</v>
      </c>
      <c r="I1098" s="97">
        <v>199</v>
      </c>
      <c r="J1098" s="97">
        <v>8</v>
      </c>
      <c r="K1098" s="97">
        <f t="shared" si="17"/>
        <v>1592</v>
      </c>
      <c r="L1098" s="97">
        <f>_xlfn.XLOOKUP(E1098,Emp_Data!$B$2:$B$9,Emp_Data!$A$2:$A$9)</f>
        <v>6</v>
      </c>
    </row>
    <row r="1099" spans="1:12">
      <c r="A1099" s="99">
        <v>1497</v>
      </c>
      <c r="B1099" s="101">
        <v>44677</v>
      </c>
      <c r="C1099" s="96">
        <v>13</v>
      </c>
      <c r="D1099" s="104" t="s">
        <v>23</v>
      </c>
      <c r="E1099" s="97" t="s">
        <v>24</v>
      </c>
      <c r="F1099" s="97" t="str">
        <f>VLOOKUP(E1099,Emp_Data!$B$2:$C$9,2,)</f>
        <v>Steve</v>
      </c>
      <c r="G1099" s="97" t="s">
        <v>19</v>
      </c>
      <c r="H1099" s="97" t="s">
        <v>41</v>
      </c>
      <c r="I1099" s="97">
        <v>199</v>
      </c>
      <c r="J1099" s="97">
        <v>5</v>
      </c>
      <c r="K1099" s="97">
        <f t="shared" si="17"/>
        <v>995</v>
      </c>
      <c r="L1099" s="97">
        <f>_xlfn.XLOOKUP(E1099,Emp_Data!$B$2:$B$9,Emp_Data!$A$2:$A$9)</f>
        <v>6</v>
      </c>
    </row>
    <row r="1100" spans="1:12">
      <c r="A1100" s="99">
        <v>1508</v>
      </c>
      <c r="B1100" s="101">
        <v>44682</v>
      </c>
      <c r="C1100" s="96">
        <v>2</v>
      </c>
      <c r="D1100" s="104" t="s">
        <v>35</v>
      </c>
      <c r="E1100" s="97" t="s">
        <v>14</v>
      </c>
      <c r="F1100" s="97" t="str">
        <f>VLOOKUP(E1100,Emp_Data!$B$2:$C$9,2,)</f>
        <v>Jeff</v>
      </c>
      <c r="G1100" s="97" t="s">
        <v>15</v>
      </c>
      <c r="H1100" s="97" t="s">
        <v>41</v>
      </c>
      <c r="I1100" s="97">
        <v>199</v>
      </c>
      <c r="J1100" s="97">
        <v>4</v>
      </c>
      <c r="K1100" s="97">
        <f t="shared" si="17"/>
        <v>796</v>
      </c>
      <c r="L1100" s="97">
        <f>_xlfn.XLOOKUP(E1100,Emp_Data!$B$2:$B$9,Emp_Data!$A$2:$A$9)</f>
        <v>2</v>
      </c>
    </row>
    <row r="1101" spans="1:12">
      <c r="A1101" s="99">
        <v>1514</v>
      </c>
      <c r="B1101" s="101">
        <v>44684</v>
      </c>
      <c r="C1101" s="96">
        <v>11</v>
      </c>
      <c r="D1101" s="104" t="s">
        <v>38</v>
      </c>
      <c r="E1101" s="97" t="s">
        <v>18</v>
      </c>
      <c r="F1101" s="97" t="str">
        <f>VLOOKUP(E1101,Emp_Data!$B$2:$C$9,2,)</f>
        <v>Sara</v>
      </c>
      <c r="G1101" s="97" t="s">
        <v>19</v>
      </c>
      <c r="H1101" s="97" t="s">
        <v>41</v>
      </c>
      <c r="I1101" s="97">
        <v>199</v>
      </c>
      <c r="J1101" s="97">
        <v>2</v>
      </c>
      <c r="K1101" s="97">
        <f t="shared" si="17"/>
        <v>398</v>
      </c>
      <c r="L1101" s="97">
        <f>_xlfn.XLOOKUP(E1101,Emp_Data!$B$2:$B$9,Emp_Data!$A$2:$A$9)</f>
        <v>5</v>
      </c>
    </row>
    <row r="1102" spans="1:12">
      <c r="A1102" s="99">
        <v>1529</v>
      </c>
      <c r="B1102" s="101">
        <v>44688</v>
      </c>
      <c r="C1102" s="96">
        <v>18</v>
      </c>
      <c r="D1102" s="104" t="s">
        <v>30</v>
      </c>
      <c r="E1102" s="97" t="s">
        <v>8</v>
      </c>
      <c r="F1102" s="97" t="str">
        <f>VLOOKUP(E1102,Emp_Data!$B$2:$C$9,2,)</f>
        <v>Jeff</v>
      </c>
      <c r="G1102" s="97" t="s">
        <v>9</v>
      </c>
      <c r="H1102" s="97" t="s">
        <v>41</v>
      </c>
      <c r="I1102" s="97">
        <v>199</v>
      </c>
      <c r="J1102" s="97">
        <v>1</v>
      </c>
      <c r="K1102" s="97">
        <f t="shared" si="17"/>
        <v>199</v>
      </c>
      <c r="L1102" s="97">
        <f>_xlfn.XLOOKUP(E1102,Emp_Data!$B$2:$B$9,Emp_Data!$A$2:$A$9)</f>
        <v>3</v>
      </c>
    </row>
    <row r="1103" spans="1:12">
      <c r="A1103" s="99">
        <v>1531</v>
      </c>
      <c r="B1103" s="101">
        <v>44689</v>
      </c>
      <c r="C1103" s="96">
        <v>4</v>
      </c>
      <c r="D1103" s="104" t="s">
        <v>13</v>
      </c>
      <c r="E1103" s="97" t="s">
        <v>14</v>
      </c>
      <c r="F1103" s="97" t="str">
        <f>VLOOKUP(E1103,Emp_Data!$B$2:$C$9,2,)</f>
        <v>Jeff</v>
      </c>
      <c r="G1103" s="97" t="s">
        <v>15</v>
      </c>
      <c r="H1103" s="97" t="s">
        <v>41</v>
      </c>
      <c r="I1103" s="97">
        <v>199</v>
      </c>
      <c r="J1103" s="97">
        <v>7</v>
      </c>
      <c r="K1103" s="97">
        <f t="shared" si="17"/>
        <v>1393</v>
      </c>
      <c r="L1103" s="97">
        <f>_xlfn.XLOOKUP(E1103,Emp_Data!$B$2:$B$9,Emp_Data!$A$2:$A$9)</f>
        <v>2</v>
      </c>
    </row>
    <row r="1104" spans="1:12">
      <c r="A1104" s="99">
        <v>1539</v>
      </c>
      <c r="B1104" s="101">
        <v>44692</v>
      </c>
      <c r="C1104" s="96">
        <v>15</v>
      </c>
      <c r="D1104" s="104" t="s">
        <v>29</v>
      </c>
      <c r="E1104" s="97" t="s">
        <v>24</v>
      </c>
      <c r="F1104" s="97" t="str">
        <f>VLOOKUP(E1104,Emp_Data!$B$2:$C$9,2,)</f>
        <v>Steve</v>
      </c>
      <c r="G1104" s="97" t="s">
        <v>19</v>
      </c>
      <c r="H1104" s="97" t="s">
        <v>41</v>
      </c>
      <c r="I1104" s="97">
        <v>199</v>
      </c>
      <c r="J1104" s="97">
        <v>7</v>
      </c>
      <c r="K1104" s="97">
        <f t="shared" si="17"/>
        <v>1393</v>
      </c>
      <c r="L1104" s="97">
        <f>_xlfn.XLOOKUP(E1104,Emp_Data!$B$2:$B$9,Emp_Data!$A$2:$A$9)</f>
        <v>6</v>
      </c>
    </row>
    <row r="1105" spans="1:12">
      <c r="A1105" s="99">
        <v>1542</v>
      </c>
      <c r="B1105" s="101">
        <v>44694</v>
      </c>
      <c r="C1105" s="96">
        <v>5</v>
      </c>
      <c r="D1105" s="104" t="s">
        <v>16</v>
      </c>
      <c r="E1105" s="97" t="s">
        <v>21</v>
      </c>
      <c r="F1105" s="97" t="str">
        <f>VLOOKUP(E1105,Emp_Data!$B$2:$C$9,2,)</f>
        <v>Sara</v>
      </c>
      <c r="G1105" s="97" t="s">
        <v>15</v>
      </c>
      <c r="H1105" s="97" t="s">
        <v>41</v>
      </c>
      <c r="I1105" s="97">
        <v>199</v>
      </c>
      <c r="J1105" s="97">
        <v>6</v>
      </c>
      <c r="K1105" s="97">
        <f t="shared" si="17"/>
        <v>1194</v>
      </c>
      <c r="L1105" s="97">
        <f>_xlfn.XLOOKUP(E1105,Emp_Data!$B$2:$B$9,Emp_Data!$A$2:$A$9)</f>
        <v>2</v>
      </c>
    </row>
    <row r="1106" spans="1:12">
      <c r="A1106" s="99">
        <v>1544</v>
      </c>
      <c r="B1106" s="101">
        <v>44694</v>
      </c>
      <c r="C1106" s="96">
        <v>19</v>
      </c>
      <c r="D1106" s="104" t="s">
        <v>22</v>
      </c>
      <c r="E1106" s="97" t="s">
        <v>8</v>
      </c>
      <c r="F1106" s="97" t="str">
        <f>VLOOKUP(E1106,Emp_Data!$B$2:$C$9,2,)</f>
        <v>Jeff</v>
      </c>
      <c r="G1106" s="97" t="s">
        <v>9</v>
      </c>
      <c r="H1106" s="97" t="s">
        <v>41</v>
      </c>
      <c r="I1106" s="97">
        <v>199</v>
      </c>
      <c r="J1106" s="97">
        <v>5</v>
      </c>
      <c r="K1106" s="97">
        <f t="shared" si="17"/>
        <v>995</v>
      </c>
      <c r="L1106" s="97">
        <f>_xlfn.XLOOKUP(E1106,Emp_Data!$B$2:$B$9,Emp_Data!$A$2:$A$9)</f>
        <v>3</v>
      </c>
    </row>
    <row r="1107" spans="1:12">
      <c r="A1107" s="99">
        <v>1546</v>
      </c>
      <c r="B1107" s="101">
        <v>44696</v>
      </c>
      <c r="C1107" s="96">
        <v>15</v>
      </c>
      <c r="D1107" s="104" t="s">
        <v>29</v>
      </c>
      <c r="E1107" s="97" t="s">
        <v>24</v>
      </c>
      <c r="F1107" s="97" t="str">
        <f>VLOOKUP(E1107,Emp_Data!$B$2:$C$9,2,)</f>
        <v>Steve</v>
      </c>
      <c r="G1107" s="97" t="s">
        <v>19</v>
      </c>
      <c r="H1107" s="97" t="s">
        <v>41</v>
      </c>
      <c r="I1107" s="97">
        <v>199</v>
      </c>
      <c r="J1107" s="97">
        <v>7</v>
      </c>
      <c r="K1107" s="97">
        <f t="shared" si="17"/>
        <v>1393</v>
      </c>
      <c r="L1107" s="97">
        <f>_xlfn.XLOOKUP(E1107,Emp_Data!$B$2:$B$9,Emp_Data!$A$2:$A$9)</f>
        <v>6</v>
      </c>
    </row>
    <row r="1108" spans="1:12">
      <c r="A1108" s="99">
        <v>1550</v>
      </c>
      <c r="B1108" s="101">
        <v>44698</v>
      </c>
      <c r="C1108" s="96">
        <v>15</v>
      </c>
      <c r="D1108" s="104" t="s">
        <v>29</v>
      </c>
      <c r="E1108" s="97" t="s">
        <v>18</v>
      </c>
      <c r="F1108" s="97" t="str">
        <f>VLOOKUP(E1108,Emp_Data!$B$2:$C$9,2,)</f>
        <v>Sara</v>
      </c>
      <c r="G1108" s="97" t="s">
        <v>19</v>
      </c>
      <c r="H1108" s="97" t="s">
        <v>41</v>
      </c>
      <c r="I1108" s="97">
        <v>199</v>
      </c>
      <c r="J1108" s="97">
        <v>3</v>
      </c>
      <c r="K1108" s="97">
        <f t="shared" si="17"/>
        <v>597</v>
      </c>
      <c r="L1108" s="97">
        <f>_xlfn.XLOOKUP(E1108,Emp_Data!$B$2:$B$9,Emp_Data!$A$2:$A$9)</f>
        <v>5</v>
      </c>
    </row>
    <row r="1109" spans="1:12">
      <c r="A1109" s="99">
        <v>1556</v>
      </c>
      <c r="B1109" s="101">
        <v>44698</v>
      </c>
      <c r="C1109" s="96">
        <v>17</v>
      </c>
      <c r="D1109" s="104" t="s">
        <v>32</v>
      </c>
      <c r="E1109" s="97" t="s">
        <v>25</v>
      </c>
      <c r="F1109" s="97" t="str">
        <f>VLOOKUP(E1109,Emp_Data!$B$2:$C$9,2,)</f>
        <v>Jeff</v>
      </c>
      <c r="G1109" s="97" t="s">
        <v>9</v>
      </c>
      <c r="H1109" s="97" t="s">
        <v>41</v>
      </c>
      <c r="I1109" s="97">
        <v>199</v>
      </c>
      <c r="J1109" s="97">
        <v>2</v>
      </c>
      <c r="K1109" s="97">
        <f t="shared" si="17"/>
        <v>398</v>
      </c>
      <c r="L1109" s="97">
        <f>_xlfn.XLOOKUP(E1109,Emp_Data!$B$2:$B$9,Emp_Data!$A$2:$A$9)</f>
        <v>5</v>
      </c>
    </row>
    <row r="1110" spans="1:12">
      <c r="A1110" s="99">
        <v>1560</v>
      </c>
      <c r="B1110" s="101">
        <v>44700</v>
      </c>
      <c r="C1110" s="96">
        <v>20</v>
      </c>
      <c r="D1110" s="104" t="s">
        <v>7</v>
      </c>
      <c r="E1110" s="97" t="s">
        <v>25</v>
      </c>
      <c r="F1110" s="97" t="str">
        <f>VLOOKUP(E1110,Emp_Data!$B$2:$C$9,2,)</f>
        <v>Jeff</v>
      </c>
      <c r="G1110" s="97" t="s">
        <v>9</v>
      </c>
      <c r="H1110" s="97" t="s">
        <v>41</v>
      </c>
      <c r="I1110" s="97">
        <v>199</v>
      </c>
      <c r="J1110" s="97">
        <v>2</v>
      </c>
      <c r="K1110" s="97">
        <f t="shared" si="17"/>
        <v>398</v>
      </c>
      <c r="L1110" s="97">
        <f>_xlfn.XLOOKUP(E1110,Emp_Data!$B$2:$B$9,Emp_Data!$A$2:$A$9)</f>
        <v>5</v>
      </c>
    </row>
    <row r="1111" spans="1:12">
      <c r="A1111" s="99">
        <v>1564</v>
      </c>
      <c r="B1111" s="101">
        <v>44701</v>
      </c>
      <c r="C1111" s="96">
        <v>2</v>
      </c>
      <c r="D1111" s="104" t="s">
        <v>35</v>
      </c>
      <c r="E1111" s="97" t="s">
        <v>14</v>
      </c>
      <c r="F1111" s="97" t="str">
        <f>VLOOKUP(E1111,Emp_Data!$B$2:$C$9,2,)</f>
        <v>Jeff</v>
      </c>
      <c r="G1111" s="97" t="s">
        <v>15</v>
      </c>
      <c r="H1111" s="97" t="s">
        <v>41</v>
      </c>
      <c r="I1111" s="97">
        <v>199</v>
      </c>
      <c r="J1111" s="97">
        <v>9</v>
      </c>
      <c r="K1111" s="97">
        <f t="shared" si="17"/>
        <v>1791</v>
      </c>
      <c r="L1111" s="97">
        <f>_xlfn.XLOOKUP(E1111,Emp_Data!$B$2:$B$9,Emp_Data!$A$2:$A$9)</f>
        <v>2</v>
      </c>
    </row>
    <row r="1112" spans="1:12">
      <c r="A1112" s="99">
        <v>1577</v>
      </c>
      <c r="B1112" s="101">
        <v>44706</v>
      </c>
      <c r="C1112" s="96">
        <v>13</v>
      </c>
      <c r="D1112" s="104" t="s">
        <v>23</v>
      </c>
      <c r="E1112" s="97" t="s">
        <v>24</v>
      </c>
      <c r="F1112" s="97" t="str">
        <f>VLOOKUP(E1112,Emp_Data!$B$2:$C$9,2,)</f>
        <v>Steve</v>
      </c>
      <c r="G1112" s="97" t="s">
        <v>19</v>
      </c>
      <c r="H1112" s="97" t="s">
        <v>41</v>
      </c>
      <c r="I1112" s="97">
        <v>199</v>
      </c>
      <c r="J1112" s="97">
        <v>0</v>
      </c>
      <c r="K1112" s="97">
        <f t="shared" si="17"/>
        <v>0</v>
      </c>
      <c r="L1112" s="97">
        <f>_xlfn.XLOOKUP(E1112,Emp_Data!$B$2:$B$9,Emp_Data!$A$2:$A$9)</f>
        <v>6</v>
      </c>
    </row>
    <row r="1113" spans="1:12">
      <c r="A1113" s="99">
        <v>1579</v>
      </c>
      <c r="B1113" s="101">
        <v>44706</v>
      </c>
      <c r="C1113" s="96">
        <v>1</v>
      </c>
      <c r="D1113" s="104" t="s">
        <v>31</v>
      </c>
      <c r="E1113" s="97" t="s">
        <v>21</v>
      </c>
      <c r="F1113" s="97" t="str">
        <f>VLOOKUP(E1113,Emp_Data!$B$2:$C$9,2,)</f>
        <v>Sara</v>
      </c>
      <c r="G1113" s="97" t="s">
        <v>15</v>
      </c>
      <c r="H1113" s="97" t="s">
        <v>41</v>
      </c>
      <c r="I1113" s="97">
        <v>199</v>
      </c>
      <c r="J1113" s="97">
        <v>1</v>
      </c>
      <c r="K1113" s="97">
        <f t="shared" si="17"/>
        <v>199</v>
      </c>
      <c r="L1113" s="97">
        <f>_xlfn.XLOOKUP(E1113,Emp_Data!$B$2:$B$9,Emp_Data!$A$2:$A$9)</f>
        <v>2</v>
      </c>
    </row>
    <row r="1114" spans="1:12">
      <c r="A1114" s="99">
        <v>1580</v>
      </c>
      <c r="B1114" s="101">
        <v>44706</v>
      </c>
      <c r="C1114" s="96">
        <v>11</v>
      </c>
      <c r="D1114" s="104" t="s">
        <v>38</v>
      </c>
      <c r="E1114" s="97" t="s">
        <v>24</v>
      </c>
      <c r="F1114" s="97" t="str">
        <f>VLOOKUP(E1114,Emp_Data!$B$2:$C$9,2,)</f>
        <v>Steve</v>
      </c>
      <c r="G1114" s="97" t="s">
        <v>19</v>
      </c>
      <c r="H1114" s="97" t="s">
        <v>41</v>
      </c>
      <c r="I1114" s="97">
        <v>199</v>
      </c>
      <c r="J1114" s="97">
        <v>6</v>
      </c>
      <c r="K1114" s="97">
        <f t="shared" si="17"/>
        <v>1194</v>
      </c>
      <c r="L1114" s="97">
        <f>_xlfn.XLOOKUP(E1114,Emp_Data!$B$2:$B$9,Emp_Data!$A$2:$A$9)</f>
        <v>6</v>
      </c>
    </row>
    <row r="1115" spans="1:12">
      <c r="A1115" s="99">
        <v>1584</v>
      </c>
      <c r="B1115" s="101">
        <v>44706</v>
      </c>
      <c r="C1115" s="96">
        <v>5</v>
      </c>
      <c r="D1115" s="104" t="s">
        <v>16</v>
      </c>
      <c r="E1115" s="97" t="s">
        <v>21</v>
      </c>
      <c r="F1115" s="97" t="str">
        <f>VLOOKUP(E1115,Emp_Data!$B$2:$C$9,2,)</f>
        <v>Sara</v>
      </c>
      <c r="G1115" s="97" t="s">
        <v>15</v>
      </c>
      <c r="H1115" s="97" t="s">
        <v>41</v>
      </c>
      <c r="I1115" s="97">
        <v>199</v>
      </c>
      <c r="J1115" s="97">
        <v>8</v>
      </c>
      <c r="K1115" s="97">
        <f t="shared" si="17"/>
        <v>1592</v>
      </c>
      <c r="L1115" s="97">
        <f>_xlfn.XLOOKUP(E1115,Emp_Data!$B$2:$B$9,Emp_Data!$A$2:$A$9)</f>
        <v>2</v>
      </c>
    </row>
    <row r="1116" spans="1:12">
      <c r="A1116" s="99">
        <v>1587</v>
      </c>
      <c r="B1116" s="101">
        <v>44707</v>
      </c>
      <c r="C1116" s="96">
        <v>11</v>
      </c>
      <c r="D1116" s="104" t="s">
        <v>38</v>
      </c>
      <c r="E1116" s="97" t="s">
        <v>24</v>
      </c>
      <c r="F1116" s="97" t="str">
        <f>VLOOKUP(E1116,Emp_Data!$B$2:$C$9,2,)</f>
        <v>Steve</v>
      </c>
      <c r="G1116" s="97" t="s">
        <v>19</v>
      </c>
      <c r="H1116" s="97" t="s">
        <v>41</v>
      </c>
      <c r="I1116" s="97">
        <v>199</v>
      </c>
      <c r="J1116" s="97">
        <v>1</v>
      </c>
      <c r="K1116" s="97">
        <f t="shared" si="17"/>
        <v>199</v>
      </c>
      <c r="L1116" s="97">
        <f>_xlfn.XLOOKUP(E1116,Emp_Data!$B$2:$B$9,Emp_Data!$A$2:$A$9)</f>
        <v>6</v>
      </c>
    </row>
    <row r="1117" spans="1:12">
      <c r="A1117" s="99">
        <v>1595</v>
      </c>
      <c r="B1117" s="101">
        <v>44708</v>
      </c>
      <c r="C1117" s="96">
        <v>19</v>
      </c>
      <c r="D1117" s="104" t="s">
        <v>22</v>
      </c>
      <c r="E1117" s="97" t="s">
        <v>25</v>
      </c>
      <c r="F1117" s="97" t="str">
        <f>VLOOKUP(E1117,Emp_Data!$B$2:$C$9,2,)</f>
        <v>Jeff</v>
      </c>
      <c r="G1117" s="97" t="s">
        <v>9</v>
      </c>
      <c r="H1117" s="97" t="s">
        <v>41</v>
      </c>
      <c r="I1117" s="97">
        <v>199</v>
      </c>
      <c r="J1117" s="97">
        <v>0</v>
      </c>
      <c r="K1117" s="97">
        <f t="shared" si="17"/>
        <v>0</v>
      </c>
      <c r="L1117" s="97">
        <f>_xlfn.XLOOKUP(E1117,Emp_Data!$B$2:$B$9,Emp_Data!$A$2:$A$9)</f>
        <v>5</v>
      </c>
    </row>
    <row r="1118" spans="1:12">
      <c r="A1118" s="99">
        <v>1597</v>
      </c>
      <c r="B1118" s="101">
        <v>44709</v>
      </c>
      <c r="C1118" s="96">
        <v>16</v>
      </c>
      <c r="D1118" s="104" t="s">
        <v>37</v>
      </c>
      <c r="E1118" s="97" t="s">
        <v>25</v>
      </c>
      <c r="F1118" s="97" t="str">
        <f>VLOOKUP(E1118,Emp_Data!$B$2:$C$9,2,)</f>
        <v>Jeff</v>
      </c>
      <c r="G1118" s="97" t="s">
        <v>9</v>
      </c>
      <c r="H1118" s="97" t="s">
        <v>41</v>
      </c>
      <c r="I1118" s="97">
        <v>199</v>
      </c>
      <c r="J1118" s="97">
        <v>8</v>
      </c>
      <c r="K1118" s="97">
        <f t="shared" si="17"/>
        <v>1592</v>
      </c>
      <c r="L1118" s="97">
        <f>_xlfn.XLOOKUP(E1118,Emp_Data!$B$2:$B$9,Emp_Data!$A$2:$A$9)</f>
        <v>5</v>
      </c>
    </row>
    <row r="1119" spans="1:12">
      <c r="A1119" s="99">
        <v>1600</v>
      </c>
      <c r="B1119" s="101">
        <v>44709</v>
      </c>
      <c r="C1119" s="96">
        <v>9</v>
      </c>
      <c r="D1119" s="104" t="s">
        <v>26</v>
      </c>
      <c r="E1119" s="97" t="s">
        <v>11</v>
      </c>
      <c r="F1119" s="97" t="str">
        <f>VLOOKUP(E1119,Emp_Data!$B$2:$C$9,2,)</f>
        <v>Steve</v>
      </c>
      <c r="G1119" s="97" t="s">
        <v>12</v>
      </c>
      <c r="H1119" s="97" t="s">
        <v>41</v>
      </c>
      <c r="I1119" s="97">
        <v>199</v>
      </c>
      <c r="J1119" s="97">
        <v>1</v>
      </c>
      <c r="K1119" s="97">
        <f t="shared" si="17"/>
        <v>199</v>
      </c>
      <c r="L1119" s="97">
        <f>_xlfn.XLOOKUP(E1119,Emp_Data!$B$2:$B$9,Emp_Data!$A$2:$A$9)</f>
        <v>4</v>
      </c>
    </row>
    <row r="1120" spans="1:12">
      <c r="A1120" s="99">
        <v>1602</v>
      </c>
      <c r="B1120" s="101">
        <v>44710</v>
      </c>
      <c r="C1120" s="96">
        <v>4</v>
      </c>
      <c r="D1120" s="104" t="s">
        <v>13</v>
      </c>
      <c r="E1120" s="97" t="s">
        <v>21</v>
      </c>
      <c r="F1120" s="97" t="str">
        <f>VLOOKUP(E1120,Emp_Data!$B$2:$C$9,2,)</f>
        <v>Sara</v>
      </c>
      <c r="G1120" s="97" t="s">
        <v>15</v>
      </c>
      <c r="H1120" s="97" t="s">
        <v>41</v>
      </c>
      <c r="I1120" s="97">
        <v>199</v>
      </c>
      <c r="J1120" s="97">
        <v>1</v>
      </c>
      <c r="K1120" s="97">
        <f t="shared" si="17"/>
        <v>199</v>
      </c>
      <c r="L1120" s="97">
        <f>_xlfn.XLOOKUP(E1120,Emp_Data!$B$2:$B$9,Emp_Data!$A$2:$A$9)</f>
        <v>2</v>
      </c>
    </row>
    <row r="1121" spans="1:12">
      <c r="A1121" s="99">
        <v>1603</v>
      </c>
      <c r="B1121" s="101">
        <v>44710</v>
      </c>
      <c r="C1121" s="96">
        <v>18</v>
      </c>
      <c r="D1121" s="104" t="s">
        <v>30</v>
      </c>
      <c r="E1121" s="97" t="s">
        <v>25</v>
      </c>
      <c r="F1121" s="97" t="str">
        <f>VLOOKUP(E1121,Emp_Data!$B$2:$C$9,2,)</f>
        <v>Jeff</v>
      </c>
      <c r="G1121" s="97" t="s">
        <v>9</v>
      </c>
      <c r="H1121" s="97" t="s">
        <v>41</v>
      </c>
      <c r="I1121" s="97">
        <v>199</v>
      </c>
      <c r="J1121" s="97">
        <v>8</v>
      </c>
      <c r="K1121" s="97">
        <f t="shared" si="17"/>
        <v>1592</v>
      </c>
      <c r="L1121" s="97">
        <f>_xlfn.XLOOKUP(E1121,Emp_Data!$B$2:$B$9,Emp_Data!$A$2:$A$9)</f>
        <v>5</v>
      </c>
    </row>
    <row r="1122" spans="1:12">
      <c r="A1122" s="99">
        <v>1604</v>
      </c>
      <c r="B1122" s="101">
        <v>44710</v>
      </c>
      <c r="C1122" s="96">
        <v>13</v>
      </c>
      <c r="D1122" s="104" t="s">
        <v>23</v>
      </c>
      <c r="E1122" s="97" t="s">
        <v>24</v>
      </c>
      <c r="F1122" s="97" t="str">
        <f>VLOOKUP(E1122,Emp_Data!$B$2:$C$9,2,)</f>
        <v>Steve</v>
      </c>
      <c r="G1122" s="97" t="s">
        <v>19</v>
      </c>
      <c r="H1122" s="97" t="s">
        <v>41</v>
      </c>
      <c r="I1122" s="97">
        <v>199</v>
      </c>
      <c r="J1122" s="97">
        <v>7</v>
      </c>
      <c r="K1122" s="97">
        <f t="shared" si="17"/>
        <v>1393</v>
      </c>
      <c r="L1122" s="97">
        <f>_xlfn.XLOOKUP(E1122,Emp_Data!$B$2:$B$9,Emp_Data!$A$2:$A$9)</f>
        <v>6</v>
      </c>
    </row>
    <row r="1123" spans="1:12">
      <c r="A1123" s="99">
        <v>1625</v>
      </c>
      <c r="B1123" s="101">
        <v>44718</v>
      </c>
      <c r="C1123" s="96">
        <v>14</v>
      </c>
      <c r="D1123" s="104" t="s">
        <v>33</v>
      </c>
      <c r="E1123" s="97" t="s">
        <v>24</v>
      </c>
      <c r="F1123" s="97" t="str">
        <f>VLOOKUP(E1123,Emp_Data!$B$2:$C$9,2,)</f>
        <v>Steve</v>
      </c>
      <c r="G1123" s="97" t="s">
        <v>19</v>
      </c>
      <c r="H1123" s="97" t="s">
        <v>41</v>
      </c>
      <c r="I1123" s="97">
        <v>199</v>
      </c>
      <c r="J1123" s="97">
        <v>7</v>
      </c>
      <c r="K1123" s="97">
        <f t="shared" si="17"/>
        <v>1393</v>
      </c>
      <c r="L1123" s="97">
        <f>_xlfn.XLOOKUP(E1123,Emp_Data!$B$2:$B$9,Emp_Data!$A$2:$A$9)</f>
        <v>6</v>
      </c>
    </row>
    <row r="1124" spans="1:12">
      <c r="A1124" s="99">
        <v>1626</v>
      </c>
      <c r="B1124" s="101">
        <v>44718</v>
      </c>
      <c r="C1124" s="96">
        <v>15</v>
      </c>
      <c r="D1124" s="104" t="s">
        <v>29</v>
      </c>
      <c r="E1124" s="97" t="s">
        <v>18</v>
      </c>
      <c r="F1124" s="97" t="str">
        <f>VLOOKUP(E1124,Emp_Data!$B$2:$C$9,2,)</f>
        <v>Sara</v>
      </c>
      <c r="G1124" s="97" t="s">
        <v>19</v>
      </c>
      <c r="H1124" s="97" t="s">
        <v>41</v>
      </c>
      <c r="I1124" s="97">
        <v>199</v>
      </c>
      <c r="J1124" s="97">
        <v>6</v>
      </c>
      <c r="K1124" s="97">
        <f t="shared" si="17"/>
        <v>1194</v>
      </c>
      <c r="L1124" s="97">
        <f>_xlfn.XLOOKUP(E1124,Emp_Data!$B$2:$B$9,Emp_Data!$A$2:$A$9)</f>
        <v>5</v>
      </c>
    </row>
    <row r="1125" spans="1:12">
      <c r="A1125" s="99">
        <v>1638</v>
      </c>
      <c r="B1125" s="101">
        <v>44720</v>
      </c>
      <c r="C1125" s="96">
        <v>4</v>
      </c>
      <c r="D1125" s="104" t="s">
        <v>13</v>
      </c>
      <c r="E1125" s="97" t="s">
        <v>21</v>
      </c>
      <c r="F1125" s="97" t="str">
        <f>VLOOKUP(E1125,Emp_Data!$B$2:$C$9,2,)</f>
        <v>Sara</v>
      </c>
      <c r="G1125" s="97" t="s">
        <v>15</v>
      </c>
      <c r="H1125" s="97" t="s">
        <v>41</v>
      </c>
      <c r="I1125" s="97">
        <v>199</v>
      </c>
      <c r="J1125" s="97">
        <v>1</v>
      </c>
      <c r="K1125" s="97">
        <f t="shared" si="17"/>
        <v>199</v>
      </c>
      <c r="L1125" s="97">
        <f>_xlfn.XLOOKUP(E1125,Emp_Data!$B$2:$B$9,Emp_Data!$A$2:$A$9)</f>
        <v>2</v>
      </c>
    </row>
    <row r="1126" spans="1:12">
      <c r="A1126" s="99">
        <v>1643</v>
      </c>
      <c r="B1126" s="101">
        <v>44720</v>
      </c>
      <c r="C1126" s="96">
        <v>7</v>
      </c>
      <c r="D1126" s="104" t="s">
        <v>28</v>
      </c>
      <c r="E1126" s="97" t="s">
        <v>11</v>
      </c>
      <c r="F1126" s="97" t="str">
        <f>VLOOKUP(E1126,Emp_Data!$B$2:$C$9,2,)</f>
        <v>Steve</v>
      </c>
      <c r="G1126" s="97" t="s">
        <v>12</v>
      </c>
      <c r="H1126" s="97" t="s">
        <v>41</v>
      </c>
      <c r="I1126" s="97">
        <v>199</v>
      </c>
      <c r="J1126" s="97">
        <v>9</v>
      </c>
      <c r="K1126" s="97">
        <f t="shared" si="17"/>
        <v>1791</v>
      </c>
      <c r="L1126" s="97">
        <f>_xlfn.XLOOKUP(E1126,Emp_Data!$B$2:$B$9,Emp_Data!$A$2:$A$9)</f>
        <v>4</v>
      </c>
    </row>
    <row r="1127" spans="1:12">
      <c r="A1127" s="99">
        <v>1646</v>
      </c>
      <c r="B1127" s="101">
        <v>44722</v>
      </c>
      <c r="C1127" s="96">
        <v>11</v>
      </c>
      <c r="D1127" s="104" t="s">
        <v>38</v>
      </c>
      <c r="E1127" s="97" t="s">
        <v>18</v>
      </c>
      <c r="F1127" s="97" t="str">
        <f>VLOOKUP(E1127,Emp_Data!$B$2:$C$9,2,)</f>
        <v>Sara</v>
      </c>
      <c r="G1127" s="97" t="s">
        <v>19</v>
      </c>
      <c r="H1127" s="97" t="s">
        <v>41</v>
      </c>
      <c r="I1127" s="97">
        <v>199</v>
      </c>
      <c r="J1127" s="97">
        <v>4</v>
      </c>
      <c r="K1127" s="97">
        <f t="shared" si="17"/>
        <v>796</v>
      </c>
      <c r="L1127" s="97">
        <f>_xlfn.XLOOKUP(E1127,Emp_Data!$B$2:$B$9,Emp_Data!$A$2:$A$9)</f>
        <v>5</v>
      </c>
    </row>
    <row r="1128" spans="1:12">
      <c r="A1128" s="99">
        <v>1652</v>
      </c>
      <c r="B1128" s="101">
        <v>44723</v>
      </c>
      <c r="C1128" s="96">
        <v>9</v>
      </c>
      <c r="D1128" s="104" t="s">
        <v>26</v>
      </c>
      <c r="E1128" s="97" t="s">
        <v>11</v>
      </c>
      <c r="F1128" s="97" t="str">
        <f>VLOOKUP(E1128,Emp_Data!$B$2:$C$9,2,)</f>
        <v>Steve</v>
      </c>
      <c r="G1128" s="97" t="s">
        <v>12</v>
      </c>
      <c r="H1128" s="97" t="s">
        <v>41</v>
      </c>
      <c r="I1128" s="97">
        <v>199</v>
      </c>
      <c r="J1128" s="97">
        <v>5</v>
      </c>
      <c r="K1128" s="97">
        <f t="shared" si="17"/>
        <v>995</v>
      </c>
      <c r="L1128" s="97">
        <f>_xlfn.XLOOKUP(E1128,Emp_Data!$B$2:$B$9,Emp_Data!$A$2:$A$9)</f>
        <v>4</v>
      </c>
    </row>
    <row r="1129" spans="1:12">
      <c r="A1129" s="99">
        <v>1655</v>
      </c>
      <c r="B1129" s="101">
        <v>44726</v>
      </c>
      <c r="C1129" s="96">
        <v>17</v>
      </c>
      <c r="D1129" s="104" t="s">
        <v>32</v>
      </c>
      <c r="E1129" s="97" t="s">
        <v>8</v>
      </c>
      <c r="F1129" s="97" t="str">
        <f>VLOOKUP(E1129,Emp_Data!$B$2:$C$9,2,)</f>
        <v>Jeff</v>
      </c>
      <c r="G1129" s="97" t="s">
        <v>9</v>
      </c>
      <c r="H1129" s="97" t="s">
        <v>41</v>
      </c>
      <c r="I1129" s="97">
        <v>199</v>
      </c>
      <c r="J1129" s="97">
        <v>8</v>
      </c>
      <c r="K1129" s="97">
        <f t="shared" si="17"/>
        <v>1592</v>
      </c>
      <c r="L1129" s="97">
        <f>_xlfn.XLOOKUP(E1129,Emp_Data!$B$2:$B$9,Emp_Data!$A$2:$A$9)</f>
        <v>3</v>
      </c>
    </row>
    <row r="1130" spans="1:12">
      <c r="A1130" s="99">
        <v>1665</v>
      </c>
      <c r="B1130" s="101">
        <v>44727</v>
      </c>
      <c r="C1130" s="96">
        <v>17</v>
      </c>
      <c r="D1130" s="104" t="s">
        <v>32</v>
      </c>
      <c r="E1130" s="97" t="s">
        <v>8</v>
      </c>
      <c r="F1130" s="97" t="str">
        <f>VLOOKUP(E1130,Emp_Data!$B$2:$C$9,2,)</f>
        <v>Jeff</v>
      </c>
      <c r="G1130" s="97" t="s">
        <v>9</v>
      </c>
      <c r="H1130" s="97" t="s">
        <v>41</v>
      </c>
      <c r="I1130" s="97">
        <v>199</v>
      </c>
      <c r="J1130" s="97">
        <v>3</v>
      </c>
      <c r="K1130" s="97">
        <f t="shared" si="17"/>
        <v>597</v>
      </c>
      <c r="L1130" s="97">
        <f>_xlfn.XLOOKUP(E1130,Emp_Data!$B$2:$B$9,Emp_Data!$A$2:$A$9)</f>
        <v>3</v>
      </c>
    </row>
    <row r="1131" spans="1:12">
      <c r="A1131" s="99">
        <v>1666</v>
      </c>
      <c r="B1131" s="101">
        <v>44728</v>
      </c>
      <c r="C1131" s="96">
        <v>20</v>
      </c>
      <c r="D1131" s="104" t="s">
        <v>7</v>
      </c>
      <c r="E1131" s="97" t="s">
        <v>8</v>
      </c>
      <c r="F1131" s="97" t="str">
        <f>VLOOKUP(E1131,Emp_Data!$B$2:$C$9,2,)</f>
        <v>Jeff</v>
      </c>
      <c r="G1131" s="97" t="s">
        <v>9</v>
      </c>
      <c r="H1131" s="97" t="s">
        <v>41</v>
      </c>
      <c r="I1131" s="97">
        <v>199</v>
      </c>
      <c r="J1131" s="97">
        <v>7</v>
      </c>
      <c r="K1131" s="97">
        <f t="shared" si="17"/>
        <v>1393</v>
      </c>
      <c r="L1131" s="97">
        <f>_xlfn.XLOOKUP(E1131,Emp_Data!$B$2:$B$9,Emp_Data!$A$2:$A$9)</f>
        <v>3</v>
      </c>
    </row>
    <row r="1132" spans="1:12">
      <c r="A1132" s="99">
        <v>1675</v>
      </c>
      <c r="B1132" s="101">
        <v>44731</v>
      </c>
      <c r="C1132" s="96">
        <v>13</v>
      </c>
      <c r="D1132" s="104" t="s">
        <v>23</v>
      </c>
      <c r="E1132" s="97" t="s">
        <v>18</v>
      </c>
      <c r="F1132" s="97" t="str">
        <f>VLOOKUP(E1132,Emp_Data!$B$2:$C$9,2,)</f>
        <v>Sara</v>
      </c>
      <c r="G1132" s="97" t="s">
        <v>19</v>
      </c>
      <c r="H1132" s="97" t="s">
        <v>41</v>
      </c>
      <c r="I1132" s="97">
        <v>199</v>
      </c>
      <c r="J1132" s="97">
        <v>0</v>
      </c>
      <c r="K1132" s="97">
        <f t="shared" si="17"/>
        <v>0</v>
      </c>
      <c r="L1132" s="97">
        <f>_xlfn.XLOOKUP(E1132,Emp_Data!$B$2:$B$9,Emp_Data!$A$2:$A$9)</f>
        <v>5</v>
      </c>
    </row>
    <row r="1133" spans="1:12">
      <c r="A1133" s="99">
        <v>1676</v>
      </c>
      <c r="B1133" s="101">
        <v>44731</v>
      </c>
      <c r="C1133" s="96">
        <v>11</v>
      </c>
      <c r="D1133" s="104" t="s">
        <v>38</v>
      </c>
      <c r="E1133" s="97" t="s">
        <v>18</v>
      </c>
      <c r="F1133" s="97" t="str">
        <f>VLOOKUP(E1133,Emp_Data!$B$2:$C$9,2,)</f>
        <v>Sara</v>
      </c>
      <c r="G1133" s="97" t="s">
        <v>19</v>
      </c>
      <c r="H1133" s="97" t="s">
        <v>41</v>
      </c>
      <c r="I1133" s="97">
        <v>199</v>
      </c>
      <c r="J1133" s="97">
        <v>7</v>
      </c>
      <c r="K1133" s="97">
        <f t="shared" si="17"/>
        <v>1393</v>
      </c>
      <c r="L1133" s="97">
        <f>_xlfn.XLOOKUP(E1133,Emp_Data!$B$2:$B$9,Emp_Data!$A$2:$A$9)</f>
        <v>5</v>
      </c>
    </row>
    <row r="1134" spans="1:12">
      <c r="A1134" s="99">
        <v>1679</v>
      </c>
      <c r="B1134" s="101">
        <v>44733</v>
      </c>
      <c r="C1134" s="96">
        <v>20</v>
      </c>
      <c r="D1134" s="104" t="s">
        <v>7</v>
      </c>
      <c r="E1134" s="97" t="s">
        <v>25</v>
      </c>
      <c r="F1134" s="97" t="str">
        <f>VLOOKUP(E1134,Emp_Data!$B$2:$C$9,2,)</f>
        <v>Jeff</v>
      </c>
      <c r="G1134" s="97" t="s">
        <v>9</v>
      </c>
      <c r="H1134" s="97" t="s">
        <v>41</v>
      </c>
      <c r="I1134" s="97">
        <v>199</v>
      </c>
      <c r="J1134" s="97">
        <v>7</v>
      </c>
      <c r="K1134" s="97">
        <f t="shared" si="17"/>
        <v>1393</v>
      </c>
      <c r="L1134" s="97">
        <f>_xlfn.XLOOKUP(E1134,Emp_Data!$B$2:$B$9,Emp_Data!$A$2:$A$9)</f>
        <v>5</v>
      </c>
    </row>
    <row r="1135" spans="1:12">
      <c r="A1135" s="99">
        <v>1682</v>
      </c>
      <c r="B1135" s="101">
        <v>44734</v>
      </c>
      <c r="C1135" s="96">
        <v>3</v>
      </c>
      <c r="D1135" s="104" t="s">
        <v>20</v>
      </c>
      <c r="E1135" s="97" t="s">
        <v>21</v>
      </c>
      <c r="F1135" s="97" t="str">
        <f>VLOOKUP(E1135,Emp_Data!$B$2:$C$9,2,)</f>
        <v>Sara</v>
      </c>
      <c r="G1135" s="97" t="s">
        <v>15</v>
      </c>
      <c r="H1135" s="97" t="s">
        <v>41</v>
      </c>
      <c r="I1135" s="97">
        <v>199</v>
      </c>
      <c r="J1135" s="97">
        <v>5</v>
      </c>
      <c r="K1135" s="97">
        <f t="shared" si="17"/>
        <v>995</v>
      </c>
      <c r="L1135" s="97">
        <f>_xlfn.XLOOKUP(E1135,Emp_Data!$B$2:$B$9,Emp_Data!$A$2:$A$9)</f>
        <v>2</v>
      </c>
    </row>
    <row r="1136" spans="1:12">
      <c r="A1136" s="99">
        <v>1695</v>
      </c>
      <c r="B1136" s="101">
        <v>44741</v>
      </c>
      <c r="C1136" s="96">
        <v>8</v>
      </c>
      <c r="D1136" s="104" t="s">
        <v>36</v>
      </c>
      <c r="E1136" s="97" t="s">
        <v>11</v>
      </c>
      <c r="F1136" s="97" t="str">
        <f>VLOOKUP(E1136,Emp_Data!$B$2:$C$9,2,)</f>
        <v>Steve</v>
      </c>
      <c r="G1136" s="97" t="s">
        <v>12</v>
      </c>
      <c r="H1136" s="97" t="s">
        <v>41</v>
      </c>
      <c r="I1136" s="97">
        <v>199</v>
      </c>
      <c r="J1136" s="97">
        <v>3</v>
      </c>
      <c r="K1136" s="97">
        <f t="shared" si="17"/>
        <v>597</v>
      </c>
      <c r="L1136" s="97">
        <f>_xlfn.XLOOKUP(E1136,Emp_Data!$B$2:$B$9,Emp_Data!$A$2:$A$9)</f>
        <v>4</v>
      </c>
    </row>
    <row r="1137" spans="1:12">
      <c r="A1137" s="99">
        <v>1698</v>
      </c>
      <c r="B1137" s="101">
        <v>44744</v>
      </c>
      <c r="C1137" s="96">
        <v>8</v>
      </c>
      <c r="D1137" s="104" t="s">
        <v>36</v>
      </c>
      <c r="E1137" s="97" t="s">
        <v>11</v>
      </c>
      <c r="F1137" s="97" t="str">
        <f>VLOOKUP(E1137,Emp_Data!$B$2:$C$9,2,)</f>
        <v>Steve</v>
      </c>
      <c r="G1137" s="97" t="s">
        <v>12</v>
      </c>
      <c r="H1137" s="97" t="s">
        <v>41</v>
      </c>
      <c r="I1137" s="97">
        <v>199</v>
      </c>
      <c r="J1137" s="97">
        <v>3</v>
      </c>
      <c r="K1137" s="97">
        <f t="shared" si="17"/>
        <v>597</v>
      </c>
      <c r="L1137" s="97">
        <f>_xlfn.XLOOKUP(E1137,Emp_Data!$B$2:$B$9,Emp_Data!$A$2:$A$9)</f>
        <v>4</v>
      </c>
    </row>
    <row r="1138" spans="1:12">
      <c r="A1138" s="99">
        <v>1702</v>
      </c>
      <c r="B1138" s="101">
        <v>44747</v>
      </c>
      <c r="C1138" s="96">
        <v>8</v>
      </c>
      <c r="D1138" s="104" t="s">
        <v>36</v>
      </c>
      <c r="E1138" s="97" t="s">
        <v>27</v>
      </c>
      <c r="F1138" s="97" t="str">
        <f>VLOOKUP(E1138,Emp_Data!$B$2:$C$9,2,)</f>
        <v>Philip</v>
      </c>
      <c r="G1138" s="97" t="s">
        <v>12</v>
      </c>
      <c r="H1138" s="97" t="s">
        <v>41</v>
      </c>
      <c r="I1138" s="97">
        <v>199</v>
      </c>
      <c r="J1138" s="97">
        <v>5</v>
      </c>
      <c r="K1138" s="97">
        <f t="shared" si="17"/>
        <v>995</v>
      </c>
      <c r="L1138" s="97">
        <f>_xlfn.XLOOKUP(E1138,Emp_Data!$B$2:$B$9,Emp_Data!$A$2:$A$9)</f>
        <v>8</v>
      </c>
    </row>
    <row r="1139" spans="1:12">
      <c r="A1139" s="99">
        <v>1705</v>
      </c>
      <c r="B1139" s="101">
        <v>44749</v>
      </c>
      <c r="C1139" s="96">
        <v>9</v>
      </c>
      <c r="D1139" s="104" t="s">
        <v>26</v>
      </c>
      <c r="E1139" s="97" t="s">
        <v>27</v>
      </c>
      <c r="F1139" s="97" t="str">
        <f>VLOOKUP(E1139,Emp_Data!$B$2:$C$9,2,)</f>
        <v>Philip</v>
      </c>
      <c r="G1139" s="97" t="s">
        <v>12</v>
      </c>
      <c r="H1139" s="97" t="s">
        <v>41</v>
      </c>
      <c r="I1139" s="97">
        <v>199</v>
      </c>
      <c r="J1139" s="97">
        <v>2</v>
      </c>
      <c r="K1139" s="97">
        <f t="shared" si="17"/>
        <v>398</v>
      </c>
      <c r="L1139" s="97">
        <f>_xlfn.XLOOKUP(E1139,Emp_Data!$B$2:$B$9,Emp_Data!$A$2:$A$9)</f>
        <v>8</v>
      </c>
    </row>
    <row r="1140" spans="1:12">
      <c r="A1140" s="99">
        <v>1708</v>
      </c>
      <c r="B1140" s="101">
        <v>44752</v>
      </c>
      <c r="C1140" s="96">
        <v>5</v>
      </c>
      <c r="D1140" s="104" t="s">
        <v>16</v>
      </c>
      <c r="E1140" s="97" t="s">
        <v>14</v>
      </c>
      <c r="F1140" s="97" t="str">
        <f>VLOOKUP(E1140,Emp_Data!$B$2:$C$9,2,)</f>
        <v>Jeff</v>
      </c>
      <c r="G1140" s="97" t="s">
        <v>15</v>
      </c>
      <c r="H1140" s="97" t="s">
        <v>41</v>
      </c>
      <c r="I1140" s="97">
        <v>199</v>
      </c>
      <c r="J1140" s="97">
        <v>3</v>
      </c>
      <c r="K1140" s="97">
        <f t="shared" si="17"/>
        <v>597</v>
      </c>
      <c r="L1140" s="97">
        <f>_xlfn.XLOOKUP(E1140,Emp_Data!$B$2:$B$9,Emp_Data!$A$2:$A$9)</f>
        <v>2</v>
      </c>
    </row>
    <row r="1141" spans="1:12">
      <c r="A1141" s="99">
        <v>1709</v>
      </c>
      <c r="B1141" s="101">
        <v>44752</v>
      </c>
      <c r="C1141" s="96">
        <v>8</v>
      </c>
      <c r="D1141" s="104" t="s">
        <v>36</v>
      </c>
      <c r="E1141" s="97" t="s">
        <v>11</v>
      </c>
      <c r="F1141" s="97" t="str">
        <f>VLOOKUP(E1141,Emp_Data!$B$2:$C$9,2,)</f>
        <v>Steve</v>
      </c>
      <c r="G1141" s="97" t="s">
        <v>12</v>
      </c>
      <c r="H1141" s="97" t="s">
        <v>41</v>
      </c>
      <c r="I1141" s="97">
        <v>199</v>
      </c>
      <c r="J1141" s="97">
        <v>6</v>
      </c>
      <c r="K1141" s="97">
        <f t="shared" si="17"/>
        <v>1194</v>
      </c>
      <c r="L1141" s="97">
        <f>_xlfn.XLOOKUP(E1141,Emp_Data!$B$2:$B$9,Emp_Data!$A$2:$A$9)</f>
        <v>4</v>
      </c>
    </row>
    <row r="1142" spans="1:12">
      <c r="A1142" s="99">
        <v>1714</v>
      </c>
      <c r="B1142" s="101">
        <v>44754</v>
      </c>
      <c r="C1142" s="96">
        <v>13</v>
      </c>
      <c r="D1142" s="104" t="s">
        <v>23</v>
      </c>
      <c r="E1142" s="97" t="s">
        <v>18</v>
      </c>
      <c r="F1142" s="97" t="str">
        <f>VLOOKUP(E1142,Emp_Data!$B$2:$C$9,2,)</f>
        <v>Sara</v>
      </c>
      <c r="G1142" s="97" t="s">
        <v>19</v>
      </c>
      <c r="H1142" s="97" t="s">
        <v>41</v>
      </c>
      <c r="I1142" s="97">
        <v>199</v>
      </c>
      <c r="J1142" s="97">
        <v>3</v>
      </c>
      <c r="K1142" s="97">
        <f t="shared" si="17"/>
        <v>597</v>
      </c>
      <c r="L1142" s="97">
        <f>_xlfn.XLOOKUP(E1142,Emp_Data!$B$2:$B$9,Emp_Data!$A$2:$A$9)</f>
        <v>5</v>
      </c>
    </row>
    <row r="1143" spans="1:12">
      <c r="A1143" s="99">
        <v>1721</v>
      </c>
      <c r="B1143" s="101">
        <v>44755</v>
      </c>
      <c r="C1143" s="96">
        <v>6</v>
      </c>
      <c r="D1143" s="104" t="s">
        <v>10</v>
      </c>
      <c r="E1143" s="97" t="s">
        <v>11</v>
      </c>
      <c r="F1143" s="97" t="str">
        <f>VLOOKUP(E1143,Emp_Data!$B$2:$C$9,2,)</f>
        <v>Steve</v>
      </c>
      <c r="G1143" s="97" t="s">
        <v>12</v>
      </c>
      <c r="H1143" s="97" t="s">
        <v>41</v>
      </c>
      <c r="I1143" s="97">
        <v>199</v>
      </c>
      <c r="J1143" s="97">
        <v>1</v>
      </c>
      <c r="K1143" s="97">
        <f t="shared" si="17"/>
        <v>199</v>
      </c>
      <c r="L1143" s="97">
        <f>_xlfn.XLOOKUP(E1143,Emp_Data!$B$2:$B$9,Emp_Data!$A$2:$A$9)</f>
        <v>4</v>
      </c>
    </row>
    <row r="1144" spans="1:12">
      <c r="A1144" s="99">
        <v>1722</v>
      </c>
      <c r="B1144" s="101">
        <v>44756</v>
      </c>
      <c r="C1144" s="96">
        <v>16</v>
      </c>
      <c r="D1144" s="104" t="s">
        <v>37</v>
      </c>
      <c r="E1144" s="97" t="s">
        <v>8</v>
      </c>
      <c r="F1144" s="97" t="str">
        <f>VLOOKUP(E1144,Emp_Data!$B$2:$C$9,2,)</f>
        <v>Jeff</v>
      </c>
      <c r="G1144" s="97" t="s">
        <v>9</v>
      </c>
      <c r="H1144" s="97" t="s">
        <v>41</v>
      </c>
      <c r="I1144" s="97">
        <v>199</v>
      </c>
      <c r="J1144" s="97">
        <v>8</v>
      </c>
      <c r="K1144" s="97">
        <f t="shared" si="17"/>
        <v>1592</v>
      </c>
      <c r="L1144" s="97">
        <f>_xlfn.XLOOKUP(E1144,Emp_Data!$B$2:$B$9,Emp_Data!$A$2:$A$9)</f>
        <v>3</v>
      </c>
    </row>
    <row r="1145" spans="1:12">
      <c r="A1145" s="99">
        <v>1723</v>
      </c>
      <c r="B1145" s="101">
        <v>44756</v>
      </c>
      <c r="C1145" s="96">
        <v>10</v>
      </c>
      <c r="D1145" s="104" t="s">
        <v>34</v>
      </c>
      <c r="E1145" s="97" t="s">
        <v>11</v>
      </c>
      <c r="F1145" s="97" t="str">
        <f>VLOOKUP(E1145,Emp_Data!$B$2:$C$9,2,)</f>
        <v>Steve</v>
      </c>
      <c r="G1145" s="97" t="s">
        <v>12</v>
      </c>
      <c r="H1145" s="97" t="s">
        <v>41</v>
      </c>
      <c r="I1145" s="97">
        <v>199</v>
      </c>
      <c r="J1145" s="97">
        <v>2</v>
      </c>
      <c r="K1145" s="97">
        <f t="shared" si="17"/>
        <v>398</v>
      </c>
      <c r="L1145" s="97">
        <f>_xlfn.XLOOKUP(E1145,Emp_Data!$B$2:$B$9,Emp_Data!$A$2:$A$9)</f>
        <v>4</v>
      </c>
    </row>
    <row r="1146" spans="1:12">
      <c r="A1146" s="99">
        <v>1727</v>
      </c>
      <c r="B1146" s="101">
        <v>44756</v>
      </c>
      <c r="C1146" s="96">
        <v>4</v>
      </c>
      <c r="D1146" s="104" t="s">
        <v>13</v>
      </c>
      <c r="E1146" s="97" t="s">
        <v>14</v>
      </c>
      <c r="F1146" s="97" t="str">
        <f>VLOOKUP(E1146,Emp_Data!$B$2:$C$9,2,)</f>
        <v>Jeff</v>
      </c>
      <c r="G1146" s="97" t="s">
        <v>15</v>
      </c>
      <c r="H1146" s="97" t="s">
        <v>41</v>
      </c>
      <c r="I1146" s="97">
        <v>199</v>
      </c>
      <c r="J1146" s="97">
        <v>3</v>
      </c>
      <c r="K1146" s="97">
        <f t="shared" si="17"/>
        <v>597</v>
      </c>
      <c r="L1146" s="97">
        <f>_xlfn.XLOOKUP(E1146,Emp_Data!$B$2:$B$9,Emp_Data!$A$2:$A$9)</f>
        <v>2</v>
      </c>
    </row>
    <row r="1147" spans="1:12">
      <c r="A1147" s="99">
        <v>1740</v>
      </c>
      <c r="B1147" s="101">
        <v>44762</v>
      </c>
      <c r="C1147" s="96">
        <v>2</v>
      </c>
      <c r="D1147" s="104" t="s">
        <v>35</v>
      </c>
      <c r="E1147" s="97" t="s">
        <v>14</v>
      </c>
      <c r="F1147" s="97" t="str">
        <f>VLOOKUP(E1147,Emp_Data!$B$2:$C$9,2,)</f>
        <v>Jeff</v>
      </c>
      <c r="G1147" s="97" t="s">
        <v>15</v>
      </c>
      <c r="H1147" s="97" t="s">
        <v>41</v>
      </c>
      <c r="I1147" s="97">
        <v>199</v>
      </c>
      <c r="J1147" s="97">
        <v>4</v>
      </c>
      <c r="K1147" s="97">
        <f t="shared" si="17"/>
        <v>796</v>
      </c>
      <c r="L1147" s="97">
        <f>_xlfn.XLOOKUP(E1147,Emp_Data!$B$2:$B$9,Emp_Data!$A$2:$A$9)</f>
        <v>2</v>
      </c>
    </row>
    <row r="1148" spans="1:12">
      <c r="A1148" s="99">
        <v>1745</v>
      </c>
      <c r="B1148" s="101">
        <v>44763</v>
      </c>
      <c r="C1148" s="96">
        <v>9</v>
      </c>
      <c r="D1148" s="104" t="s">
        <v>26</v>
      </c>
      <c r="E1148" s="97" t="s">
        <v>11</v>
      </c>
      <c r="F1148" s="97" t="str">
        <f>VLOOKUP(E1148,Emp_Data!$B$2:$C$9,2,)</f>
        <v>Steve</v>
      </c>
      <c r="G1148" s="97" t="s">
        <v>12</v>
      </c>
      <c r="H1148" s="97" t="s">
        <v>41</v>
      </c>
      <c r="I1148" s="97">
        <v>199</v>
      </c>
      <c r="J1148" s="97">
        <v>5</v>
      </c>
      <c r="K1148" s="97">
        <f t="shared" si="17"/>
        <v>995</v>
      </c>
      <c r="L1148" s="97">
        <f>_xlfn.XLOOKUP(E1148,Emp_Data!$B$2:$B$9,Emp_Data!$A$2:$A$9)</f>
        <v>4</v>
      </c>
    </row>
    <row r="1149" spans="1:12">
      <c r="A1149" s="99">
        <v>1747</v>
      </c>
      <c r="B1149" s="101">
        <v>44764</v>
      </c>
      <c r="C1149" s="96">
        <v>6</v>
      </c>
      <c r="D1149" s="104" t="s">
        <v>10</v>
      </c>
      <c r="E1149" s="97" t="s">
        <v>11</v>
      </c>
      <c r="F1149" s="97" t="str">
        <f>VLOOKUP(E1149,Emp_Data!$B$2:$C$9,2,)</f>
        <v>Steve</v>
      </c>
      <c r="G1149" s="97" t="s">
        <v>12</v>
      </c>
      <c r="H1149" s="97" t="s">
        <v>41</v>
      </c>
      <c r="I1149" s="97">
        <v>199</v>
      </c>
      <c r="J1149" s="97">
        <v>0</v>
      </c>
      <c r="K1149" s="97">
        <f t="shared" si="17"/>
        <v>0</v>
      </c>
      <c r="L1149" s="97">
        <f>_xlfn.XLOOKUP(E1149,Emp_Data!$B$2:$B$9,Emp_Data!$A$2:$A$9)</f>
        <v>4</v>
      </c>
    </row>
    <row r="1150" spans="1:12">
      <c r="A1150" s="99">
        <v>1760</v>
      </c>
      <c r="B1150" s="101">
        <v>44769</v>
      </c>
      <c r="C1150" s="96">
        <v>18</v>
      </c>
      <c r="D1150" s="104" t="s">
        <v>30</v>
      </c>
      <c r="E1150" s="97" t="s">
        <v>25</v>
      </c>
      <c r="F1150" s="97" t="str">
        <f>VLOOKUP(E1150,Emp_Data!$B$2:$C$9,2,)</f>
        <v>Jeff</v>
      </c>
      <c r="G1150" s="97" t="s">
        <v>9</v>
      </c>
      <c r="H1150" s="97" t="s">
        <v>41</v>
      </c>
      <c r="I1150" s="97">
        <v>199</v>
      </c>
      <c r="J1150" s="97">
        <v>0</v>
      </c>
      <c r="K1150" s="97">
        <f t="shared" si="17"/>
        <v>0</v>
      </c>
      <c r="L1150" s="97">
        <f>_xlfn.XLOOKUP(E1150,Emp_Data!$B$2:$B$9,Emp_Data!$A$2:$A$9)</f>
        <v>5</v>
      </c>
    </row>
    <row r="1151" spans="1:12">
      <c r="A1151" s="99">
        <v>1761</v>
      </c>
      <c r="B1151" s="101">
        <v>44770</v>
      </c>
      <c r="C1151" s="96">
        <v>11</v>
      </c>
      <c r="D1151" s="104" t="s">
        <v>38</v>
      </c>
      <c r="E1151" s="97" t="s">
        <v>18</v>
      </c>
      <c r="F1151" s="97" t="str">
        <f>VLOOKUP(E1151,Emp_Data!$B$2:$C$9,2,)</f>
        <v>Sara</v>
      </c>
      <c r="G1151" s="97" t="s">
        <v>19</v>
      </c>
      <c r="H1151" s="97" t="s">
        <v>41</v>
      </c>
      <c r="I1151" s="97">
        <v>199</v>
      </c>
      <c r="J1151" s="97">
        <v>4</v>
      </c>
      <c r="K1151" s="97">
        <f t="shared" si="17"/>
        <v>796</v>
      </c>
      <c r="L1151" s="97">
        <f>_xlfn.XLOOKUP(E1151,Emp_Data!$B$2:$B$9,Emp_Data!$A$2:$A$9)</f>
        <v>5</v>
      </c>
    </row>
    <row r="1152" spans="1:12">
      <c r="A1152" s="99">
        <v>1763</v>
      </c>
      <c r="B1152" s="101">
        <v>44771</v>
      </c>
      <c r="C1152" s="96">
        <v>2</v>
      </c>
      <c r="D1152" s="104" t="s">
        <v>35</v>
      </c>
      <c r="E1152" s="97" t="s">
        <v>14</v>
      </c>
      <c r="F1152" s="97" t="str">
        <f>VLOOKUP(E1152,Emp_Data!$B$2:$C$9,2,)</f>
        <v>Jeff</v>
      </c>
      <c r="G1152" s="97" t="s">
        <v>15</v>
      </c>
      <c r="H1152" s="97" t="s">
        <v>41</v>
      </c>
      <c r="I1152" s="97">
        <v>199</v>
      </c>
      <c r="J1152" s="97">
        <v>7</v>
      </c>
      <c r="K1152" s="97">
        <f t="shared" si="17"/>
        <v>1393</v>
      </c>
      <c r="L1152" s="97">
        <f>_xlfn.XLOOKUP(E1152,Emp_Data!$B$2:$B$9,Emp_Data!$A$2:$A$9)</f>
        <v>2</v>
      </c>
    </row>
    <row r="1153" spans="1:12">
      <c r="A1153" s="99">
        <v>1765</v>
      </c>
      <c r="B1153" s="101">
        <v>44772</v>
      </c>
      <c r="C1153" s="96">
        <v>9</v>
      </c>
      <c r="D1153" s="104" t="s">
        <v>26</v>
      </c>
      <c r="E1153" s="97" t="s">
        <v>11</v>
      </c>
      <c r="F1153" s="97" t="str">
        <f>VLOOKUP(E1153,Emp_Data!$B$2:$C$9,2,)</f>
        <v>Steve</v>
      </c>
      <c r="G1153" s="97" t="s">
        <v>12</v>
      </c>
      <c r="H1153" s="97" t="s">
        <v>41</v>
      </c>
      <c r="I1153" s="97">
        <v>199</v>
      </c>
      <c r="J1153" s="97">
        <v>3</v>
      </c>
      <c r="K1153" s="97">
        <f t="shared" si="17"/>
        <v>597</v>
      </c>
      <c r="L1153" s="97">
        <f>_xlfn.XLOOKUP(E1153,Emp_Data!$B$2:$B$9,Emp_Data!$A$2:$A$9)</f>
        <v>4</v>
      </c>
    </row>
    <row r="1154" spans="1:12">
      <c r="A1154" s="99">
        <v>1771</v>
      </c>
      <c r="B1154" s="101">
        <v>44776</v>
      </c>
      <c r="C1154" s="96">
        <v>4</v>
      </c>
      <c r="D1154" s="104" t="s">
        <v>13</v>
      </c>
      <c r="E1154" s="97" t="s">
        <v>14</v>
      </c>
      <c r="F1154" s="97" t="str">
        <f>VLOOKUP(E1154,Emp_Data!$B$2:$C$9,2,)</f>
        <v>Jeff</v>
      </c>
      <c r="G1154" s="97" t="s">
        <v>15</v>
      </c>
      <c r="H1154" s="97" t="s">
        <v>41</v>
      </c>
      <c r="I1154" s="97">
        <v>199</v>
      </c>
      <c r="J1154" s="97">
        <v>7</v>
      </c>
      <c r="K1154" s="97">
        <f t="shared" si="17"/>
        <v>1393</v>
      </c>
      <c r="L1154" s="97">
        <f>_xlfn.XLOOKUP(E1154,Emp_Data!$B$2:$B$9,Emp_Data!$A$2:$A$9)</f>
        <v>2</v>
      </c>
    </row>
    <row r="1155" spans="1:12">
      <c r="A1155" s="99">
        <v>1772</v>
      </c>
      <c r="B1155" s="101">
        <v>44777</v>
      </c>
      <c r="C1155" s="96">
        <v>18</v>
      </c>
      <c r="D1155" s="104" t="s">
        <v>30</v>
      </c>
      <c r="E1155" s="97" t="s">
        <v>8</v>
      </c>
      <c r="F1155" s="97" t="str">
        <f>VLOOKUP(E1155,Emp_Data!$B$2:$C$9,2,)</f>
        <v>Jeff</v>
      </c>
      <c r="G1155" s="97" t="s">
        <v>9</v>
      </c>
      <c r="H1155" s="97" t="s">
        <v>41</v>
      </c>
      <c r="I1155" s="97">
        <v>199</v>
      </c>
      <c r="J1155" s="97">
        <v>8</v>
      </c>
      <c r="K1155" s="97">
        <f t="shared" ref="K1155:K1218" si="18">SUMPRODUCT(I1155,J1155)</f>
        <v>1592</v>
      </c>
      <c r="L1155" s="97">
        <f>_xlfn.XLOOKUP(E1155,Emp_Data!$B$2:$B$9,Emp_Data!$A$2:$A$9)</f>
        <v>3</v>
      </c>
    </row>
    <row r="1156" spans="1:12">
      <c r="A1156" s="99">
        <v>1773</v>
      </c>
      <c r="B1156" s="101">
        <v>44777</v>
      </c>
      <c r="C1156" s="96">
        <v>5</v>
      </c>
      <c r="D1156" s="104" t="s">
        <v>16</v>
      </c>
      <c r="E1156" s="97" t="s">
        <v>14</v>
      </c>
      <c r="F1156" s="97" t="str">
        <f>VLOOKUP(E1156,Emp_Data!$B$2:$C$9,2,)</f>
        <v>Jeff</v>
      </c>
      <c r="G1156" s="97" t="s">
        <v>15</v>
      </c>
      <c r="H1156" s="97" t="s">
        <v>41</v>
      </c>
      <c r="I1156" s="97">
        <v>199</v>
      </c>
      <c r="J1156" s="97">
        <v>2</v>
      </c>
      <c r="K1156" s="97">
        <f t="shared" si="18"/>
        <v>398</v>
      </c>
      <c r="L1156" s="97">
        <f>_xlfn.XLOOKUP(E1156,Emp_Data!$B$2:$B$9,Emp_Data!$A$2:$A$9)</f>
        <v>2</v>
      </c>
    </row>
    <row r="1157" spans="1:12">
      <c r="A1157" s="99">
        <v>1774</v>
      </c>
      <c r="B1157" s="101">
        <v>44777</v>
      </c>
      <c r="C1157" s="96">
        <v>8</v>
      </c>
      <c r="D1157" s="104" t="s">
        <v>36</v>
      </c>
      <c r="E1157" s="97" t="s">
        <v>11</v>
      </c>
      <c r="F1157" s="97" t="str">
        <f>VLOOKUP(E1157,Emp_Data!$B$2:$C$9,2,)</f>
        <v>Steve</v>
      </c>
      <c r="G1157" s="97" t="s">
        <v>12</v>
      </c>
      <c r="H1157" s="97" t="s">
        <v>41</v>
      </c>
      <c r="I1157" s="97">
        <v>199</v>
      </c>
      <c r="J1157" s="97">
        <v>1</v>
      </c>
      <c r="K1157" s="97">
        <f t="shared" si="18"/>
        <v>199</v>
      </c>
      <c r="L1157" s="97">
        <f>_xlfn.XLOOKUP(E1157,Emp_Data!$B$2:$B$9,Emp_Data!$A$2:$A$9)</f>
        <v>4</v>
      </c>
    </row>
    <row r="1158" spans="1:12">
      <c r="A1158" s="99">
        <v>1782</v>
      </c>
      <c r="B1158" s="101">
        <v>44781</v>
      </c>
      <c r="C1158" s="96">
        <v>13</v>
      </c>
      <c r="D1158" s="104" t="s">
        <v>23</v>
      </c>
      <c r="E1158" s="97" t="s">
        <v>18</v>
      </c>
      <c r="F1158" s="97" t="str">
        <f>VLOOKUP(E1158,Emp_Data!$B$2:$C$9,2,)</f>
        <v>Sara</v>
      </c>
      <c r="G1158" s="97" t="s">
        <v>19</v>
      </c>
      <c r="H1158" s="97" t="s">
        <v>41</v>
      </c>
      <c r="I1158" s="97">
        <v>199</v>
      </c>
      <c r="J1158" s="97">
        <v>3</v>
      </c>
      <c r="K1158" s="97">
        <f t="shared" si="18"/>
        <v>597</v>
      </c>
      <c r="L1158" s="97">
        <f>_xlfn.XLOOKUP(E1158,Emp_Data!$B$2:$B$9,Emp_Data!$A$2:$A$9)</f>
        <v>5</v>
      </c>
    </row>
    <row r="1159" spans="1:12">
      <c r="A1159" s="99">
        <v>1789</v>
      </c>
      <c r="B1159" s="101">
        <v>44783</v>
      </c>
      <c r="C1159" s="96">
        <v>4</v>
      </c>
      <c r="D1159" s="104" t="s">
        <v>13</v>
      </c>
      <c r="E1159" s="97" t="s">
        <v>21</v>
      </c>
      <c r="F1159" s="97" t="str">
        <f>VLOOKUP(E1159,Emp_Data!$B$2:$C$9,2,)</f>
        <v>Sara</v>
      </c>
      <c r="G1159" s="97" t="s">
        <v>15</v>
      </c>
      <c r="H1159" s="97" t="s">
        <v>41</v>
      </c>
      <c r="I1159" s="97">
        <v>199</v>
      </c>
      <c r="J1159" s="97">
        <v>9</v>
      </c>
      <c r="K1159" s="97">
        <f t="shared" si="18"/>
        <v>1791</v>
      </c>
      <c r="L1159" s="97">
        <f>_xlfn.XLOOKUP(E1159,Emp_Data!$B$2:$B$9,Emp_Data!$A$2:$A$9)</f>
        <v>2</v>
      </c>
    </row>
    <row r="1160" spans="1:12">
      <c r="A1160" s="99">
        <v>1797</v>
      </c>
      <c r="B1160" s="101">
        <v>44785</v>
      </c>
      <c r="C1160" s="96">
        <v>10</v>
      </c>
      <c r="D1160" s="104" t="s">
        <v>34</v>
      </c>
      <c r="E1160" s="97" t="s">
        <v>27</v>
      </c>
      <c r="F1160" s="97" t="str">
        <f>VLOOKUP(E1160,Emp_Data!$B$2:$C$9,2,)</f>
        <v>Philip</v>
      </c>
      <c r="G1160" s="97" t="s">
        <v>12</v>
      </c>
      <c r="H1160" s="97" t="s">
        <v>41</v>
      </c>
      <c r="I1160" s="97">
        <v>199</v>
      </c>
      <c r="J1160" s="97">
        <v>2</v>
      </c>
      <c r="K1160" s="97">
        <f t="shared" si="18"/>
        <v>398</v>
      </c>
      <c r="L1160" s="97">
        <f>_xlfn.XLOOKUP(E1160,Emp_Data!$B$2:$B$9,Emp_Data!$A$2:$A$9)</f>
        <v>8</v>
      </c>
    </row>
    <row r="1161" spans="1:12">
      <c r="A1161" s="99">
        <v>1800</v>
      </c>
      <c r="B1161" s="101">
        <v>44785</v>
      </c>
      <c r="C1161" s="96">
        <v>9</v>
      </c>
      <c r="D1161" s="104" t="s">
        <v>26</v>
      </c>
      <c r="E1161" s="97" t="s">
        <v>27</v>
      </c>
      <c r="F1161" s="97" t="str">
        <f>VLOOKUP(E1161,Emp_Data!$B$2:$C$9,2,)</f>
        <v>Philip</v>
      </c>
      <c r="G1161" s="97" t="s">
        <v>12</v>
      </c>
      <c r="H1161" s="97" t="s">
        <v>41</v>
      </c>
      <c r="I1161" s="97">
        <v>199</v>
      </c>
      <c r="J1161" s="97">
        <v>8</v>
      </c>
      <c r="K1161" s="97">
        <f t="shared" si="18"/>
        <v>1592</v>
      </c>
      <c r="L1161" s="97">
        <f>_xlfn.XLOOKUP(E1161,Emp_Data!$B$2:$B$9,Emp_Data!$A$2:$A$9)</f>
        <v>8</v>
      </c>
    </row>
    <row r="1162" spans="1:12">
      <c r="A1162" s="99">
        <v>1802</v>
      </c>
      <c r="B1162" s="101">
        <v>44785</v>
      </c>
      <c r="C1162" s="96">
        <v>6</v>
      </c>
      <c r="D1162" s="104" t="s">
        <v>10</v>
      </c>
      <c r="E1162" s="97" t="s">
        <v>11</v>
      </c>
      <c r="F1162" s="97" t="str">
        <f>VLOOKUP(E1162,Emp_Data!$B$2:$C$9,2,)</f>
        <v>Steve</v>
      </c>
      <c r="G1162" s="97" t="s">
        <v>12</v>
      </c>
      <c r="H1162" s="97" t="s">
        <v>41</v>
      </c>
      <c r="I1162" s="97">
        <v>199</v>
      </c>
      <c r="J1162" s="97">
        <v>6</v>
      </c>
      <c r="K1162" s="97">
        <f t="shared" si="18"/>
        <v>1194</v>
      </c>
      <c r="L1162" s="97">
        <f>_xlfn.XLOOKUP(E1162,Emp_Data!$B$2:$B$9,Emp_Data!$A$2:$A$9)</f>
        <v>4</v>
      </c>
    </row>
    <row r="1163" spans="1:12">
      <c r="A1163" s="99">
        <v>1804</v>
      </c>
      <c r="B1163" s="101">
        <v>44785</v>
      </c>
      <c r="C1163" s="96">
        <v>8</v>
      </c>
      <c r="D1163" s="104" t="s">
        <v>36</v>
      </c>
      <c r="E1163" s="97" t="s">
        <v>11</v>
      </c>
      <c r="F1163" s="97" t="str">
        <f>VLOOKUP(E1163,Emp_Data!$B$2:$C$9,2,)</f>
        <v>Steve</v>
      </c>
      <c r="G1163" s="97" t="s">
        <v>12</v>
      </c>
      <c r="H1163" s="97" t="s">
        <v>41</v>
      </c>
      <c r="I1163" s="97">
        <v>199</v>
      </c>
      <c r="J1163" s="97">
        <v>6</v>
      </c>
      <c r="K1163" s="97">
        <f t="shared" si="18"/>
        <v>1194</v>
      </c>
      <c r="L1163" s="97">
        <f>_xlfn.XLOOKUP(E1163,Emp_Data!$B$2:$B$9,Emp_Data!$A$2:$A$9)</f>
        <v>4</v>
      </c>
    </row>
    <row r="1164" spans="1:12">
      <c r="A1164" s="99">
        <v>1808</v>
      </c>
      <c r="B1164" s="101">
        <v>44786</v>
      </c>
      <c r="C1164" s="96">
        <v>9</v>
      </c>
      <c r="D1164" s="104" t="s">
        <v>26</v>
      </c>
      <c r="E1164" s="97" t="s">
        <v>11</v>
      </c>
      <c r="F1164" s="97" t="str">
        <f>VLOOKUP(E1164,Emp_Data!$B$2:$C$9,2,)</f>
        <v>Steve</v>
      </c>
      <c r="G1164" s="97" t="s">
        <v>12</v>
      </c>
      <c r="H1164" s="97" t="s">
        <v>41</v>
      </c>
      <c r="I1164" s="97">
        <v>199</v>
      </c>
      <c r="J1164" s="97">
        <v>3</v>
      </c>
      <c r="K1164" s="97">
        <f t="shared" si="18"/>
        <v>597</v>
      </c>
      <c r="L1164" s="97">
        <f>_xlfn.XLOOKUP(E1164,Emp_Data!$B$2:$B$9,Emp_Data!$A$2:$A$9)</f>
        <v>4</v>
      </c>
    </row>
    <row r="1165" spans="1:12">
      <c r="A1165" s="99">
        <v>1815</v>
      </c>
      <c r="B1165" s="101">
        <v>44789</v>
      </c>
      <c r="C1165" s="96">
        <v>5</v>
      </c>
      <c r="D1165" s="104" t="s">
        <v>16</v>
      </c>
      <c r="E1165" s="97" t="s">
        <v>21</v>
      </c>
      <c r="F1165" s="97" t="str">
        <f>VLOOKUP(E1165,Emp_Data!$B$2:$C$9,2,)</f>
        <v>Sara</v>
      </c>
      <c r="G1165" s="97" t="s">
        <v>15</v>
      </c>
      <c r="H1165" s="97" t="s">
        <v>41</v>
      </c>
      <c r="I1165" s="97">
        <v>199</v>
      </c>
      <c r="J1165" s="97">
        <v>2</v>
      </c>
      <c r="K1165" s="97">
        <f t="shared" si="18"/>
        <v>398</v>
      </c>
      <c r="L1165" s="97">
        <f>_xlfn.XLOOKUP(E1165,Emp_Data!$B$2:$B$9,Emp_Data!$A$2:$A$9)</f>
        <v>2</v>
      </c>
    </row>
    <row r="1166" spans="1:12">
      <c r="A1166" s="99">
        <v>1818</v>
      </c>
      <c r="B1166" s="101">
        <v>44790</v>
      </c>
      <c r="C1166" s="96">
        <v>5</v>
      </c>
      <c r="D1166" s="104" t="s">
        <v>16</v>
      </c>
      <c r="E1166" s="97" t="s">
        <v>14</v>
      </c>
      <c r="F1166" s="97" t="str">
        <f>VLOOKUP(E1166,Emp_Data!$B$2:$C$9,2,)</f>
        <v>Jeff</v>
      </c>
      <c r="G1166" s="97" t="s">
        <v>15</v>
      </c>
      <c r="H1166" s="97" t="s">
        <v>41</v>
      </c>
      <c r="I1166" s="97">
        <v>199</v>
      </c>
      <c r="J1166" s="97">
        <v>4</v>
      </c>
      <c r="K1166" s="97">
        <f t="shared" si="18"/>
        <v>796</v>
      </c>
      <c r="L1166" s="97">
        <f>_xlfn.XLOOKUP(E1166,Emp_Data!$B$2:$B$9,Emp_Data!$A$2:$A$9)</f>
        <v>2</v>
      </c>
    </row>
    <row r="1167" spans="1:12">
      <c r="A1167" s="99">
        <v>1819</v>
      </c>
      <c r="B1167" s="101">
        <v>44790</v>
      </c>
      <c r="C1167" s="96">
        <v>9</v>
      </c>
      <c r="D1167" s="104" t="s">
        <v>26</v>
      </c>
      <c r="E1167" s="97" t="s">
        <v>27</v>
      </c>
      <c r="F1167" s="97" t="str">
        <f>VLOOKUP(E1167,Emp_Data!$B$2:$C$9,2,)</f>
        <v>Philip</v>
      </c>
      <c r="G1167" s="97" t="s">
        <v>12</v>
      </c>
      <c r="H1167" s="97" t="s">
        <v>41</v>
      </c>
      <c r="I1167" s="97">
        <v>199</v>
      </c>
      <c r="J1167" s="97">
        <v>9</v>
      </c>
      <c r="K1167" s="97">
        <f t="shared" si="18"/>
        <v>1791</v>
      </c>
      <c r="L1167" s="97">
        <f>_xlfn.XLOOKUP(E1167,Emp_Data!$B$2:$B$9,Emp_Data!$A$2:$A$9)</f>
        <v>8</v>
      </c>
    </row>
    <row r="1168" spans="1:12">
      <c r="A1168" s="99">
        <v>1821</v>
      </c>
      <c r="B1168" s="101">
        <v>44790</v>
      </c>
      <c r="C1168" s="96">
        <v>7</v>
      </c>
      <c r="D1168" s="104" t="s">
        <v>28</v>
      </c>
      <c r="E1168" s="97" t="s">
        <v>11</v>
      </c>
      <c r="F1168" s="97" t="str">
        <f>VLOOKUP(E1168,Emp_Data!$B$2:$C$9,2,)</f>
        <v>Steve</v>
      </c>
      <c r="G1168" s="97" t="s">
        <v>12</v>
      </c>
      <c r="H1168" s="97" t="s">
        <v>41</v>
      </c>
      <c r="I1168" s="97">
        <v>199</v>
      </c>
      <c r="J1168" s="97">
        <v>6</v>
      </c>
      <c r="K1168" s="97">
        <f t="shared" si="18"/>
        <v>1194</v>
      </c>
      <c r="L1168" s="97">
        <f>_xlfn.XLOOKUP(E1168,Emp_Data!$B$2:$B$9,Emp_Data!$A$2:$A$9)</f>
        <v>4</v>
      </c>
    </row>
    <row r="1169" spans="1:12">
      <c r="A1169" s="99">
        <v>1823</v>
      </c>
      <c r="B1169" s="101">
        <v>44791</v>
      </c>
      <c r="C1169" s="96">
        <v>9</v>
      </c>
      <c r="D1169" s="104" t="s">
        <v>26</v>
      </c>
      <c r="E1169" s="97" t="s">
        <v>27</v>
      </c>
      <c r="F1169" s="97" t="str">
        <f>VLOOKUP(E1169,Emp_Data!$B$2:$C$9,2,)</f>
        <v>Philip</v>
      </c>
      <c r="G1169" s="97" t="s">
        <v>12</v>
      </c>
      <c r="H1169" s="97" t="s">
        <v>41</v>
      </c>
      <c r="I1169" s="97">
        <v>199</v>
      </c>
      <c r="J1169" s="97">
        <v>3</v>
      </c>
      <c r="K1169" s="97">
        <f t="shared" si="18"/>
        <v>597</v>
      </c>
      <c r="L1169" s="97">
        <f>_xlfn.XLOOKUP(E1169,Emp_Data!$B$2:$B$9,Emp_Data!$A$2:$A$9)</f>
        <v>8</v>
      </c>
    </row>
    <row r="1170" spans="1:12">
      <c r="A1170" s="99">
        <v>1825</v>
      </c>
      <c r="B1170" s="101">
        <v>44792</v>
      </c>
      <c r="C1170" s="96">
        <v>11</v>
      </c>
      <c r="D1170" s="104" t="s">
        <v>38</v>
      </c>
      <c r="E1170" s="97" t="s">
        <v>18</v>
      </c>
      <c r="F1170" s="97" t="str">
        <f>VLOOKUP(E1170,Emp_Data!$B$2:$C$9,2,)</f>
        <v>Sara</v>
      </c>
      <c r="G1170" s="97" t="s">
        <v>19</v>
      </c>
      <c r="H1170" s="97" t="s">
        <v>41</v>
      </c>
      <c r="I1170" s="97">
        <v>199</v>
      </c>
      <c r="J1170" s="97">
        <v>5</v>
      </c>
      <c r="K1170" s="97">
        <f t="shared" si="18"/>
        <v>995</v>
      </c>
      <c r="L1170" s="97">
        <f>_xlfn.XLOOKUP(E1170,Emp_Data!$B$2:$B$9,Emp_Data!$A$2:$A$9)</f>
        <v>5</v>
      </c>
    </row>
    <row r="1171" spans="1:12">
      <c r="A1171" s="99">
        <v>1831</v>
      </c>
      <c r="B1171" s="101">
        <v>44794</v>
      </c>
      <c r="C1171" s="96">
        <v>8</v>
      </c>
      <c r="D1171" s="104" t="s">
        <v>36</v>
      </c>
      <c r="E1171" s="97" t="s">
        <v>27</v>
      </c>
      <c r="F1171" s="97" t="str">
        <f>VLOOKUP(E1171,Emp_Data!$B$2:$C$9,2,)</f>
        <v>Philip</v>
      </c>
      <c r="G1171" s="97" t="s">
        <v>12</v>
      </c>
      <c r="H1171" s="97" t="s">
        <v>41</v>
      </c>
      <c r="I1171" s="97">
        <v>199</v>
      </c>
      <c r="J1171" s="97">
        <v>3</v>
      </c>
      <c r="K1171" s="97">
        <f t="shared" si="18"/>
        <v>597</v>
      </c>
      <c r="L1171" s="97">
        <f>_xlfn.XLOOKUP(E1171,Emp_Data!$B$2:$B$9,Emp_Data!$A$2:$A$9)</f>
        <v>8</v>
      </c>
    </row>
    <row r="1172" spans="1:12">
      <c r="A1172" s="99">
        <v>1834</v>
      </c>
      <c r="B1172" s="101">
        <v>44794</v>
      </c>
      <c r="C1172" s="96">
        <v>5</v>
      </c>
      <c r="D1172" s="104" t="s">
        <v>16</v>
      </c>
      <c r="E1172" s="97" t="s">
        <v>21</v>
      </c>
      <c r="F1172" s="97" t="str">
        <f>VLOOKUP(E1172,Emp_Data!$B$2:$C$9,2,)</f>
        <v>Sara</v>
      </c>
      <c r="G1172" s="97" t="s">
        <v>15</v>
      </c>
      <c r="H1172" s="97" t="s">
        <v>41</v>
      </c>
      <c r="I1172" s="97">
        <v>199</v>
      </c>
      <c r="J1172" s="97">
        <v>7</v>
      </c>
      <c r="K1172" s="97">
        <f t="shared" si="18"/>
        <v>1393</v>
      </c>
      <c r="L1172" s="97">
        <f>_xlfn.XLOOKUP(E1172,Emp_Data!$B$2:$B$9,Emp_Data!$A$2:$A$9)</f>
        <v>2</v>
      </c>
    </row>
    <row r="1173" spans="1:12">
      <c r="A1173" s="99">
        <v>1836</v>
      </c>
      <c r="B1173" s="101">
        <v>44794</v>
      </c>
      <c r="C1173" s="96">
        <v>9</v>
      </c>
      <c r="D1173" s="104" t="s">
        <v>26</v>
      </c>
      <c r="E1173" s="97" t="s">
        <v>11</v>
      </c>
      <c r="F1173" s="97" t="str">
        <f>VLOOKUP(E1173,Emp_Data!$B$2:$C$9,2,)</f>
        <v>Steve</v>
      </c>
      <c r="G1173" s="97" t="s">
        <v>12</v>
      </c>
      <c r="H1173" s="97" t="s">
        <v>41</v>
      </c>
      <c r="I1173" s="97">
        <v>199</v>
      </c>
      <c r="J1173" s="97">
        <v>5</v>
      </c>
      <c r="K1173" s="97">
        <f t="shared" si="18"/>
        <v>995</v>
      </c>
      <c r="L1173" s="97">
        <f>_xlfn.XLOOKUP(E1173,Emp_Data!$B$2:$B$9,Emp_Data!$A$2:$A$9)</f>
        <v>4</v>
      </c>
    </row>
    <row r="1174" spans="1:12">
      <c r="A1174" s="99">
        <v>1840</v>
      </c>
      <c r="B1174" s="101">
        <v>44795</v>
      </c>
      <c r="C1174" s="96">
        <v>17</v>
      </c>
      <c r="D1174" s="104" t="s">
        <v>32</v>
      </c>
      <c r="E1174" s="97" t="s">
        <v>8</v>
      </c>
      <c r="F1174" s="97" t="str">
        <f>VLOOKUP(E1174,Emp_Data!$B$2:$C$9,2,)</f>
        <v>Jeff</v>
      </c>
      <c r="G1174" s="97" t="s">
        <v>9</v>
      </c>
      <c r="H1174" s="97" t="s">
        <v>41</v>
      </c>
      <c r="I1174" s="97">
        <v>199</v>
      </c>
      <c r="J1174" s="97">
        <v>5</v>
      </c>
      <c r="K1174" s="97">
        <f t="shared" si="18"/>
        <v>995</v>
      </c>
      <c r="L1174" s="97">
        <f>_xlfn.XLOOKUP(E1174,Emp_Data!$B$2:$B$9,Emp_Data!$A$2:$A$9)</f>
        <v>3</v>
      </c>
    </row>
    <row r="1175" spans="1:12">
      <c r="A1175" s="99">
        <v>1841</v>
      </c>
      <c r="B1175" s="101">
        <v>44795</v>
      </c>
      <c r="C1175" s="96">
        <v>3</v>
      </c>
      <c r="D1175" s="104" t="s">
        <v>20</v>
      </c>
      <c r="E1175" s="97" t="s">
        <v>21</v>
      </c>
      <c r="F1175" s="97" t="str">
        <f>VLOOKUP(E1175,Emp_Data!$B$2:$C$9,2,)</f>
        <v>Sara</v>
      </c>
      <c r="G1175" s="97" t="s">
        <v>15</v>
      </c>
      <c r="H1175" s="97" t="s">
        <v>41</v>
      </c>
      <c r="I1175" s="97">
        <v>199</v>
      </c>
      <c r="J1175" s="97">
        <v>4</v>
      </c>
      <c r="K1175" s="97">
        <f t="shared" si="18"/>
        <v>796</v>
      </c>
      <c r="L1175" s="97">
        <f>_xlfn.XLOOKUP(E1175,Emp_Data!$B$2:$B$9,Emp_Data!$A$2:$A$9)</f>
        <v>2</v>
      </c>
    </row>
    <row r="1176" spans="1:12">
      <c r="A1176" s="99">
        <v>1843</v>
      </c>
      <c r="B1176" s="101">
        <v>44795</v>
      </c>
      <c r="C1176" s="96">
        <v>20</v>
      </c>
      <c r="D1176" s="104" t="s">
        <v>7</v>
      </c>
      <c r="E1176" s="97" t="s">
        <v>25</v>
      </c>
      <c r="F1176" s="97" t="str">
        <f>VLOOKUP(E1176,Emp_Data!$B$2:$C$9,2,)</f>
        <v>Jeff</v>
      </c>
      <c r="G1176" s="97" t="s">
        <v>9</v>
      </c>
      <c r="H1176" s="97" t="s">
        <v>41</v>
      </c>
      <c r="I1176" s="97">
        <v>199</v>
      </c>
      <c r="J1176" s="97">
        <v>1</v>
      </c>
      <c r="K1176" s="97">
        <f t="shared" si="18"/>
        <v>199</v>
      </c>
      <c r="L1176" s="97">
        <f>_xlfn.XLOOKUP(E1176,Emp_Data!$B$2:$B$9,Emp_Data!$A$2:$A$9)</f>
        <v>5</v>
      </c>
    </row>
    <row r="1177" spans="1:12">
      <c r="A1177" s="99">
        <v>1844</v>
      </c>
      <c r="B1177" s="101">
        <v>44795</v>
      </c>
      <c r="C1177" s="96">
        <v>5</v>
      </c>
      <c r="D1177" s="104" t="s">
        <v>16</v>
      </c>
      <c r="E1177" s="97" t="s">
        <v>14</v>
      </c>
      <c r="F1177" s="97" t="str">
        <f>VLOOKUP(E1177,Emp_Data!$B$2:$C$9,2,)</f>
        <v>Jeff</v>
      </c>
      <c r="G1177" s="97" t="s">
        <v>15</v>
      </c>
      <c r="H1177" s="97" t="s">
        <v>41</v>
      </c>
      <c r="I1177" s="97">
        <v>199</v>
      </c>
      <c r="J1177" s="97">
        <v>4</v>
      </c>
      <c r="K1177" s="97">
        <f t="shared" si="18"/>
        <v>796</v>
      </c>
      <c r="L1177" s="97">
        <f>_xlfn.XLOOKUP(E1177,Emp_Data!$B$2:$B$9,Emp_Data!$A$2:$A$9)</f>
        <v>2</v>
      </c>
    </row>
    <row r="1178" spans="1:12">
      <c r="A1178" s="99">
        <v>1857</v>
      </c>
      <c r="B1178" s="101">
        <v>44803</v>
      </c>
      <c r="C1178" s="96">
        <v>7</v>
      </c>
      <c r="D1178" s="104" t="s">
        <v>28</v>
      </c>
      <c r="E1178" s="97" t="s">
        <v>11</v>
      </c>
      <c r="F1178" s="97" t="str">
        <f>VLOOKUP(E1178,Emp_Data!$B$2:$C$9,2,)</f>
        <v>Steve</v>
      </c>
      <c r="G1178" s="97" t="s">
        <v>12</v>
      </c>
      <c r="H1178" s="97" t="s">
        <v>41</v>
      </c>
      <c r="I1178" s="97">
        <v>199</v>
      </c>
      <c r="J1178" s="97">
        <v>1</v>
      </c>
      <c r="K1178" s="97">
        <f t="shared" si="18"/>
        <v>199</v>
      </c>
      <c r="L1178" s="97">
        <f>_xlfn.XLOOKUP(E1178,Emp_Data!$B$2:$B$9,Emp_Data!$A$2:$A$9)</f>
        <v>4</v>
      </c>
    </row>
    <row r="1179" spans="1:12">
      <c r="A1179" s="99">
        <v>1868</v>
      </c>
      <c r="B1179" s="101">
        <v>44806</v>
      </c>
      <c r="C1179" s="96">
        <v>15</v>
      </c>
      <c r="D1179" s="104" t="s">
        <v>29</v>
      </c>
      <c r="E1179" s="97" t="s">
        <v>18</v>
      </c>
      <c r="F1179" s="97" t="str">
        <f>VLOOKUP(E1179,Emp_Data!$B$2:$C$9,2,)</f>
        <v>Sara</v>
      </c>
      <c r="G1179" s="97" t="s">
        <v>19</v>
      </c>
      <c r="H1179" s="97" t="s">
        <v>41</v>
      </c>
      <c r="I1179" s="97">
        <v>199</v>
      </c>
      <c r="J1179" s="97">
        <v>5</v>
      </c>
      <c r="K1179" s="97">
        <f t="shared" si="18"/>
        <v>995</v>
      </c>
      <c r="L1179" s="97">
        <f>_xlfn.XLOOKUP(E1179,Emp_Data!$B$2:$B$9,Emp_Data!$A$2:$A$9)</f>
        <v>5</v>
      </c>
    </row>
    <row r="1180" spans="1:12">
      <c r="A1180" s="99">
        <v>1873</v>
      </c>
      <c r="B1180" s="101">
        <v>44809</v>
      </c>
      <c r="C1180" s="96">
        <v>8</v>
      </c>
      <c r="D1180" s="104" t="s">
        <v>36</v>
      </c>
      <c r="E1180" s="97" t="s">
        <v>11</v>
      </c>
      <c r="F1180" s="97" t="str">
        <f>VLOOKUP(E1180,Emp_Data!$B$2:$C$9,2,)</f>
        <v>Steve</v>
      </c>
      <c r="G1180" s="97" t="s">
        <v>12</v>
      </c>
      <c r="H1180" s="97" t="s">
        <v>41</v>
      </c>
      <c r="I1180" s="97">
        <v>199</v>
      </c>
      <c r="J1180" s="97">
        <v>6</v>
      </c>
      <c r="K1180" s="97">
        <f t="shared" si="18"/>
        <v>1194</v>
      </c>
      <c r="L1180" s="97">
        <f>_xlfn.XLOOKUP(E1180,Emp_Data!$B$2:$B$9,Emp_Data!$A$2:$A$9)</f>
        <v>4</v>
      </c>
    </row>
    <row r="1181" spans="1:12">
      <c r="A1181" s="99">
        <v>1876</v>
      </c>
      <c r="B1181" s="101">
        <v>44810</v>
      </c>
      <c r="C1181" s="96">
        <v>16</v>
      </c>
      <c r="D1181" s="104" t="s">
        <v>37</v>
      </c>
      <c r="E1181" s="97" t="s">
        <v>25</v>
      </c>
      <c r="F1181" s="97" t="str">
        <f>VLOOKUP(E1181,Emp_Data!$B$2:$C$9,2,)</f>
        <v>Jeff</v>
      </c>
      <c r="G1181" s="97" t="s">
        <v>9</v>
      </c>
      <c r="H1181" s="97" t="s">
        <v>41</v>
      </c>
      <c r="I1181" s="97">
        <v>199</v>
      </c>
      <c r="J1181" s="97">
        <v>8</v>
      </c>
      <c r="K1181" s="97">
        <f t="shared" si="18"/>
        <v>1592</v>
      </c>
      <c r="L1181" s="97">
        <f>_xlfn.XLOOKUP(E1181,Emp_Data!$B$2:$B$9,Emp_Data!$A$2:$A$9)</f>
        <v>5</v>
      </c>
    </row>
    <row r="1182" spans="1:12">
      <c r="A1182" s="99">
        <v>1882</v>
      </c>
      <c r="B1182" s="101">
        <v>44811</v>
      </c>
      <c r="C1182" s="96">
        <v>2</v>
      </c>
      <c r="D1182" s="104" t="s">
        <v>35</v>
      </c>
      <c r="E1182" s="97" t="s">
        <v>14</v>
      </c>
      <c r="F1182" s="97" t="str">
        <f>VLOOKUP(E1182,Emp_Data!$B$2:$C$9,2,)</f>
        <v>Jeff</v>
      </c>
      <c r="G1182" s="97" t="s">
        <v>15</v>
      </c>
      <c r="H1182" s="97" t="s">
        <v>41</v>
      </c>
      <c r="I1182" s="97">
        <v>199</v>
      </c>
      <c r="J1182" s="97">
        <v>1</v>
      </c>
      <c r="K1182" s="97">
        <f t="shared" si="18"/>
        <v>199</v>
      </c>
      <c r="L1182" s="97">
        <f>_xlfn.XLOOKUP(E1182,Emp_Data!$B$2:$B$9,Emp_Data!$A$2:$A$9)</f>
        <v>2</v>
      </c>
    </row>
    <row r="1183" spans="1:12">
      <c r="A1183" s="99">
        <v>1885</v>
      </c>
      <c r="B1183" s="101">
        <v>44812</v>
      </c>
      <c r="C1183" s="96">
        <v>14</v>
      </c>
      <c r="D1183" s="104" t="s">
        <v>33</v>
      </c>
      <c r="E1183" s="97" t="s">
        <v>24</v>
      </c>
      <c r="F1183" s="97" t="str">
        <f>VLOOKUP(E1183,Emp_Data!$B$2:$C$9,2,)</f>
        <v>Steve</v>
      </c>
      <c r="G1183" s="97" t="s">
        <v>19</v>
      </c>
      <c r="H1183" s="97" t="s">
        <v>41</v>
      </c>
      <c r="I1183" s="97">
        <v>199</v>
      </c>
      <c r="J1183" s="97">
        <v>3</v>
      </c>
      <c r="K1183" s="97">
        <f t="shared" si="18"/>
        <v>597</v>
      </c>
      <c r="L1183" s="97">
        <f>_xlfn.XLOOKUP(E1183,Emp_Data!$B$2:$B$9,Emp_Data!$A$2:$A$9)</f>
        <v>6</v>
      </c>
    </row>
    <row r="1184" spans="1:12">
      <c r="A1184" s="99">
        <v>1890</v>
      </c>
      <c r="B1184" s="101">
        <v>44814</v>
      </c>
      <c r="C1184" s="96">
        <v>10</v>
      </c>
      <c r="D1184" s="104" t="s">
        <v>34</v>
      </c>
      <c r="E1184" s="97" t="s">
        <v>11</v>
      </c>
      <c r="F1184" s="97" t="str">
        <f>VLOOKUP(E1184,Emp_Data!$B$2:$C$9,2,)</f>
        <v>Steve</v>
      </c>
      <c r="G1184" s="97" t="s">
        <v>12</v>
      </c>
      <c r="H1184" s="97" t="s">
        <v>41</v>
      </c>
      <c r="I1184" s="97">
        <v>199</v>
      </c>
      <c r="J1184" s="97">
        <v>5</v>
      </c>
      <c r="K1184" s="97">
        <f t="shared" si="18"/>
        <v>995</v>
      </c>
      <c r="L1184" s="97">
        <f>_xlfn.XLOOKUP(E1184,Emp_Data!$B$2:$B$9,Emp_Data!$A$2:$A$9)</f>
        <v>4</v>
      </c>
    </row>
    <row r="1185" spans="1:12">
      <c r="A1185" s="99">
        <v>1893</v>
      </c>
      <c r="B1185" s="101">
        <v>44815</v>
      </c>
      <c r="C1185" s="96">
        <v>15</v>
      </c>
      <c r="D1185" s="104" t="s">
        <v>29</v>
      </c>
      <c r="E1185" s="97" t="s">
        <v>24</v>
      </c>
      <c r="F1185" s="97" t="str">
        <f>VLOOKUP(E1185,Emp_Data!$B$2:$C$9,2,)</f>
        <v>Steve</v>
      </c>
      <c r="G1185" s="97" t="s">
        <v>19</v>
      </c>
      <c r="H1185" s="97" t="s">
        <v>41</v>
      </c>
      <c r="I1185" s="97">
        <v>199</v>
      </c>
      <c r="J1185" s="97">
        <v>1</v>
      </c>
      <c r="K1185" s="97">
        <f t="shared" si="18"/>
        <v>199</v>
      </c>
      <c r="L1185" s="97">
        <f>_xlfn.XLOOKUP(E1185,Emp_Data!$B$2:$B$9,Emp_Data!$A$2:$A$9)</f>
        <v>6</v>
      </c>
    </row>
    <row r="1186" spans="1:12">
      <c r="A1186" s="99">
        <v>1898</v>
      </c>
      <c r="B1186" s="101">
        <v>44817</v>
      </c>
      <c r="C1186" s="96">
        <v>3</v>
      </c>
      <c r="D1186" s="104" t="s">
        <v>20</v>
      </c>
      <c r="E1186" s="97" t="s">
        <v>21</v>
      </c>
      <c r="F1186" s="97" t="str">
        <f>VLOOKUP(E1186,Emp_Data!$B$2:$C$9,2,)</f>
        <v>Sara</v>
      </c>
      <c r="G1186" s="97" t="s">
        <v>15</v>
      </c>
      <c r="H1186" s="97" t="s">
        <v>41</v>
      </c>
      <c r="I1186" s="97">
        <v>199</v>
      </c>
      <c r="J1186" s="97">
        <v>1</v>
      </c>
      <c r="K1186" s="97">
        <f t="shared" si="18"/>
        <v>199</v>
      </c>
      <c r="L1186" s="97">
        <f>_xlfn.XLOOKUP(E1186,Emp_Data!$B$2:$B$9,Emp_Data!$A$2:$A$9)</f>
        <v>2</v>
      </c>
    </row>
    <row r="1187" spans="1:12">
      <c r="A1187" s="99">
        <v>1899</v>
      </c>
      <c r="B1187" s="101">
        <v>44818</v>
      </c>
      <c r="C1187" s="96">
        <v>9</v>
      </c>
      <c r="D1187" s="104" t="s">
        <v>26</v>
      </c>
      <c r="E1187" s="97" t="s">
        <v>11</v>
      </c>
      <c r="F1187" s="97" t="str">
        <f>VLOOKUP(E1187,Emp_Data!$B$2:$C$9,2,)</f>
        <v>Steve</v>
      </c>
      <c r="G1187" s="97" t="s">
        <v>12</v>
      </c>
      <c r="H1187" s="97" t="s">
        <v>41</v>
      </c>
      <c r="I1187" s="97">
        <v>199</v>
      </c>
      <c r="J1187" s="97">
        <v>0</v>
      </c>
      <c r="K1187" s="97">
        <f t="shared" si="18"/>
        <v>0</v>
      </c>
      <c r="L1187" s="97">
        <f>_xlfn.XLOOKUP(E1187,Emp_Data!$B$2:$B$9,Emp_Data!$A$2:$A$9)</f>
        <v>4</v>
      </c>
    </row>
    <row r="1188" spans="1:12">
      <c r="A1188" s="99">
        <v>1900</v>
      </c>
      <c r="B1188" s="101">
        <v>44819</v>
      </c>
      <c r="C1188" s="96">
        <v>2</v>
      </c>
      <c r="D1188" s="104" t="s">
        <v>35</v>
      </c>
      <c r="E1188" s="97" t="s">
        <v>14</v>
      </c>
      <c r="F1188" s="97" t="str">
        <f>VLOOKUP(E1188,Emp_Data!$B$2:$C$9,2,)</f>
        <v>Jeff</v>
      </c>
      <c r="G1188" s="97" t="s">
        <v>15</v>
      </c>
      <c r="H1188" s="97" t="s">
        <v>41</v>
      </c>
      <c r="I1188" s="97">
        <v>199</v>
      </c>
      <c r="J1188" s="97">
        <v>6</v>
      </c>
      <c r="K1188" s="97">
        <f t="shared" si="18"/>
        <v>1194</v>
      </c>
      <c r="L1188" s="97">
        <f>_xlfn.XLOOKUP(E1188,Emp_Data!$B$2:$B$9,Emp_Data!$A$2:$A$9)</f>
        <v>2</v>
      </c>
    </row>
    <row r="1189" spans="1:12">
      <c r="A1189" s="99">
        <v>1908</v>
      </c>
      <c r="B1189" s="101">
        <v>44822</v>
      </c>
      <c r="C1189" s="96">
        <v>20</v>
      </c>
      <c r="D1189" s="104" t="s">
        <v>7</v>
      </c>
      <c r="E1189" s="97" t="s">
        <v>8</v>
      </c>
      <c r="F1189" s="97" t="str">
        <f>VLOOKUP(E1189,Emp_Data!$B$2:$C$9,2,)</f>
        <v>Jeff</v>
      </c>
      <c r="G1189" s="97" t="s">
        <v>9</v>
      </c>
      <c r="H1189" s="97" t="s">
        <v>41</v>
      </c>
      <c r="I1189" s="97">
        <v>199</v>
      </c>
      <c r="J1189" s="97">
        <v>7</v>
      </c>
      <c r="K1189" s="97">
        <f t="shared" si="18"/>
        <v>1393</v>
      </c>
      <c r="L1189" s="97">
        <f>_xlfn.XLOOKUP(E1189,Emp_Data!$B$2:$B$9,Emp_Data!$A$2:$A$9)</f>
        <v>3</v>
      </c>
    </row>
    <row r="1190" spans="1:12">
      <c r="A1190" s="99">
        <v>1915</v>
      </c>
      <c r="B1190" s="101">
        <v>44823</v>
      </c>
      <c r="C1190" s="96">
        <v>11</v>
      </c>
      <c r="D1190" s="104" t="s">
        <v>38</v>
      </c>
      <c r="E1190" s="97" t="s">
        <v>18</v>
      </c>
      <c r="F1190" s="97" t="str">
        <f>VLOOKUP(E1190,Emp_Data!$B$2:$C$9,2,)</f>
        <v>Sara</v>
      </c>
      <c r="G1190" s="97" t="s">
        <v>19</v>
      </c>
      <c r="H1190" s="97" t="s">
        <v>41</v>
      </c>
      <c r="I1190" s="97">
        <v>199</v>
      </c>
      <c r="J1190" s="97">
        <v>9</v>
      </c>
      <c r="K1190" s="97">
        <f t="shared" si="18"/>
        <v>1791</v>
      </c>
      <c r="L1190" s="97">
        <f>_xlfn.XLOOKUP(E1190,Emp_Data!$B$2:$B$9,Emp_Data!$A$2:$A$9)</f>
        <v>5</v>
      </c>
    </row>
    <row r="1191" spans="1:12">
      <c r="A1191" s="99">
        <v>1919</v>
      </c>
      <c r="B1191" s="101">
        <v>44824</v>
      </c>
      <c r="C1191" s="96">
        <v>11</v>
      </c>
      <c r="D1191" s="104" t="s">
        <v>38</v>
      </c>
      <c r="E1191" s="97" t="s">
        <v>24</v>
      </c>
      <c r="F1191" s="97" t="str">
        <f>VLOOKUP(E1191,Emp_Data!$B$2:$C$9,2,)</f>
        <v>Steve</v>
      </c>
      <c r="G1191" s="97" t="s">
        <v>19</v>
      </c>
      <c r="H1191" s="97" t="s">
        <v>41</v>
      </c>
      <c r="I1191" s="97">
        <v>199</v>
      </c>
      <c r="J1191" s="97">
        <v>4</v>
      </c>
      <c r="K1191" s="97">
        <f t="shared" si="18"/>
        <v>796</v>
      </c>
      <c r="L1191" s="97">
        <f>_xlfn.XLOOKUP(E1191,Emp_Data!$B$2:$B$9,Emp_Data!$A$2:$A$9)</f>
        <v>6</v>
      </c>
    </row>
    <row r="1192" spans="1:12">
      <c r="A1192" s="99">
        <v>1924</v>
      </c>
      <c r="B1192" s="101">
        <v>44824</v>
      </c>
      <c r="C1192" s="96">
        <v>6</v>
      </c>
      <c r="D1192" s="104" t="s">
        <v>10</v>
      </c>
      <c r="E1192" s="97" t="s">
        <v>27</v>
      </c>
      <c r="F1192" s="97" t="str">
        <f>VLOOKUP(E1192,Emp_Data!$B$2:$C$9,2,)</f>
        <v>Philip</v>
      </c>
      <c r="G1192" s="97" t="s">
        <v>12</v>
      </c>
      <c r="H1192" s="97" t="s">
        <v>41</v>
      </c>
      <c r="I1192" s="97">
        <v>199</v>
      </c>
      <c r="J1192" s="97">
        <v>0</v>
      </c>
      <c r="K1192" s="97">
        <f t="shared" si="18"/>
        <v>0</v>
      </c>
      <c r="L1192" s="97">
        <f>_xlfn.XLOOKUP(E1192,Emp_Data!$B$2:$B$9,Emp_Data!$A$2:$A$9)</f>
        <v>8</v>
      </c>
    </row>
    <row r="1193" spans="1:12">
      <c r="A1193" s="99">
        <v>1926</v>
      </c>
      <c r="B1193" s="101">
        <v>44826</v>
      </c>
      <c r="C1193" s="96">
        <v>1</v>
      </c>
      <c r="D1193" s="104" t="s">
        <v>31</v>
      </c>
      <c r="E1193" s="97" t="s">
        <v>14</v>
      </c>
      <c r="F1193" s="97" t="str">
        <f>VLOOKUP(E1193,Emp_Data!$B$2:$C$9,2,)</f>
        <v>Jeff</v>
      </c>
      <c r="G1193" s="97" t="s">
        <v>15</v>
      </c>
      <c r="H1193" s="97" t="s">
        <v>41</v>
      </c>
      <c r="I1193" s="97">
        <v>199</v>
      </c>
      <c r="J1193" s="97">
        <v>3</v>
      </c>
      <c r="K1193" s="97">
        <f t="shared" si="18"/>
        <v>597</v>
      </c>
      <c r="L1193" s="97">
        <f>_xlfn.XLOOKUP(E1193,Emp_Data!$B$2:$B$9,Emp_Data!$A$2:$A$9)</f>
        <v>2</v>
      </c>
    </row>
    <row r="1194" spans="1:12">
      <c r="A1194" s="99">
        <v>1929</v>
      </c>
      <c r="B1194" s="101">
        <v>44826</v>
      </c>
      <c r="C1194" s="96">
        <v>9</v>
      </c>
      <c r="D1194" s="104" t="s">
        <v>26</v>
      </c>
      <c r="E1194" s="97" t="s">
        <v>11</v>
      </c>
      <c r="F1194" s="97" t="str">
        <f>VLOOKUP(E1194,Emp_Data!$B$2:$C$9,2,)</f>
        <v>Steve</v>
      </c>
      <c r="G1194" s="97" t="s">
        <v>12</v>
      </c>
      <c r="H1194" s="97" t="s">
        <v>41</v>
      </c>
      <c r="I1194" s="97">
        <v>199</v>
      </c>
      <c r="J1194" s="97">
        <v>3</v>
      </c>
      <c r="K1194" s="97">
        <f t="shared" si="18"/>
        <v>597</v>
      </c>
      <c r="L1194" s="97">
        <f>_xlfn.XLOOKUP(E1194,Emp_Data!$B$2:$B$9,Emp_Data!$A$2:$A$9)</f>
        <v>4</v>
      </c>
    </row>
    <row r="1195" spans="1:12">
      <c r="A1195" s="99">
        <v>1942</v>
      </c>
      <c r="B1195" s="101">
        <v>44832</v>
      </c>
      <c r="C1195" s="96">
        <v>4</v>
      </c>
      <c r="D1195" s="104" t="s">
        <v>13</v>
      </c>
      <c r="E1195" s="97" t="s">
        <v>14</v>
      </c>
      <c r="F1195" s="97" t="str">
        <f>VLOOKUP(E1195,Emp_Data!$B$2:$C$9,2,)</f>
        <v>Jeff</v>
      </c>
      <c r="G1195" s="97" t="s">
        <v>15</v>
      </c>
      <c r="H1195" s="97" t="s">
        <v>41</v>
      </c>
      <c r="I1195" s="97">
        <v>199</v>
      </c>
      <c r="J1195" s="97">
        <v>0</v>
      </c>
      <c r="K1195" s="97">
        <f t="shared" si="18"/>
        <v>0</v>
      </c>
      <c r="L1195" s="97">
        <f>_xlfn.XLOOKUP(E1195,Emp_Data!$B$2:$B$9,Emp_Data!$A$2:$A$9)</f>
        <v>2</v>
      </c>
    </row>
    <row r="1196" spans="1:12">
      <c r="A1196" s="99">
        <v>1944</v>
      </c>
      <c r="B1196" s="101">
        <v>44833</v>
      </c>
      <c r="C1196" s="96">
        <v>12</v>
      </c>
      <c r="D1196" s="104" t="s">
        <v>17</v>
      </c>
      <c r="E1196" s="97" t="s">
        <v>24</v>
      </c>
      <c r="F1196" s="97" t="str">
        <f>VLOOKUP(E1196,Emp_Data!$B$2:$C$9,2,)</f>
        <v>Steve</v>
      </c>
      <c r="G1196" s="97" t="s">
        <v>19</v>
      </c>
      <c r="H1196" s="97" t="s">
        <v>41</v>
      </c>
      <c r="I1196" s="97">
        <v>199</v>
      </c>
      <c r="J1196" s="97">
        <v>2</v>
      </c>
      <c r="K1196" s="97">
        <f t="shared" si="18"/>
        <v>398</v>
      </c>
      <c r="L1196" s="97">
        <f>_xlfn.XLOOKUP(E1196,Emp_Data!$B$2:$B$9,Emp_Data!$A$2:$A$9)</f>
        <v>6</v>
      </c>
    </row>
    <row r="1197" spans="1:12">
      <c r="A1197" s="99">
        <v>1946</v>
      </c>
      <c r="B1197" s="101">
        <v>44833</v>
      </c>
      <c r="C1197" s="96">
        <v>16</v>
      </c>
      <c r="D1197" s="104" t="s">
        <v>37</v>
      </c>
      <c r="E1197" s="97" t="s">
        <v>8</v>
      </c>
      <c r="F1197" s="97" t="str">
        <f>VLOOKUP(E1197,Emp_Data!$B$2:$C$9,2,)</f>
        <v>Jeff</v>
      </c>
      <c r="G1197" s="97" t="s">
        <v>9</v>
      </c>
      <c r="H1197" s="97" t="s">
        <v>41</v>
      </c>
      <c r="I1197" s="97">
        <v>199</v>
      </c>
      <c r="J1197" s="97">
        <v>4</v>
      </c>
      <c r="K1197" s="97">
        <f t="shared" si="18"/>
        <v>796</v>
      </c>
      <c r="L1197" s="97">
        <f>_xlfn.XLOOKUP(E1197,Emp_Data!$B$2:$B$9,Emp_Data!$A$2:$A$9)</f>
        <v>3</v>
      </c>
    </row>
    <row r="1198" spans="1:12">
      <c r="A1198" s="99">
        <v>1947</v>
      </c>
      <c r="B1198" s="101">
        <v>44833</v>
      </c>
      <c r="C1198" s="96">
        <v>19</v>
      </c>
      <c r="D1198" s="104" t="s">
        <v>22</v>
      </c>
      <c r="E1198" s="97" t="s">
        <v>8</v>
      </c>
      <c r="F1198" s="97" t="str">
        <f>VLOOKUP(E1198,Emp_Data!$B$2:$C$9,2,)</f>
        <v>Jeff</v>
      </c>
      <c r="G1198" s="97" t="s">
        <v>9</v>
      </c>
      <c r="H1198" s="97" t="s">
        <v>41</v>
      </c>
      <c r="I1198" s="97">
        <v>199</v>
      </c>
      <c r="J1198" s="97">
        <v>2</v>
      </c>
      <c r="K1198" s="97">
        <f t="shared" si="18"/>
        <v>398</v>
      </c>
      <c r="L1198" s="97">
        <f>_xlfn.XLOOKUP(E1198,Emp_Data!$B$2:$B$9,Emp_Data!$A$2:$A$9)</f>
        <v>3</v>
      </c>
    </row>
    <row r="1199" spans="1:12">
      <c r="A1199" s="99">
        <v>1955</v>
      </c>
      <c r="B1199" s="101">
        <v>44836</v>
      </c>
      <c r="C1199" s="96">
        <v>10</v>
      </c>
      <c r="D1199" s="104" t="s">
        <v>34</v>
      </c>
      <c r="E1199" s="97" t="s">
        <v>27</v>
      </c>
      <c r="F1199" s="97" t="str">
        <f>VLOOKUP(E1199,Emp_Data!$B$2:$C$9,2,)</f>
        <v>Philip</v>
      </c>
      <c r="G1199" s="97" t="s">
        <v>12</v>
      </c>
      <c r="H1199" s="97" t="s">
        <v>41</v>
      </c>
      <c r="I1199" s="97">
        <v>199</v>
      </c>
      <c r="J1199" s="97">
        <v>7</v>
      </c>
      <c r="K1199" s="97">
        <f t="shared" si="18"/>
        <v>1393</v>
      </c>
      <c r="L1199" s="97">
        <f>_xlfn.XLOOKUP(E1199,Emp_Data!$B$2:$B$9,Emp_Data!$A$2:$A$9)</f>
        <v>8</v>
      </c>
    </row>
    <row r="1200" spans="1:12">
      <c r="A1200" s="99">
        <v>1965</v>
      </c>
      <c r="B1200" s="101">
        <v>44839</v>
      </c>
      <c r="C1200" s="96">
        <v>4</v>
      </c>
      <c r="D1200" s="104" t="s">
        <v>13</v>
      </c>
      <c r="E1200" s="97" t="s">
        <v>21</v>
      </c>
      <c r="F1200" s="97" t="str">
        <f>VLOOKUP(E1200,Emp_Data!$B$2:$C$9,2,)</f>
        <v>Sara</v>
      </c>
      <c r="G1200" s="97" t="s">
        <v>15</v>
      </c>
      <c r="H1200" s="97" t="s">
        <v>41</v>
      </c>
      <c r="I1200" s="97">
        <v>199</v>
      </c>
      <c r="J1200" s="97">
        <v>2</v>
      </c>
      <c r="K1200" s="97">
        <f t="shared" si="18"/>
        <v>398</v>
      </c>
      <c r="L1200" s="97">
        <f>_xlfn.XLOOKUP(E1200,Emp_Data!$B$2:$B$9,Emp_Data!$A$2:$A$9)</f>
        <v>2</v>
      </c>
    </row>
    <row r="1201" spans="1:12">
      <c r="A1201" s="99">
        <v>1969</v>
      </c>
      <c r="B1201" s="101">
        <v>44839</v>
      </c>
      <c r="C1201" s="96">
        <v>3</v>
      </c>
      <c r="D1201" s="104" t="s">
        <v>20</v>
      </c>
      <c r="E1201" s="97" t="s">
        <v>21</v>
      </c>
      <c r="F1201" s="97" t="str">
        <f>VLOOKUP(E1201,Emp_Data!$B$2:$C$9,2,)</f>
        <v>Sara</v>
      </c>
      <c r="G1201" s="97" t="s">
        <v>15</v>
      </c>
      <c r="H1201" s="97" t="s">
        <v>41</v>
      </c>
      <c r="I1201" s="97">
        <v>199</v>
      </c>
      <c r="J1201" s="97">
        <v>1</v>
      </c>
      <c r="K1201" s="97">
        <f t="shared" si="18"/>
        <v>199</v>
      </c>
      <c r="L1201" s="97">
        <f>_xlfn.XLOOKUP(E1201,Emp_Data!$B$2:$B$9,Emp_Data!$A$2:$A$9)</f>
        <v>2</v>
      </c>
    </row>
    <row r="1202" spans="1:12">
      <c r="A1202" s="99">
        <v>1978</v>
      </c>
      <c r="B1202" s="101">
        <v>44842</v>
      </c>
      <c r="C1202" s="96">
        <v>14</v>
      </c>
      <c r="D1202" s="104" t="s">
        <v>33</v>
      </c>
      <c r="E1202" s="97" t="s">
        <v>24</v>
      </c>
      <c r="F1202" s="97" t="str">
        <f>VLOOKUP(E1202,Emp_Data!$B$2:$C$9,2,)</f>
        <v>Steve</v>
      </c>
      <c r="G1202" s="97" t="s">
        <v>19</v>
      </c>
      <c r="H1202" s="97" t="s">
        <v>41</v>
      </c>
      <c r="I1202" s="97">
        <v>199</v>
      </c>
      <c r="J1202" s="97">
        <v>0</v>
      </c>
      <c r="K1202" s="97">
        <f t="shared" si="18"/>
        <v>0</v>
      </c>
      <c r="L1202" s="97">
        <f>_xlfn.XLOOKUP(E1202,Emp_Data!$B$2:$B$9,Emp_Data!$A$2:$A$9)</f>
        <v>6</v>
      </c>
    </row>
    <row r="1203" spans="1:12">
      <c r="A1203" s="99">
        <v>1984</v>
      </c>
      <c r="B1203" s="101">
        <v>44845</v>
      </c>
      <c r="C1203" s="96">
        <v>20</v>
      </c>
      <c r="D1203" s="104" t="s">
        <v>7</v>
      </c>
      <c r="E1203" s="97" t="s">
        <v>25</v>
      </c>
      <c r="F1203" s="97" t="str">
        <f>VLOOKUP(E1203,Emp_Data!$B$2:$C$9,2,)</f>
        <v>Jeff</v>
      </c>
      <c r="G1203" s="97" t="s">
        <v>9</v>
      </c>
      <c r="H1203" s="97" t="s">
        <v>41</v>
      </c>
      <c r="I1203" s="97">
        <v>199</v>
      </c>
      <c r="J1203" s="97">
        <v>1</v>
      </c>
      <c r="K1203" s="97">
        <f t="shared" si="18"/>
        <v>199</v>
      </c>
      <c r="L1203" s="97">
        <f>_xlfn.XLOOKUP(E1203,Emp_Data!$B$2:$B$9,Emp_Data!$A$2:$A$9)</f>
        <v>5</v>
      </c>
    </row>
    <row r="1204" spans="1:12">
      <c r="A1204" s="99">
        <v>1988</v>
      </c>
      <c r="B1204" s="101">
        <v>44847</v>
      </c>
      <c r="C1204" s="96">
        <v>2</v>
      </c>
      <c r="D1204" s="104" t="s">
        <v>35</v>
      </c>
      <c r="E1204" s="97" t="s">
        <v>21</v>
      </c>
      <c r="F1204" s="97" t="str">
        <f>VLOOKUP(E1204,Emp_Data!$B$2:$C$9,2,)</f>
        <v>Sara</v>
      </c>
      <c r="G1204" s="97" t="s">
        <v>15</v>
      </c>
      <c r="H1204" s="97" t="s">
        <v>41</v>
      </c>
      <c r="I1204" s="97">
        <v>199</v>
      </c>
      <c r="J1204" s="97">
        <v>5</v>
      </c>
      <c r="K1204" s="97">
        <f t="shared" si="18"/>
        <v>995</v>
      </c>
      <c r="L1204" s="97">
        <f>_xlfn.XLOOKUP(E1204,Emp_Data!$B$2:$B$9,Emp_Data!$A$2:$A$9)</f>
        <v>2</v>
      </c>
    </row>
    <row r="1205" spans="1:12">
      <c r="A1205" s="99">
        <v>1990</v>
      </c>
      <c r="B1205" s="101">
        <v>44847</v>
      </c>
      <c r="C1205" s="96">
        <v>11</v>
      </c>
      <c r="D1205" s="104" t="s">
        <v>38</v>
      </c>
      <c r="E1205" s="97" t="s">
        <v>18</v>
      </c>
      <c r="F1205" s="97" t="str">
        <f>VLOOKUP(E1205,Emp_Data!$B$2:$C$9,2,)</f>
        <v>Sara</v>
      </c>
      <c r="G1205" s="97" t="s">
        <v>19</v>
      </c>
      <c r="H1205" s="97" t="s">
        <v>41</v>
      </c>
      <c r="I1205" s="97">
        <v>199</v>
      </c>
      <c r="J1205" s="97">
        <v>4</v>
      </c>
      <c r="K1205" s="97">
        <f t="shared" si="18"/>
        <v>796</v>
      </c>
      <c r="L1205" s="97">
        <f>_xlfn.XLOOKUP(E1205,Emp_Data!$B$2:$B$9,Emp_Data!$A$2:$A$9)</f>
        <v>5</v>
      </c>
    </row>
    <row r="1206" spans="1:12">
      <c r="A1206" s="99">
        <v>1991</v>
      </c>
      <c r="B1206" s="101">
        <v>44848</v>
      </c>
      <c r="C1206" s="96">
        <v>3</v>
      </c>
      <c r="D1206" s="104" t="s">
        <v>20</v>
      </c>
      <c r="E1206" s="97" t="s">
        <v>14</v>
      </c>
      <c r="F1206" s="97" t="str">
        <f>VLOOKUP(E1206,Emp_Data!$B$2:$C$9,2,)</f>
        <v>Jeff</v>
      </c>
      <c r="G1206" s="97" t="s">
        <v>15</v>
      </c>
      <c r="H1206" s="97" t="s">
        <v>41</v>
      </c>
      <c r="I1206" s="97">
        <v>199</v>
      </c>
      <c r="J1206" s="97">
        <v>7</v>
      </c>
      <c r="K1206" s="97">
        <f t="shared" si="18"/>
        <v>1393</v>
      </c>
      <c r="L1206" s="97">
        <f>_xlfn.XLOOKUP(E1206,Emp_Data!$B$2:$B$9,Emp_Data!$A$2:$A$9)</f>
        <v>2</v>
      </c>
    </row>
    <row r="1207" spans="1:12">
      <c r="A1207" s="99">
        <v>1993</v>
      </c>
      <c r="B1207" s="101">
        <v>44850</v>
      </c>
      <c r="C1207" s="96">
        <v>15</v>
      </c>
      <c r="D1207" s="104" t="s">
        <v>29</v>
      </c>
      <c r="E1207" s="97" t="s">
        <v>24</v>
      </c>
      <c r="F1207" s="97" t="str">
        <f>VLOOKUP(E1207,Emp_Data!$B$2:$C$9,2,)</f>
        <v>Steve</v>
      </c>
      <c r="G1207" s="97" t="s">
        <v>19</v>
      </c>
      <c r="H1207" s="97" t="s">
        <v>41</v>
      </c>
      <c r="I1207" s="97">
        <v>199</v>
      </c>
      <c r="J1207" s="97">
        <v>1</v>
      </c>
      <c r="K1207" s="97">
        <f t="shared" si="18"/>
        <v>199</v>
      </c>
      <c r="L1207" s="97">
        <f>_xlfn.XLOOKUP(E1207,Emp_Data!$B$2:$B$9,Emp_Data!$A$2:$A$9)</f>
        <v>6</v>
      </c>
    </row>
    <row r="1208" spans="1:12">
      <c r="A1208" s="99">
        <v>1995</v>
      </c>
      <c r="B1208" s="101">
        <v>44850</v>
      </c>
      <c r="C1208" s="96">
        <v>1</v>
      </c>
      <c r="D1208" s="104" t="s">
        <v>31</v>
      </c>
      <c r="E1208" s="97" t="s">
        <v>14</v>
      </c>
      <c r="F1208" s="97" t="str">
        <f>VLOOKUP(E1208,Emp_Data!$B$2:$C$9,2,)</f>
        <v>Jeff</v>
      </c>
      <c r="G1208" s="97" t="s">
        <v>15</v>
      </c>
      <c r="H1208" s="97" t="s">
        <v>41</v>
      </c>
      <c r="I1208" s="97">
        <v>199</v>
      </c>
      <c r="J1208" s="97">
        <v>8</v>
      </c>
      <c r="K1208" s="97">
        <f t="shared" si="18"/>
        <v>1592</v>
      </c>
      <c r="L1208" s="97">
        <f>_xlfn.XLOOKUP(E1208,Emp_Data!$B$2:$B$9,Emp_Data!$A$2:$A$9)</f>
        <v>2</v>
      </c>
    </row>
    <row r="1209" spans="1:12">
      <c r="A1209" s="99">
        <v>2000</v>
      </c>
      <c r="B1209" s="101">
        <v>44850</v>
      </c>
      <c r="C1209" s="96">
        <v>14</v>
      </c>
      <c r="D1209" s="104" t="s">
        <v>33</v>
      </c>
      <c r="E1209" s="97" t="s">
        <v>18</v>
      </c>
      <c r="F1209" s="97" t="str">
        <f>VLOOKUP(E1209,Emp_Data!$B$2:$C$9,2,)</f>
        <v>Sara</v>
      </c>
      <c r="G1209" s="97" t="s">
        <v>19</v>
      </c>
      <c r="H1209" s="97" t="s">
        <v>41</v>
      </c>
      <c r="I1209" s="97">
        <v>199</v>
      </c>
      <c r="J1209" s="97">
        <v>4</v>
      </c>
      <c r="K1209" s="97">
        <f t="shared" si="18"/>
        <v>796</v>
      </c>
      <c r="L1209" s="97">
        <f>_xlfn.XLOOKUP(E1209,Emp_Data!$B$2:$B$9,Emp_Data!$A$2:$A$9)</f>
        <v>5</v>
      </c>
    </row>
    <row r="1210" spans="1:12">
      <c r="A1210" s="99">
        <v>3</v>
      </c>
      <c r="B1210" s="101">
        <v>44199</v>
      </c>
      <c r="C1210" s="96">
        <v>9</v>
      </c>
      <c r="D1210" s="104" t="s">
        <v>26</v>
      </c>
      <c r="E1210" s="97" t="s">
        <v>27</v>
      </c>
      <c r="F1210" s="97" t="str">
        <f>VLOOKUP(E1210,Emp_Data!$B$2:$C$9,2,)</f>
        <v>Philip</v>
      </c>
      <c r="G1210" s="97" t="s">
        <v>12</v>
      </c>
      <c r="H1210" s="97" t="s">
        <v>42</v>
      </c>
      <c r="I1210" s="97">
        <v>159</v>
      </c>
      <c r="J1210" s="97">
        <v>3</v>
      </c>
      <c r="K1210" s="97">
        <f t="shared" si="18"/>
        <v>477</v>
      </c>
      <c r="L1210" s="97">
        <f>_xlfn.XLOOKUP(E1210,Emp_Data!$B$2:$B$9,Emp_Data!$A$2:$A$9)</f>
        <v>8</v>
      </c>
    </row>
    <row r="1211" spans="1:12">
      <c r="A1211" s="99">
        <v>18</v>
      </c>
      <c r="B1211" s="101">
        <v>44203</v>
      </c>
      <c r="C1211" s="96">
        <v>19</v>
      </c>
      <c r="D1211" s="104" t="s">
        <v>22</v>
      </c>
      <c r="E1211" s="97" t="s">
        <v>25</v>
      </c>
      <c r="F1211" s="97" t="str">
        <f>VLOOKUP(E1211,Emp_Data!$B$2:$C$9,2,)</f>
        <v>Jeff</v>
      </c>
      <c r="G1211" s="97" t="s">
        <v>9</v>
      </c>
      <c r="H1211" s="97" t="s">
        <v>42</v>
      </c>
      <c r="I1211" s="97">
        <v>159</v>
      </c>
      <c r="J1211" s="97">
        <v>5</v>
      </c>
      <c r="K1211" s="97">
        <f t="shared" si="18"/>
        <v>795</v>
      </c>
      <c r="L1211" s="97">
        <f>_xlfn.XLOOKUP(E1211,Emp_Data!$B$2:$B$9,Emp_Data!$A$2:$A$9)</f>
        <v>5</v>
      </c>
    </row>
    <row r="1212" spans="1:12">
      <c r="A1212" s="99">
        <v>23</v>
      </c>
      <c r="B1212" s="101">
        <v>44203</v>
      </c>
      <c r="C1212" s="96">
        <v>8</v>
      </c>
      <c r="D1212" s="104" t="s">
        <v>36</v>
      </c>
      <c r="E1212" s="97" t="s">
        <v>11</v>
      </c>
      <c r="F1212" s="97" t="str">
        <f>VLOOKUP(E1212,Emp_Data!$B$2:$C$9,2,)</f>
        <v>Steve</v>
      </c>
      <c r="G1212" s="97" t="s">
        <v>12</v>
      </c>
      <c r="H1212" s="97" t="s">
        <v>42</v>
      </c>
      <c r="I1212" s="97">
        <v>159</v>
      </c>
      <c r="J1212" s="97">
        <v>4</v>
      </c>
      <c r="K1212" s="97">
        <f t="shared" si="18"/>
        <v>636</v>
      </c>
      <c r="L1212" s="97">
        <f>_xlfn.XLOOKUP(E1212,Emp_Data!$B$2:$B$9,Emp_Data!$A$2:$A$9)</f>
        <v>4</v>
      </c>
    </row>
    <row r="1213" spans="1:12">
      <c r="A1213" s="99">
        <v>31</v>
      </c>
      <c r="B1213" s="101">
        <v>44205</v>
      </c>
      <c r="C1213" s="96">
        <v>6</v>
      </c>
      <c r="D1213" s="104" t="s">
        <v>10</v>
      </c>
      <c r="E1213" s="97" t="s">
        <v>27</v>
      </c>
      <c r="F1213" s="97" t="str">
        <f>VLOOKUP(E1213,Emp_Data!$B$2:$C$9,2,)</f>
        <v>Philip</v>
      </c>
      <c r="G1213" s="97" t="s">
        <v>12</v>
      </c>
      <c r="H1213" s="97" t="s">
        <v>42</v>
      </c>
      <c r="I1213" s="97">
        <v>159</v>
      </c>
      <c r="J1213" s="97">
        <v>2</v>
      </c>
      <c r="K1213" s="97">
        <f t="shared" si="18"/>
        <v>318</v>
      </c>
      <c r="L1213" s="97">
        <f>_xlfn.XLOOKUP(E1213,Emp_Data!$B$2:$B$9,Emp_Data!$A$2:$A$9)</f>
        <v>8</v>
      </c>
    </row>
    <row r="1214" spans="1:12">
      <c r="A1214" s="99">
        <v>43</v>
      </c>
      <c r="B1214" s="101">
        <v>44209</v>
      </c>
      <c r="C1214" s="96">
        <v>13</v>
      </c>
      <c r="D1214" s="104" t="s">
        <v>23</v>
      </c>
      <c r="E1214" s="97" t="s">
        <v>24</v>
      </c>
      <c r="F1214" s="97" t="str">
        <f>VLOOKUP(E1214,Emp_Data!$B$2:$C$9,2,)</f>
        <v>Steve</v>
      </c>
      <c r="G1214" s="97" t="s">
        <v>19</v>
      </c>
      <c r="H1214" s="97" t="s">
        <v>42</v>
      </c>
      <c r="I1214" s="97">
        <v>159</v>
      </c>
      <c r="J1214" s="97">
        <v>8</v>
      </c>
      <c r="K1214" s="97">
        <f t="shared" si="18"/>
        <v>1272</v>
      </c>
      <c r="L1214" s="97">
        <f>_xlfn.XLOOKUP(E1214,Emp_Data!$B$2:$B$9,Emp_Data!$A$2:$A$9)</f>
        <v>6</v>
      </c>
    </row>
    <row r="1215" spans="1:12">
      <c r="A1215" s="99">
        <v>46</v>
      </c>
      <c r="B1215" s="101">
        <v>44209</v>
      </c>
      <c r="C1215" s="96">
        <v>14</v>
      </c>
      <c r="D1215" s="104" t="s">
        <v>33</v>
      </c>
      <c r="E1215" s="97" t="s">
        <v>18</v>
      </c>
      <c r="F1215" s="97" t="str">
        <f>VLOOKUP(E1215,Emp_Data!$B$2:$C$9,2,)</f>
        <v>Sara</v>
      </c>
      <c r="G1215" s="97" t="s">
        <v>19</v>
      </c>
      <c r="H1215" s="97" t="s">
        <v>42</v>
      </c>
      <c r="I1215" s="97">
        <v>159</v>
      </c>
      <c r="J1215" s="97">
        <v>7</v>
      </c>
      <c r="K1215" s="97">
        <f t="shared" si="18"/>
        <v>1113</v>
      </c>
      <c r="L1215" s="97">
        <f>_xlfn.XLOOKUP(E1215,Emp_Data!$B$2:$B$9,Emp_Data!$A$2:$A$9)</f>
        <v>5</v>
      </c>
    </row>
    <row r="1216" spans="1:12">
      <c r="A1216" s="99">
        <v>49</v>
      </c>
      <c r="B1216" s="101">
        <v>44209</v>
      </c>
      <c r="C1216" s="96">
        <v>4</v>
      </c>
      <c r="D1216" s="104" t="s">
        <v>13</v>
      </c>
      <c r="E1216" s="97" t="s">
        <v>21</v>
      </c>
      <c r="F1216" s="97" t="str">
        <f>VLOOKUP(E1216,Emp_Data!$B$2:$C$9,2,)</f>
        <v>Sara</v>
      </c>
      <c r="G1216" s="97" t="s">
        <v>15</v>
      </c>
      <c r="H1216" s="97" t="s">
        <v>42</v>
      </c>
      <c r="I1216" s="97">
        <v>159</v>
      </c>
      <c r="J1216" s="97">
        <v>5</v>
      </c>
      <c r="K1216" s="97">
        <f t="shared" si="18"/>
        <v>795</v>
      </c>
      <c r="L1216" s="97">
        <f>_xlfn.XLOOKUP(E1216,Emp_Data!$B$2:$B$9,Emp_Data!$A$2:$A$9)</f>
        <v>2</v>
      </c>
    </row>
    <row r="1217" spans="1:12">
      <c r="A1217" s="99">
        <v>50</v>
      </c>
      <c r="B1217" s="101">
        <v>44209</v>
      </c>
      <c r="C1217" s="96">
        <v>5</v>
      </c>
      <c r="D1217" s="104" t="s">
        <v>16</v>
      </c>
      <c r="E1217" s="97" t="s">
        <v>21</v>
      </c>
      <c r="F1217" s="97" t="str">
        <f>VLOOKUP(E1217,Emp_Data!$B$2:$C$9,2,)</f>
        <v>Sara</v>
      </c>
      <c r="G1217" s="97" t="s">
        <v>15</v>
      </c>
      <c r="H1217" s="97" t="s">
        <v>42</v>
      </c>
      <c r="I1217" s="97">
        <v>159</v>
      </c>
      <c r="J1217" s="97">
        <v>7</v>
      </c>
      <c r="K1217" s="97">
        <f t="shared" si="18"/>
        <v>1113</v>
      </c>
      <c r="L1217" s="97">
        <f>_xlfn.XLOOKUP(E1217,Emp_Data!$B$2:$B$9,Emp_Data!$A$2:$A$9)</f>
        <v>2</v>
      </c>
    </row>
    <row r="1218" spans="1:12">
      <c r="A1218" s="99">
        <v>61</v>
      </c>
      <c r="B1218" s="101">
        <v>44212</v>
      </c>
      <c r="C1218" s="96">
        <v>2</v>
      </c>
      <c r="D1218" s="104" t="s">
        <v>35</v>
      </c>
      <c r="E1218" s="97" t="s">
        <v>14</v>
      </c>
      <c r="F1218" s="97" t="str">
        <f>VLOOKUP(E1218,Emp_Data!$B$2:$C$9,2,)</f>
        <v>Jeff</v>
      </c>
      <c r="G1218" s="97" t="s">
        <v>15</v>
      </c>
      <c r="H1218" s="97" t="s">
        <v>42</v>
      </c>
      <c r="I1218" s="97">
        <v>159</v>
      </c>
      <c r="J1218" s="97">
        <v>8</v>
      </c>
      <c r="K1218" s="97">
        <f t="shared" si="18"/>
        <v>1272</v>
      </c>
      <c r="L1218" s="97">
        <f>_xlfn.XLOOKUP(E1218,Emp_Data!$B$2:$B$9,Emp_Data!$A$2:$A$9)</f>
        <v>2</v>
      </c>
    </row>
    <row r="1219" spans="1:12">
      <c r="A1219" s="99">
        <v>62</v>
      </c>
      <c r="B1219" s="101">
        <v>44213</v>
      </c>
      <c r="C1219" s="96">
        <v>20</v>
      </c>
      <c r="D1219" s="104" t="s">
        <v>7</v>
      </c>
      <c r="E1219" s="97" t="s">
        <v>8</v>
      </c>
      <c r="F1219" s="97" t="str">
        <f>VLOOKUP(E1219,Emp_Data!$B$2:$C$9,2,)</f>
        <v>Jeff</v>
      </c>
      <c r="G1219" s="97" t="s">
        <v>9</v>
      </c>
      <c r="H1219" s="97" t="s">
        <v>42</v>
      </c>
      <c r="I1219" s="97">
        <v>159</v>
      </c>
      <c r="J1219" s="97">
        <v>9</v>
      </c>
      <c r="K1219" s="97">
        <f t="shared" ref="K1219:K1282" si="19">SUMPRODUCT(I1219,J1219)</f>
        <v>1431</v>
      </c>
      <c r="L1219" s="97">
        <f>_xlfn.XLOOKUP(E1219,Emp_Data!$B$2:$B$9,Emp_Data!$A$2:$A$9)</f>
        <v>3</v>
      </c>
    </row>
    <row r="1220" spans="1:12">
      <c r="A1220" s="99">
        <v>71</v>
      </c>
      <c r="B1220" s="101">
        <v>44217</v>
      </c>
      <c r="C1220" s="96">
        <v>17</v>
      </c>
      <c r="D1220" s="104" t="s">
        <v>32</v>
      </c>
      <c r="E1220" s="97" t="s">
        <v>25</v>
      </c>
      <c r="F1220" s="97" t="str">
        <f>VLOOKUP(E1220,Emp_Data!$B$2:$C$9,2,)</f>
        <v>Jeff</v>
      </c>
      <c r="G1220" s="97" t="s">
        <v>9</v>
      </c>
      <c r="H1220" s="97" t="s">
        <v>42</v>
      </c>
      <c r="I1220" s="97">
        <v>159</v>
      </c>
      <c r="J1220" s="97">
        <v>4</v>
      </c>
      <c r="K1220" s="97">
        <f t="shared" si="19"/>
        <v>636</v>
      </c>
      <c r="L1220" s="97">
        <f>_xlfn.XLOOKUP(E1220,Emp_Data!$B$2:$B$9,Emp_Data!$A$2:$A$9)</f>
        <v>5</v>
      </c>
    </row>
    <row r="1221" spans="1:12">
      <c r="A1221" s="99">
        <v>73</v>
      </c>
      <c r="B1221" s="101">
        <v>44219</v>
      </c>
      <c r="C1221" s="96">
        <v>15</v>
      </c>
      <c r="D1221" s="104" t="s">
        <v>29</v>
      </c>
      <c r="E1221" s="97" t="s">
        <v>24</v>
      </c>
      <c r="F1221" s="97" t="str">
        <f>VLOOKUP(E1221,Emp_Data!$B$2:$C$9,2,)</f>
        <v>Steve</v>
      </c>
      <c r="G1221" s="97" t="s">
        <v>19</v>
      </c>
      <c r="H1221" s="97" t="s">
        <v>42</v>
      </c>
      <c r="I1221" s="97">
        <v>159</v>
      </c>
      <c r="J1221" s="97">
        <v>1</v>
      </c>
      <c r="K1221" s="97">
        <f t="shared" si="19"/>
        <v>159</v>
      </c>
      <c r="L1221" s="97">
        <f>_xlfn.XLOOKUP(E1221,Emp_Data!$B$2:$B$9,Emp_Data!$A$2:$A$9)</f>
        <v>6</v>
      </c>
    </row>
    <row r="1222" spans="1:12">
      <c r="A1222" s="99">
        <v>87</v>
      </c>
      <c r="B1222" s="101">
        <v>44223</v>
      </c>
      <c r="C1222" s="96">
        <v>17</v>
      </c>
      <c r="D1222" s="104" t="s">
        <v>32</v>
      </c>
      <c r="E1222" s="97" t="s">
        <v>8</v>
      </c>
      <c r="F1222" s="97" t="str">
        <f>VLOOKUP(E1222,Emp_Data!$B$2:$C$9,2,)</f>
        <v>Jeff</v>
      </c>
      <c r="G1222" s="97" t="s">
        <v>9</v>
      </c>
      <c r="H1222" s="97" t="s">
        <v>42</v>
      </c>
      <c r="I1222" s="97">
        <v>159</v>
      </c>
      <c r="J1222" s="97">
        <v>3</v>
      </c>
      <c r="K1222" s="97">
        <f t="shared" si="19"/>
        <v>477</v>
      </c>
      <c r="L1222" s="97">
        <f>_xlfn.XLOOKUP(E1222,Emp_Data!$B$2:$B$9,Emp_Data!$A$2:$A$9)</f>
        <v>3</v>
      </c>
    </row>
    <row r="1223" spans="1:12">
      <c r="A1223" s="99">
        <v>98</v>
      </c>
      <c r="B1223" s="101">
        <v>44226</v>
      </c>
      <c r="C1223" s="96">
        <v>19</v>
      </c>
      <c r="D1223" s="104" t="s">
        <v>22</v>
      </c>
      <c r="E1223" s="97" t="s">
        <v>25</v>
      </c>
      <c r="F1223" s="97" t="str">
        <f>VLOOKUP(E1223,Emp_Data!$B$2:$C$9,2,)</f>
        <v>Jeff</v>
      </c>
      <c r="G1223" s="97" t="s">
        <v>9</v>
      </c>
      <c r="H1223" s="97" t="s">
        <v>42</v>
      </c>
      <c r="I1223" s="97">
        <v>159</v>
      </c>
      <c r="J1223" s="97">
        <v>8</v>
      </c>
      <c r="K1223" s="97">
        <f t="shared" si="19"/>
        <v>1272</v>
      </c>
      <c r="L1223" s="97">
        <f>_xlfn.XLOOKUP(E1223,Emp_Data!$B$2:$B$9,Emp_Data!$A$2:$A$9)</f>
        <v>5</v>
      </c>
    </row>
    <row r="1224" spans="1:12">
      <c r="A1224" s="99">
        <v>105</v>
      </c>
      <c r="B1224" s="101">
        <v>44229</v>
      </c>
      <c r="C1224" s="96">
        <v>11</v>
      </c>
      <c r="D1224" s="104" t="s">
        <v>38</v>
      </c>
      <c r="E1224" s="97" t="s">
        <v>18</v>
      </c>
      <c r="F1224" s="97" t="str">
        <f>VLOOKUP(E1224,Emp_Data!$B$2:$C$9,2,)</f>
        <v>Sara</v>
      </c>
      <c r="G1224" s="97" t="s">
        <v>19</v>
      </c>
      <c r="H1224" s="97" t="s">
        <v>42</v>
      </c>
      <c r="I1224" s="97">
        <v>159</v>
      </c>
      <c r="J1224" s="97">
        <v>0</v>
      </c>
      <c r="K1224" s="97">
        <f t="shared" si="19"/>
        <v>0</v>
      </c>
      <c r="L1224" s="97">
        <f>_xlfn.XLOOKUP(E1224,Emp_Data!$B$2:$B$9,Emp_Data!$A$2:$A$9)</f>
        <v>5</v>
      </c>
    </row>
    <row r="1225" spans="1:12">
      <c r="A1225" s="99">
        <v>106</v>
      </c>
      <c r="B1225" s="101">
        <v>44229</v>
      </c>
      <c r="C1225" s="96">
        <v>2</v>
      </c>
      <c r="D1225" s="104" t="s">
        <v>35</v>
      </c>
      <c r="E1225" s="97" t="s">
        <v>21</v>
      </c>
      <c r="F1225" s="97" t="str">
        <f>VLOOKUP(E1225,Emp_Data!$B$2:$C$9,2,)</f>
        <v>Sara</v>
      </c>
      <c r="G1225" s="97" t="s">
        <v>15</v>
      </c>
      <c r="H1225" s="97" t="s">
        <v>42</v>
      </c>
      <c r="I1225" s="97">
        <v>159</v>
      </c>
      <c r="J1225" s="97">
        <v>5</v>
      </c>
      <c r="K1225" s="97">
        <f t="shared" si="19"/>
        <v>795</v>
      </c>
      <c r="L1225" s="97">
        <f>_xlfn.XLOOKUP(E1225,Emp_Data!$B$2:$B$9,Emp_Data!$A$2:$A$9)</f>
        <v>2</v>
      </c>
    </row>
    <row r="1226" spans="1:12">
      <c r="A1226" s="99">
        <v>107</v>
      </c>
      <c r="B1226" s="101">
        <v>44229</v>
      </c>
      <c r="C1226" s="96">
        <v>7</v>
      </c>
      <c r="D1226" s="104" t="s">
        <v>28</v>
      </c>
      <c r="E1226" s="97" t="s">
        <v>27</v>
      </c>
      <c r="F1226" s="97" t="str">
        <f>VLOOKUP(E1226,Emp_Data!$B$2:$C$9,2,)</f>
        <v>Philip</v>
      </c>
      <c r="G1226" s="97" t="s">
        <v>12</v>
      </c>
      <c r="H1226" s="97" t="s">
        <v>42</v>
      </c>
      <c r="I1226" s="97">
        <v>159</v>
      </c>
      <c r="J1226" s="97">
        <v>5</v>
      </c>
      <c r="K1226" s="97">
        <f t="shared" si="19"/>
        <v>795</v>
      </c>
      <c r="L1226" s="97">
        <f>_xlfn.XLOOKUP(E1226,Emp_Data!$B$2:$B$9,Emp_Data!$A$2:$A$9)</f>
        <v>8</v>
      </c>
    </row>
    <row r="1227" spans="1:12">
      <c r="A1227" s="99">
        <v>109</v>
      </c>
      <c r="B1227" s="101">
        <v>44229</v>
      </c>
      <c r="C1227" s="96">
        <v>20</v>
      </c>
      <c r="D1227" s="104" t="s">
        <v>7</v>
      </c>
      <c r="E1227" s="97" t="s">
        <v>25</v>
      </c>
      <c r="F1227" s="97" t="str">
        <f>VLOOKUP(E1227,Emp_Data!$B$2:$C$9,2,)</f>
        <v>Jeff</v>
      </c>
      <c r="G1227" s="97" t="s">
        <v>9</v>
      </c>
      <c r="H1227" s="97" t="s">
        <v>42</v>
      </c>
      <c r="I1227" s="97">
        <v>159</v>
      </c>
      <c r="J1227" s="97">
        <v>7</v>
      </c>
      <c r="K1227" s="97">
        <f t="shared" si="19"/>
        <v>1113</v>
      </c>
      <c r="L1227" s="97">
        <f>_xlfn.XLOOKUP(E1227,Emp_Data!$B$2:$B$9,Emp_Data!$A$2:$A$9)</f>
        <v>5</v>
      </c>
    </row>
    <row r="1228" spans="1:12">
      <c r="A1228" s="99">
        <v>114</v>
      </c>
      <c r="B1228" s="101">
        <v>44232</v>
      </c>
      <c r="C1228" s="96">
        <v>9</v>
      </c>
      <c r="D1228" s="104" t="s">
        <v>26</v>
      </c>
      <c r="E1228" s="97" t="s">
        <v>27</v>
      </c>
      <c r="F1228" s="97" t="str">
        <f>VLOOKUP(E1228,Emp_Data!$B$2:$C$9,2,)</f>
        <v>Philip</v>
      </c>
      <c r="G1228" s="97" t="s">
        <v>12</v>
      </c>
      <c r="H1228" s="97" t="s">
        <v>42</v>
      </c>
      <c r="I1228" s="97">
        <v>159</v>
      </c>
      <c r="J1228" s="97">
        <v>4</v>
      </c>
      <c r="K1228" s="97">
        <f t="shared" si="19"/>
        <v>636</v>
      </c>
      <c r="L1228" s="97">
        <f>_xlfn.XLOOKUP(E1228,Emp_Data!$B$2:$B$9,Emp_Data!$A$2:$A$9)</f>
        <v>8</v>
      </c>
    </row>
    <row r="1229" spans="1:12">
      <c r="A1229" s="99">
        <v>120</v>
      </c>
      <c r="B1229" s="101">
        <v>44233</v>
      </c>
      <c r="C1229" s="96">
        <v>14</v>
      </c>
      <c r="D1229" s="104" t="s">
        <v>33</v>
      </c>
      <c r="E1229" s="97" t="s">
        <v>18</v>
      </c>
      <c r="F1229" s="97" t="str">
        <f>VLOOKUP(E1229,Emp_Data!$B$2:$C$9,2,)</f>
        <v>Sara</v>
      </c>
      <c r="G1229" s="97" t="s">
        <v>19</v>
      </c>
      <c r="H1229" s="97" t="s">
        <v>42</v>
      </c>
      <c r="I1229" s="97">
        <v>159</v>
      </c>
      <c r="J1229" s="97">
        <v>3</v>
      </c>
      <c r="K1229" s="97">
        <f t="shared" si="19"/>
        <v>477</v>
      </c>
      <c r="L1229" s="97">
        <f>_xlfn.XLOOKUP(E1229,Emp_Data!$B$2:$B$9,Emp_Data!$A$2:$A$9)</f>
        <v>5</v>
      </c>
    </row>
    <row r="1230" spans="1:12">
      <c r="A1230" s="99">
        <v>125</v>
      </c>
      <c r="B1230" s="101">
        <v>44235</v>
      </c>
      <c r="C1230" s="96">
        <v>10</v>
      </c>
      <c r="D1230" s="104" t="s">
        <v>34</v>
      </c>
      <c r="E1230" s="97" t="s">
        <v>27</v>
      </c>
      <c r="F1230" s="97" t="str">
        <f>VLOOKUP(E1230,Emp_Data!$B$2:$C$9,2,)</f>
        <v>Philip</v>
      </c>
      <c r="G1230" s="97" t="s">
        <v>12</v>
      </c>
      <c r="H1230" s="97" t="s">
        <v>42</v>
      </c>
      <c r="I1230" s="97">
        <v>159</v>
      </c>
      <c r="J1230" s="97">
        <v>0</v>
      </c>
      <c r="K1230" s="97">
        <f t="shared" si="19"/>
        <v>0</v>
      </c>
      <c r="L1230" s="97">
        <f>_xlfn.XLOOKUP(E1230,Emp_Data!$B$2:$B$9,Emp_Data!$A$2:$A$9)</f>
        <v>8</v>
      </c>
    </row>
    <row r="1231" spans="1:12">
      <c r="A1231" s="99">
        <v>127</v>
      </c>
      <c r="B1231" s="101">
        <v>44235</v>
      </c>
      <c r="C1231" s="96">
        <v>8</v>
      </c>
      <c r="D1231" s="104" t="s">
        <v>36</v>
      </c>
      <c r="E1231" s="97" t="s">
        <v>11</v>
      </c>
      <c r="F1231" s="97" t="str">
        <f>VLOOKUP(E1231,Emp_Data!$B$2:$C$9,2,)</f>
        <v>Steve</v>
      </c>
      <c r="G1231" s="97" t="s">
        <v>12</v>
      </c>
      <c r="H1231" s="97" t="s">
        <v>42</v>
      </c>
      <c r="I1231" s="97">
        <v>159</v>
      </c>
      <c r="J1231" s="97">
        <v>4</v>
      </c>
      <c r="K1231" s="97">
        <f t="shared" si="19"/>
        <v>636</v>
      </c>
      <c r="L1231" s="97">
        <f>_xlfn.XLOOKUP(E1231,Emp_Data!$B$2:$B$9,Emp_Data!$A$2:$A$9)</f>
        <v>4</v>
      </c>
    </row>
    <row r="1232" spans="1:12">
      <c r="A1232" s="99">
        <v>132</v>
      </c>
      <c r="B1232" s="101">
        <v>44238</v>
      </c>
      <c r="C1232" s="96">
        <v>7</v>
      </c>
      <c r="D1232" s="104" t="s">
        <v>28</v>
      </c>
      <c r="E1232" s="97" t="s">
        <v>27</v>
      </c>
      <c r="F1232" s="97" t="str">
        <f>VLOOKUP(E1232,Emp_Data!$B$2:$C$9,2,)</f>
        <v>Philip</v>
      </c>
      <c r="G1232" s="97" t="s">
        <v>12</v>
      </c>
      <c r="H1232" s="97" t="s">
        <v>42</v>
      </c>
      <c r="I1232" s="97">
        <v>159</v>
      </c>
      <c r="J1232" s="97">
        <v>9</v>
      </c>
      <c r="K1232" s="97">
        <f t="shared" si="19"/>
        <v>1431</v>
      </c>
      <c r="L1232" s="97">
        <f>_xlfn.XLOOKUP(E1232,Emp_Data!$B$2:$B$9,Emp_Data!$A$2:$A$9)</f>
        <v>8</v>
      </c>
    </row>
    <row r="1233" spans="1:12">
      <c r="A1233" s="99">
        <v>134</v>
      </c>
      <c r="B1233" s="101">
        <v>44239</v>
      </c>
      <c r="C1233" s="96">
        <v>13</v>
      </c>
      <c r="D1233" s="104" t="s">
        <v>23</v>
      </c>
      <c r="E1233" s="97" t="s">
        <v>18</v>
      </c>
      <c r="F1233" s="97" t="str">
        <f>VLOOKUP(E1233,Emp_Data!$B$2:$C$9,2,)</f>
        <v>Sara</v>
      </c>
      <c r="G1233" s="97" t="s">
        <v>19</v>
      </c>
      <c r="H1233" s="97" t="s">
        <v>42</v>
      </c>
      <c r="I1233" s="97">
        <v>159</v>
      </c>
      <c r="J1233" s="97">
        <v>7</v>
      </c>
      <c r="K1233" s="97">
        <f t="shared" si="19"/>
        <v>1113</v>
      </c>
      <c r="L1233" s="97">
        <f>_xlfn.XLOOKUP(E1233,Emp_Data!$B$2:$B$9,Emp_Data!$A$2:$A$9)</f>
        <v>5</v>
      </c>
    </row>
    <row r="1234" spans="1:12">
      <c r="A1234" s="99">
        <v>141</v>
      </c>
      <c r="B1234" s="101">
        <v>44240</v>
      </c>
      <c r="C1234" s="96">
        <v>10</v>
      </c>
      <c r="D1234" s="104" t="s">
        <v>34</v>
      </c>
      <c r="E1234" s="97" t="s">
        <v>27</v>
      </c>
      <c r="F1234" s="97" t="str">
        <f>VLOOKUP(E1234,Emp_Data!$B$2:$C$9,2,)</f>
        <v>Philip</v>
      </c>
      <c r="G1234" s="97" t="s">
        <v>12</v>
      </c>
      <c r="H1234" s="97" t="s">
        <v>42</v>
      </c>
      <c r="I1234" s="97">
        <v>159</v>
      </c>
      <c r="J1234" s="97">
        <v>8</v>
      </c>
      <c r="K1234" s="97">
        <f t="shared" si="19"/>
        <v>1272</v>
      </c>
      <c r="L1234" s="97">
        <f>_xlfn.XLOOKUP(E1234,Emp_Data!$B$2:$B$9,Emp_Data!$A$2:$A$9)</f>
        <v>8</v>
      </c>
    </row>
    <row r="1235" spans="1:12">
      <c r="A1235" s="99">
        <v>144</v>
      </c>
      <c r="B1235" s="101">
        <v>44240</v>
      </c>
      <c r="C1235" s="96">
        <v>13</v>
      </c>
      <c r="D1235" s="104" t="s">
        <v>23</v>
      </c>
      <c r="E1235" s="97" t="s">
        <v>24</v>
      </c>
      <c r="F1235" s="97" t="str">
        <f>VLOOKUP(E1235,Emp_Data!$B$2:$C$9,2,)</f>
        <v>Steve</v>
      </c>
      <c r="G1235" s="97" t="s">
        <v>19</v>
      </c>
      <c r="H1235" s="97" t="s">
        <v>42</v>
      </c>
      <c r="I1235" s="97">
        <v>159</v>
      </c>
      <c r="J1235" s="97">
        <v>2</v>
      </c>
      <c r="K1235" s="97">
        <f t="shared" si="19"/>
        <v>318</v>
      </c>
      <c r="L1235" s="97">
        <f>_xlfn.XLOOKUP(E1235,Emp_Data!$B$2:$B$9,Emp_Data!$A$2:$A$9)</f>
        <v>6</v>
      </c>
    </row>
    <row r="1236" spans="1:12">
      <c r="A1236" s="99">
        <v>147</v>
      </c>
      <c r="B1236" s="101">
        <v>44240</v>
      </c>
      <c r="C1236" s="96">
        <v>13</v>
      </c>
      <c r="D1236" s="104" t="s">
        <v>23</v>
      </c>
      <c r="E1236" s="97" t="s">
        <v>24</v>
      </c>
      <c r="F1236" s="97" t="str">
        <f>VLOOKUP(E1236,Emp_Data!$B$2:$C$9,2,)</f>
        <v>Steve</v>
      </c>
      <c r="G1236" s="97" t="s">
        <v>19</v>
      </c>
      <c r="H1236" s="97" t="s">
        <v>42</v>
      </c>
      <c r="I1236" s="97">
        <v>159</v>
      </c>
      <c r="J1236" s="97">
        <v>5</v>
      </c>
      <c r="K1236" s="97">
        <f t="shared" si="19"/>
        <v>795</v>
      </c>
      <c r="L1236" s="97">
        <f>_xlfn.XLOOKUP(E1236,Emp_Data!$B$2:$B$9,Emp_Data!$A$2:$A$9)</f>
        <v>6</v>
      </c>
    </row>
    <row r="1237" spans="1:12">
      <c r="A1237" s="99">
        <v>152</v>
      </c>
      <c r="B1237" s="101">
        <v>44240</v>
      </c>
      <c r="C1237" s="96">
        <v>12</v>
      </c>
      <c r="D1237" s="104" t="s">
        <v>17</v>
      </c>
      <c r="E1237" s="97" t="s">
        <v>18</v>
      </c>
      <c r="F1237" s="97" t="str">
        <f>VLOOKUP(E1237,Emp_Data!$B$2:$C$9,2,)</f>
        <v>Sara</v>
      </c>
      <c r="G1237" s="97" t="s">
        <v>19</v>
      </c>
      <c r="H1237" s="97" t="s">
        <v>42</v>
      </c>
      <c r="I1237" s="97">
        <v>159</v>
      </c>
      <c r="J1237" s="97">
        <v>6</v>
      </c>
      <c r="K1237" s="97">
        <f t="shared" si="19"/>
        <v>954</v>
      </c>
      <c r="L1237" s="97">
        <f>_xlfn.XLOOKUP(E1237,Emp_Data!$B$2:$B$9,Emp_Data!$A$2:$A$9)</f>
        <v>5</v>
      </c>
    </row>
    <row r="1238" spans="1:12">
      <c r="A1238" s="99">
        <v>156</v>
      </c>
      <c r="B1238" s="101">
        <v>44242</v>
      </c>
      <c r="C1238" s="96">
        <v>18</v>
      </c>
      <c r="D1238" s="104" t="s">
        <v>30</v>
      </c>
      <c r="E1238" s="97" t="s">
        <v>8</v>
      </c>
      <c r="F1238" s="97" t="str">
        <f>VLOOKUP(E1238,Emp_Data!$B$2:$C$9,2,)</f>
        <v>Jeff</v>
      </c>
      <c r="G1238" s="97" t="s">
        <v>9</v>
      </c>
      <c r="H1238" s="97" t="s">
        <v>42</v>
      </c>
      <c r="I1238" s="97">
        <v>159</v>
      </c>
      <c r="J1238" s="97">
        <v>4</v>
      </c>
      <c r="K1238" s="97">
        <f t="shared" si="19"/>
        <v>636</v>
      </c>
      <c r="L1238" s="97">
        <f>_xlfn.XLOOKUP(E1238,Emp_Data!$B$2:$B$9,Emp_Data!$A$2:$A$9)</f>
        <v>3</v>
      </c>
    </row>
    <row r="1239" spans="1:12">
      <c r="A1239" s="99">
        <v>159</v>
      </c>
      <c r="B1239" s="101">
        <v>44243</v>
      </c>
      <c r="C1239" s="96">
        <v>20</v>
      </c>
      <c r="D1239" s="104" t="s">
        <v>7</v>
      </c>
      <c r="E1239" s="97" t="s">
        <v>25</v>
      </c>
      <c r="F1239" s="97" t="str">
        <f>VLOOKUP(E1239,Emp_Data!$B$2:$C$9,2,)</f>
        <v>Jeff</v>
      </c>
      <c r="G1239" s="97" t="s">
        <v>9</v>
      </c>
      <c r="H1239" s="97" t="s">
        <v>42</v>
      </c>
      <c r="I1239" s="97">
        <v>159</v>
      </c>
      <c r="J1239" s="97">
        <v>6</v>
      </c>
      <c r="K1239" s="97">
        <f t="shared" si="19"/>
        <v>954</v>
      </c>
      <c r="L1239" s="97">
        <f>_xlfn.XLOOKUP(E1239,Emp_Data!$B$2:$B$9,Emp_Data!$A$2:$A$9)</f>
        <v>5</v>
      </c>
    </row>
    <row r="1240" spans="1:12">
      <c r="A1240" s="99">
        <v>165</v>
      </c>
      <c r="B1240" s="101">
        <v>44244</v>
      </c>
      <c r="C1240" s="96">
        <v>4</v>
      </c>
      <c r="D1240" s="104" t="s">
        <v>13</v>
      </c>
      <c r="E1240" s="97" t="s">
        <v>14</v>
      </c>
      <c r="F1240" s="97" t="str">
        <f>VLOOKUP(E1240,Emp_Data!$B$2:$C$9,2,)</f>
        <v>Jeff</v>
      </c>
      <c r="G1240" s="97" t="s">
        <v>15</v>
      </c>
      <c r="H1240" s="97" t="s">
        <v>42</v>
      </c>
      <c r="I1240" s="97">
        <v>159</v>
      </c>
      <c r="J1240" s="97">
        <v>1</v>
      </c>
      <c r="K1240" s="97">
        <f t="shared" si="19"/>
        <v>159</v>
      </c>
      <c r="L1240" s="97">
        <f>_xlfn.XLOOKUP(E1240,Emp_Data!$B$2:$B$9,Emp_Data!$A$2:$A$9)</f>
        <v>2</v>
      </c>
    </row>
    <row r="1241" spans="1:12">
      <c r="A1241" s="99">
        <v>168</v>
      </c>
      <c r="B1241" s="101">
        <v>44245</v>
      </c>
      <c r="C1241" s="96">
        <v>7</v>
      </c>
      <c r="D1241" s="104" t="s">
        <v>28</v>
      </c>
      <c r="E1241" s="97" t="s">
        <v>27</v>
      </c>
      <c r="F1241" s="97" t="str">
        <f>VLOOKUP(E1241,Emp_Data!$B$2:$C$9,2,)</f>
        <v>Philip</v>
      </c>
      <c r="G1241" s="97" t="s">
        <v>12</v>
      </c>
      <c r="H1241" s="97" t="s">
        <v>42</v>
      </c>
      <c r="I1241" s="97">
        <v>159</v>
      </c>
      <c r="J1241" s="97">
        <v>2</v>
      </c>
      <c r="K1241" s="97">
        <f t="shared" si="19"/>
        <v>318</v>
      </c>
      <c r="L1241" s="97">
        <f>_xlfn.XLOOKUP(E1241,Emp_Data!$B$2:$B$9,Emp_Data!$A$2:$A$9)</f>
        <v>8</v>
      </c>
    </row>
    <row r="1242" spans="1:12">
      <c r="A1242" s="99">
        <v>178</v>
      </c>
      <c r="B1242" s="101">
        <v>44248</v>
      </c>
      <c r="C1242" s="96">
        <v>13</v>
      </c>
      <c r="D1242" s="104" t="s">
        <v>23</v>
      </c>
      <c r="E1242" s="97" t="s">
        <v>18</v>
      </c>
      <c r="F1242" s="97" t="str">
        <f>VLOOKUP(E1242,Emp_Data!$B$2:$C$9,2,)</f>
        <v>Sara</v>
      </c>
      <c r="G1242" s="97" t="s">
        <v>19</v>
      </c>
      <c r="H1242" s="97" t="s">
        <v>42</v>
      </c>
      <c r="I1242" s="97">
        <v>159</v>
      </c>
      <c r="J1242" s="97">
        <v>1</v>
      </c>
      <c r="K1242" s="97">
        <f t="shared" si="19"/>
        <v>159</v>
      </c>
      <c r="L1242" s="97">
        <f>_xlfn.XLOOKUP(E1242,Emp_Data!$B$2:$B$9,Emp_Data!$A$2:$A$9)</f>
        <v>5</v>
      </c>
    </row>
    <row r="1243" spans="1:12">
      <c r="A1243" s="99">
        <v>182</v>
      </c>
      <c r="B1243" s="101">
        <v>44248</v>
      </c>
      <c r="C1243" s="96">
        <v>1</v>
      </c>
      <c r="D1243" s="104" t="s">
        <v>31</v>
      </c>
      <c r="E1243" s="97" t="s">
        <v>14</v>
      </c>
      <c r="F1243" s="97" t="str">
        <f>VLOOKUP(E1243,Emp_Data!$B$2:$C$9,2,)</f>
        <v>Jeff</v>
      </c>
      <c r="G1243" s="97" t="s">
        <v>15</v>
      </c>
      <c r="H1243" s="97" t="s">
        <v>42</v>
      </c>
      <c r="I1243" s="97">
        <v>159</v>
      </c>
      <c r="J1243" s="97">
        <v>2</v>
      </c>
      <c r="K1243" s="97">
        <f t="shared" si="19"/>
        <v>318</v>
      </c>
      <c r="L1243" s="97">
        <f>_xlfn.XLOOKUP(E1243,Emp_Data!$B$2:$B$9,Emp_Data!$A$2:$A$9)</f>
        <v>2</v>
      </c>
    </row>
    <row r="1244" spans="1:12">
      <c r="A1244" s="99">
        <v>184</v>
      </c>
      <c r="B1244" s="101">
        <v>44250</v>
      </c>
      <c r="C1244" s="96">
        <v>12</v>
      </c>
      <c r="D1244" s="104" t="s">
        <v>17</v>
      </c>
      <c r="E1244" s="97" t="s">
        <v>24</v>
      </c>
      <c r="F1244" s="97" t="str">
        <f>VLOOKUP(E1244,Emp_Data!$B$2:$C$9,2,)</f>
        <v>Steve</v>
      </c>
      <c r="G1244" s="97" t="s">
        <v>19</v>
      </c>
      <c r="H1244" s="97" t="s">
        <v>42</v>
      </c>
      <c r="I1244" s="97">
        <v>159</v>
      </c>
      <c r="J1244" s="97">
        <v>7</v>
      </c>
      <c r="K1244" s="97">
        <f t="shared" si="19"/>
        <v>1113</v>
      </c>
      <c r="L1244" s="97">
        <f>_xlfn.XLOOKUP(E1244,Emp_Data!$B$2:$B$9,Emp_Data!$A$2:$A$9)</f>
        <v>6</v>
      </c>
    </row>
    <row r="1245" spans="1:12">
      <c r="A1245" s="99">
        <v>191</v>
      </c>
      <c r="B1245" s="101">
        <v>44252</v>
      </c>
      <c r="C1245" s="96">
        <v>11</v>
      </c>
      <c r="D1245" s="104" t="s">
        <v>38</v>
      </c>
      <c r="E1245" s="97" t="s">
        <v>18</v>
      </c>
      <c r="F1245" s="97" t="str">
        <f>VLOOKUP(E1245,Emp_Data!$B$2:$C$9,2,)</f>
        <v>Sara</v>
      </c>
      <c r="G1245" s="97" t="s">
        <v>19</v>
      </c>
      <c r="H1245" s="97" t="s">
        <v>42</v>
      </c>
      <c r="I1245" s="97">
        <v>159</v>
      </c>
      <c r="J1245" s="97">
        <v>4</v>
      </c>
      <c r="K1245" s="97">
        <f t="shared" si="19"/>
        <v>636</v>
      </c>
      <c r="L1245" s="97">
        <f>_xlfn.XLOOKUP(E1245,Emp_Data!$B$2:$B$9,Emp_Data!$A$2:$A$9)</f>
        <v>5</v>
      </c>
    </row>
    <row r="1246" spans="1:12">
      <c r="A1246" s="99">
        <v>193</v>
      </c>
      <c r="B1246" s="101">
        <v>44254</v>
      </c>
      <c r="C1246" s="96">
        <v>9</v>
      </c>
      <c r="D1246" s="104" t="s">
        <v>26</v>
      </c>
      <c r="E1246" s="97" t="s">
        <v>11</v>
      </c>
      <c r="F1246" s="97" t="str">
        <f>VLOOKUP(E1246,Emp_Data!$B$2:$C$9,2,)</f>
        <v>Steve</v>
      </c>
      <c r="G1246" s="97" t="s">
        <v>12</v>
      </c>
      <c r="H1246" s="97" t="s">
        <v>42</v>
      </c>
      <c r="I1246" s="97">
        <v>159</v>
      </c>
      <c r="J1246" s="97">
        <v>1</v>
      </c>
      <c r="K1246" s="97">
        <f t="shared" si="19"/>
        <v>159</v>
      </c>
      <c r="L1246" s="97">
        <f>_xlfn.XLOOKUP(E1246,Emp_Data!$B$2:$B$9,Emp_Data!$A$2:$A$9)</f>
        <v>4</v>
      </c>
    </row>
    <row r="1247" spans="1:12">
      <c r="A1247" s="99">
        <v>195</v>
      </c>
      <c r="B1247" s="101">
        <v>44254</v>
      </c>
      <c r="C1247" s="96">
        <v>15</v>
      </c>
      <c r="D1247" s="104" t="s">
        <v>29</v>
      </c>
      <c r="E1247" s="97" t="s">
        <v>24</v>
      </c>
      <c r="F1247" s="97" t="str">
        <f>VLOOKUP(E1247,Emp_Data!$B$2:$C$9,2,)</f>
        <v>Steve</v>
      </c>
      <c r="G1247" s="97" t="s">
        <v>19</v>
      </c>
      <c r="H1247" s="97" t="s">
        <v>42</v>
      </c>
      <c r="I1247" s="97">
        <v>159</v>
      </c>
      <c r="J1247" s="97">
        <v>8</v>
      </c>
      <c r="K1247" s="97">
        <f t="shared" si="19"/>
        <v>1272</v>
      </c>
      <c r="L1247" s="97">
        <f>_xlfn.XLOOKUP(E1247,Emp_Data!$B$2:$B$9,Emp_Data!$A$2:$A$9)</f>
        <v>6</v>
      </c>
    </row>
    <row r="1248" spans="1:12">
      <c r="A1248" s="99">
        <v>198</v>
      </c>
      <c r="B1248" s="101">
        <v>44256</v>
      </c>
      <c r="C1248" s="96">
        <v>18</v>
      </c>
      <c r="D1248" s="104" t="s">
        <v>30</v>
      </c>
      <c r="E1248" s="97" t="s">
        <v>25</v>
      </c>
      <c r="F1248" s="97" t="str">
        <f>VLOOKUP(E1248,Emp_Data!$B$2:$C$9,2,)</f>
        <v>Jeff</v>
      </c>
      <c r="G1248" s="97" t="s">
        <v>9</v>
      </c>
      <c r="H1248" s="97" t="s">
        <v>42</v>
      </c>
      <c r="I1248" s="97">
        <v>159</v>
      </c>
      <c r="J1248" s="97">
        <v>6</v>
      </c>
      <c r="K1248" s="97">
        <f t="shared" si="19"/>
        <v>954</v>
      </c>
      <c r="L1248" s="97">
        <f>_xlfn.XLOOKUP(E1248,Emp_Data!$B$2:$B$9,Emp_Data!$A$2:$A$9)</f>
        <v>5</v>
      </c>
    </row>
    <row r="1249" spans="1:12">
      <c r="A1249" s="99">
        <v>199</v>
      </c>
      <c r="B1249" s="101">
        <v>44257</v>
      </c>
      <c r="C1249" s="96">
        <v>17</v>
      </c>
      <c r="D1249" s="104" t="s">
        <v>32</v>
      </c>
      <c r="E1249" s="97" t="s">
        <v>8</v>
      </c>
      <c r="F1249" s="97" t="str">
        <f>VLOOKUP(E1249,Emp_Data!$B$2:$C$9,2,)</f>
        <v>Jeff</v>
      </c>
      <c r="G1249" s="97" t="s">
        <v>9</v>
      </c>
      <c r="H1249" s="97" t="s">
        <v>42</v>
      </c>
      <c r="I1249" s="97">
        <v>159</v>
      </c>
      <c r="J1249" s="97">
        <v>4</v>
      </c>
      <c r="K1249" s="97">
        <f t="shared" si="19"/>
        <v>636</v>
      </c>
      <c r="L1249" s="97">
        <f>_xlfn.XLOOKUP(E1249,Emp_Data!$B$2:$B$9,Emp_Data!$A$2:$A$9)</f>
        <v>3</v>
      </c>
    </row>
    <row r="1250" spans="1:12">
      <c r="A1250" s="99">
        <v>209</v>
      </c>
      <c r="B1250" s="101">
        <v>44263</v>
      </c>
      <c r="C1250" s="96">
        <v>16</v>
      </c>
      <c r="D1250" s="104" t="s">
        <v>37</v>
      </c>
      <c r="E1250" s="97" t="s">
        <v>8</v>
      </c>
      <c r="F1250" s="97" t="str">
        <f>VLOOKUP(E1250,Emp_Data!$B$2:$C$9,2,)</f>
        <v>Jeff</v>
      </c>
      <c r="G1250" s="97" t="s">
        <v>9</v>
      </c>
      <c r="H1250" s="97" t="s">
        <v>42</v>
      </c>
      <c r="I1250" s="97">
        <v>159</v>
      </c>
      <c r="J1250" s="97">
        <v>3</v>
      </c>
      <c r="K1250" s="97">
        <f t="shared" si="19"/>
        <v>477</v>
      </c>
      <c r="L1250" s="97">
        <f>_xlfn.XLOOKUP(E1250,Emp_Data!$B$2:$B$9,Emp_Data!$A$2:$A$9)</f>
        <v>3</v>
      </c>
    </row>
    <row r="1251" spans="1:12">
      <c r="A1251" s="99">
        <v>213</v>
      </c>
      <c r="B1251" s="101">
        <v>44264</v>
      </c>
      <c r="C1251" s="96">
        <v>1</v>
      </c>
      <c r="D1251" s="104" t="s">
        <v>31</v>
      </c>
      <c r="E1251" s="97" t="s">
        <v>21</v>
      </c>
      <c r="F1251" s="97" t="str">
        <f>VLOOKUP(E1251,Emp_Data!$B$2:$C$9,2,)</f>
        <v>Sara</v>
      </c>
      <c r="G1251" s="97" t="s">
        <v>15</v>
      </c>
      <c r="H1251" s="97" t="s">
        <v>42</v>
      </c>
      <c r="I1251" s="97">
        <v>159</v>
      </c>
      <c r="J1251" s="97">
        <v>2</v>
      </c>
      <c r="K1251" s="97">
        <f t="shared" si="19"/>
        <v>318</v>
      </c>
      <c r="L1251" s="97">
        <f>_xlfn.XLOOKUP(E1251,Emp_Data!$B$2:$B$9,Emp_Data!$A$2:$A$9)</f>
        <v>2</v>
      </c>
    </row>
    <row r="1252" spans="1:12">
      <c r="A1252" s="99">
        <v>218</v>
      </c>
      <c r="B1252" s="101">
        <v>44266</v>
      </c>
      <c r="C1252" s="96">
        <v>8</v>
      </c>
      <c r="D1252" s="104" t="s">
        <v>36</v>
      </c>
      <c r="E1252" s="97" t="s">
        <v>11</v>
      </c>
      <c r="F1252" s="97" t="str">
        <f>VLOOKUP(E1252,Emp_Data!$B$2:$C$9,2,)</f>
        <v>Steve</v>
      </c>
      <c r="G1252" s="97" t="s">
        <v>12</v>
      </c>
      <c r="H1252" s="97" t="s">
        <v>42</v>
      </c>
      <c r="I1252" s="97">
        <v>159</v>
      </c>
      <c r="J1252" s="97">
        <v>2</v>
      </c>
      <c r="K1252" s="97">
        <f t="shared" si="19"/>
        <v>318</v>
      </c>
      <c r="L1252" s="97">
        <f>_xlfn.XLOOKUP(E1252,Emp_Data!$B$2:$B$9,Emp_Data!$A$2:$A$9)</f>
        <v>4</v>
      </c>
    </row>
    <row r="1253" spans="1:12">
      <c r="A1253" s="99">
        <v>219</v>
      </c>
      <c r="B1253" s="101">
        <v>44266</v>
      </c>
      <c r="C1253" s="96">
        <v>7</v>
      </c>
      <c r="D1253" s="104" t="s">
        <v>28</v>
      </c>
      <c r="E1253" s="97" t="s">
        <v>11</v>
      </c>
      <c r="F1253" s="97" t="str">
        <f>VLOOKUP(E1253,Emp_Data!$B$2:$C$9,2,)</f>
        <v>Steve</v>
      </c>
      <c r="G1253" s="97" t="s">
        <v>12</v>
      </c>
      <c r="H1253" s="97" t="s">
        <v>42</v>
      </c>
      <c r="I1253" s="97">
        <v>159</v>
      </c>
      <c r="J1253" s="97">
        <v>1</v>
      </c>
      <c r="K1253" s="97">
        <f t="shared" si="19"/>
        <v>159</v>
      </c>
      <c r="L1253" s="97">
        <f>_xlfn.XLOOKUP(E1253,Emp_Data!$B$2:$B$9,Emp_Data!$A$2:$A$9)</f>
        <v>4</v>
      </c>
    </row>
    <row r="1254" spans="1:12">
      <c r="A1254" s="99">
        <v>220</v>
      </c>
      <c r="B1254" s="101">
        <v>44266</v>
      </c>
      <c r="C1254" s="96">
        <v>17</v>
      </c>
      <c r="D1254" s="104" t="s">
        <v>32</v>
      </c>
      <c r="E1254" s="97" t="s">
        <v>8</v>
      </c>
      <c r="F1254" s="97" t="str">
        <f>VLOOKUP(E1254,Emp_Data!$B$2:$C$9,2,)</f>
        <v>Jeff</v>
      </c>
      <c r="G1254" s="97" t="s">
        <v>9</v>
      </c>
      <c r="H1254" s="97" t="s">
        <v>42</v>
      </c>
      <c r="I1254" s="97">
        <v>159</v>
      </c>
      <c r="J1254" s="97">
        <v>2</v>
      </c>
      <c r="K1254" s="97">
        <f t="shared" si="19"/>
        <v>318</v>
      </c>
      <c r="L1254" s="97">
        <f>_xlfn.XLOOKUP(E1254,Emp_Data!$B$2:$B$9,Emp_Data!$A$2:$A$9)</f>
        <v>3</v>
      </c>
    </row>
    <row r="1255" spans="1:12">
      <c r="A1255" s="99">
        <v>221</v>
      </c>
      <c r="B1255" s="101">
        <v>44266</v>
      </c>
      <c r="C1255" s="96">
        <v>13</v>
      </c>
      <c r="D1255" s="104" t="s">
        <v>23</v>
      </c>
      <c r="E1255" s="97" t="s">
        <v>18</v>
      </c>
      <c r="F1255" s="97" t="str">
        <f>VLOOKUP(E1255,Emp_Data!$B$2:$C$9,2,)</f>
        <v>Sara</v>
      </c>
      <c r="G1255" s="97" t="s">
        <v>19</v>
      </c>
      <c r="H1255" s="97" t="s">
        <v>42</v>
      </c>
      <c r="I1255" s="97">
        <v>159</v>
      </c>
      <c r="J1255" s="97">
        <v>3</v>
      </c>
      <c r="K1255" s="97">
        <f t="shared" si="19"/>
        <v>477</v>
      </c>
      <c r="L1255" s="97">
        <f>_xlfn.XLOOKUP(E1255,Emp_Data!$B$2:$B$9,Emp_Data!$A$2:$A$9)</f>
        <v>5</v>
      </c>
    </row>
    <row r="1256" spans="1:12">
      <c r="A1256" s="99">
        <v>223</v>
      </c>
      <c r="B1256" s="101">
        <v>44266</v>
      </c>
      <c r="C1256" s="96">
        <v>10</v>
      </c>
      <c r="D1256" s="104" t="s">
        <v>34</v>
      </c>
      <c r="E1256" s="97" t="s">
        <v>11</v>
      </c>
      <c r="F1256" s="97" t="str">
        <f>VLOOKUP(E1256,Emp_Data!$B$2:$C$9,2,)</f>
        <v>Steve</v>
      </c>
      <c r="G1256" s="97" t="s">
        <v>12</v>
      </c>
      <c r="H1256" s="97" t="s">
        <v>42</v>
      </c>
      <c r="I1256" s="97">
        <v>159</v>
      </c>
      <c r="J1256" s="97">
        <v>8</v>
      </c>
      <c r="K1256" s="97">
        <f t="shared" si="19"/>
        <v>1272</v>
      </c>
      <c r="L1256" s="97">
        <f>_xlfn.XLOOKUP(E1256,Emp_Data!$B$2:$B$9,Emp_Data!$A$2:$A$9)</f>
        <v>4</v>
      </c>
    </row>
    <row r="1257" spans="1:12">
      <c r="A1257" s="99">
        <v>244</v>
      </c>
      <c r="B1257" s="101">
        <v>44272</v>
      </c>
      <c r="C1257" s="96">
        <v>4</v>
      </c>
      <c r="D1257" s="104" t="s">
        <v>13</v>
      </c>
      <c r="E1257" s="97" t="s">
        <v>14</v>
      </c>
      <c r="F1257" s="97" t="str">
        <f>VLOOKUP(E1257,Emp_Data!$B$2:$C$9,2,)</f>
        <v>Jeff</v>
      </c>
      <c r="G1257" s="97" t="s">
        <v>15</v>
      </c>
      <c r="H1257" s="97" t="s">
        <v>42</v>
      </c>
      <c r="I1257" s="97">
        <v>159</v>
      </c>
      <c r="J1257" s="97">
        <v>2</v>
      </c>
      <c r="K1257" s="97">
        <f t="shared" si="19"/>
        <v>318</v>
      </c>
      <c r="L1257" s="97">
        <f>_xlfn.XLOOKUP(E1257,Emp_Data!$B$2:$B$9,Emp_Data!$A$2:$A$9)</f>
        <v>2</v>
      </c>
    </row>
    <row r="1258" spans="1:12">
      <c r="A1258" s="99">
        <v>245</v>
      </c>
      <c r="B1258" s="101">
        <v>44273</v>
      </c>
      <c r="C1258" s="96">
        <v>19</v>
      </c>
      <c r="D1258" s="104" t="s">
        <v>22</v>
      </c>
      <c r="E1258" s="97" t="s">
        <v>25</v>
      </c>
      <c r="F1258" s="97" t="str">
        <f>VLOOKUP(E1258,Emp_Data!$B$2:$C$9,2,)</f>
        <v>Jeff</v>
      </c>
      <c r="G1258" s="97" t="s">
        <v>9</v>
      </c>
      <c r="H1258" s="97" t="s">
        <v>42</v>
      </c>
      <c r="I1258" s="97">
        <v>159</v>
      </c>
      <c r="J1258" s="97">
        <v>0</v>
      </c>
      <c r="K1258" s="97">
        <f t="shared" si="19"/>
        <v>0</v>
      </c>
      <c r="L1258" s="97">
        <f>_xlfn.XLOOKUP(E1258,Emp_Data!$B$2:$B$9,Emp_Data!$A$2:$A$9)</f>
        <v>5</v>
      </c>
    </row>
    <row r="1259" spans="1:12">
      <c r="A1259" s="99">
        <v>250</v>
      </c>
      <c r="B1259" s="101">
        <v>44273</v>
      </c>
      <c r="C1259" s="96">
        <v>8</v>
      </c>
      <c r="D1259" s="104" t="s">
        <v>36</v>
      </c>
      <c r="E1259" s="97" t="s">
        <v>27</v>
      </c>
      <c r="F1259" s="97" t="str">
        <f>VLOOKUP(E1259,Emp_Data!$B$2:$C$9,2,)</f>
        <v>Philip</v>
      </c>
      <c r="G1259" s="97" t="s">
        <v>12</v>
      </c>
      <c r="H1259" s="97" t="s">
        <v>42</v>
      </c>
      <c r="I1259" s="97">
        <v>159</v>
      </c>
      <c r="J1259" s="97">
        <v>7</v>
      </c>
      <c r="K1259" s="97">
        <f t="shared" si="19"/>
        <v>1113</v>
      </c>
      <c r="L1259" s="97">
        <f>_xlfn.XLOOKUP(E1259,Emp_Data!$B$2:$B$9,Emp_Data!$A$2:$A$9)</f>
        <v>8</v>
      </c>
    </row>
    <row r="1260" spans="1:12">
      <c r="A1260" s="99">
        <v>254</v>
      </c>
      <c r="B1260" s="101">
        <v>44274</v>
      </c>
      <c r="C1260" s="96">
        <v>6</v>
      </c>
      <c r="D1260" s="104" t="s">
        <v>10</v>
      </c>
      <c r="E1260" s="97" t="s">
        <v>27</v>
      </c>
      <c r="F1260" s="97" t="str">
        <f>VLOOKUP(E1260,Emp_Data!$B$2:$C$9,2,)</f>
        <v>Philip</v>
      </c>
      <c r="G1260" s="97" t="s">
        <v>12</v>
      </c>
      <c r="H1260" s="97" t="s">
        <v>42</v>
      </c>
      <c r="I1260" s="97">
        <v>159</v>
      </c>
      <c r="J1260" s="97">
        <v>4</v>
      </c>
      <c r="K1260" s="97">
        <f t="shared" si="19"/>
        <v>636</v>
      </c>
      <c r="L1260" s="97">
        <f>_xlfn.XLOOKUP(E1260,Emp_Data!$B$2:$B$9,Emp_Data!$A$2:$A$9)</f>
        <v>8</v>
      </c>
    </row>
    <row r="1261" spans="1:12">
      <c r="A1261" s="99">
        <v>256</v>
      </c>
      <c r="B1261" s="101">
        <v>44274</v>
      </c>
      <c r="C1261" s="96">
        <v>18</v>
      </c>
      <c r="D1261" s="104" t="s">
        <v>30</v>
      </c>
      <c r="E1261" s="97" t="s">
        <v>25</v>
      </c>
      <c r="F1261" s="97" t="str">
        <f>VLOOKUP(E1261,Emp_Data!$B$2:$C$9,2,)</f>
        <v>Jeff</v>
      </c>
      <c r="G1261" s="97" t="s">
        <v>9</v>
      </c>
      <c r="H1261" s="97" t="s">
        <v>42</v>
      </c>
      <c r="I1261" s="97">
        <v>159</v>
      </c>
      <c r="J1261" s="97">
        <v>2</v>
      </c>
      <c r="K1261" s="97">
        <f t="shared" si="19"/>
        <v>318</v>
      </c>
      <c r="L1261" s="97">
        <f>_xlfn.XLOOKUP(E1261,Emp_Data!$B$2:$B$9,Emp_Data!$A$2:$A$9)</f>
        <v>5</v>
      </c>
    </row>
    <row r="1262" spans="1:12">
      <c r="A1262" s="99">
        <v>262</v>
      </c>
      <c r="B1262" s="101">
        <v>44277</v>
      </c>
      <c r="C1262" s="96">
        <v>8</v>
      </c>
      <c r="D1262" s="104" t="s">
        <v>36</v>
      </c>
      <c r="E1262" s="97" t="s">
        <v>11</v>
      </c>
      <c r="F1262" s="97" t="str">
        <f>VLOOKUP(E1262,Emp_Data!$B$2:$C$9,2,)</f>
        <v>Steve</v>
      </c>
      <c r="G1262" s="97" t="s">
        <v>12</v>
      </c>
      <c r="H1262" s="97" t="s">
        <v>42</v>
      </c>
      <c r="I1262" s="97">
        <v>159</v>
      </c>
      <c r="J1262" s="97">
        <v>1</v>
      </c>
      <c r="K1262" s="97">
        <f t="shared" si="19"/>
        <v>159</v>
      </c>
      <c r="L1262" s="97">
        <f>_xlfn.XLOOKUP(E1262,Emp_Data!$B$2:$B$9,Emp_Data!$A$2:$A$9)</f>
        <v>4</v>
      </c>
    </row>
    <row r="1263" spans="1:12">
      <c r="A1263" s="99">
        <v>263</v>
      </c>
      <c r="B1263" s="101">
        <v>44278</v>
      </c>
      <c r="C1263" s="96">
        <v>7</v>
      </c>
      <c r="D1263" s="104" t="s">
        <v>28</v>
      </c>
      <c r="E1263" s="97" t="s">
        <v>11</v>
      </c>
      <c r="F1263" s="97" t="str">
        <f>VLOOKUP(E1263,Emp_Data!$B$2:$C$9,2,)</f>
        <v>Steve</v>
      </c>
      <c r="G1263" s="97" t="s">
        <v>12</v>
      </c>
      <c r="H1263" s="97" t="s">
        <v>42</v>
      </c>
      <c r="I1263" s="97">
        <v>159</v>
      </c>
      <c r="J1263" s="97">
        <v>5</v>
      </c>
      <c r="K1263" s="97">
        <f t="shared" si="19"/>
        <v>795</v>
      </c>
      <c r="L1263" s="97">
        <f>_xlfn.XLOOKUP(E1263,Emp_Data!$B$2:$B$9,Emp_Data!$A$2:$A$9)</f>
        <v>4</v>
      </c>
    </row>
    <row r="1264" spans="1:12">
      <c r="A1264" s="99">
        <v>276</v>
      </c>
      <c r="B1264" s="101">
        <v>44280</v>
      </c>
      <c r="C1264" s="96">
        <v>2</v>
      </c>
      <c r="D1264" s="104" t="s">
        <v>35</v>
      </c>
      <c r="E1264" s="97" t="s">
        <v>14</v>
      </c>
      <c r="F1264" s="97" t="str">
        <f>VLOOKUP(E1264,Emp_Data!$B$2:$C$9,2,)</f>
        <v>Jeff</v>
      </c>
      <c r="G1264" s="97" t="s">
        <v>15</v>
      </c>
      <c r="H1264" s="97" t="s">
        <v>42</v>
      </c>
      <c r="I1264" s="97">
        <v>159</v>
      </c>
      <c r="J1264" s="97">
        <v>7</v>
      </c>
      <c r="K1264" s="97">
        <f t="shared" si="19"/>
        <v>1113</v>
      </c>
      <c r="L1264" s="97">
        <f>_xlfn.XLOOKUP(E1264,Emp_Data!$B$2:$B$9,Emp_Data!$A$2:$A$9)</f>
        <v>2</v>
      </c>
    </row>
    <row r="1265" spans="1:12">
      <c r="A1265" s="99">
        <v>282</v>
      </c>
      <c r="B1265" s="101">
        <v>44282</v>
      </c>
      <c r="C1265" s="96">
        <v>16</v>
      </c>
      <c r="D1265" s="104" t="s">
        <v>37</v>
      </c>
      <c r="E1265" s="97" t="s">
        <v>25</v>
      </c>
      <c r="F1265" s="97" t="str">
        <f>VLOOKUP(E1265,Emp_Data!$B$2:$C$9,2,)</f>
        <v>Jeff</v>
      </c>
      <c r="G1265" s="97" t="s">
        <v>9</v>
      </c>
      <c r="H1265" s="97" t="s">
        <v>42</v>
      </c>
      <c r="I1265" s="97">
        <v>159</v>
      </c>
      <c r="J1265" s="97">
        <v>6</v>
      </c>
      <c r="K1265" s="97">
        <f t="shared" si="19"/>
        <v>954</v>
      </c>
      <c r="L1265" s="97">
        <f>_xlfn.XLOOKUP(E1265,Emp_Data!$B$2:$B$9,Emp_Data!$A$2:$A$9)</f>
        <v>5</v>
      </c>
    </row>
    <row r="1266" spans="1:12">
      <c r="A1266" s="99">
        <v>283</v>
      </c>
      <c r="B1266" s="101">
        <v>44282</v>
      </c>
      <c r="C1266" s="96">
        <v>20</v>
      </c>
      <c r="D1266" s="104" t="s">
        <v>7</v>
      </c>
      <c r="E1266" s="97" t="s">
        <v>8</v>
      </c>
      <c r="F1266" s="97" t="str">
        <f>VLOOKUP(E1266,Emp_Data!$B$2:$C$9,2,)</f>
        <v>Jeff</v>
      </c>
      <c r="G1266" s="97" t="s">
        <v>9</v>
      </c>
      <c r="H1266" s="97" t="s">
        <v>42</v>
      </c>
      <c r="I1266" s="97">
        <v>159</v>
      </c>
      <c r="J1266" s="97">
        <v>0</v>
      </c>
      <c r="K1266" s="97">
        <f t="shared" si="19"/>
        <v>0</v>
      </c>
      <c r="L1266" s="97">
        <f>_xlfn.XLOOKUP(E1266,Emp_Data!$B$2:$B$9,Emp_Data!$A$2:$A$9)</f>
        <v>3</v>
      </c>
    </row>
    <row r="1267" spans="1:12">
      <c r="A1267" s="99">
        <v>284</v>
      </c>
      <c r="B1267" s="101">
        <v>44282</v>
      </c>
      <c r="C1267" s="96">
        <v>2</v>
      </c>
      <c r="D1267" s="104" t="s">
        <v>35</v>
      </c>
      <c r="E1267" s="97" t="s">
        <v>14</v>
      </c>
      <c r="F1267" s="97" t="str">
        <f>VLOOKUP(E1267,Emp_Data!$B$2:$C$9,2,)</f>
        <v>Jeff</v>
      </c>
      <c r="G1267" s="97" t="s">
        <v>15</v>
      </c>
      <c r="H1267" s="97" t="s">
        <v>42</v>
      </c>
      <c r="I1267" s="97">
        <v>159</v>
      </c>
      <c r="J1267" s="97">
        <v>4</v>
      </c>
      <c r="K1267" s="97">
        <f t="shared" si="19"/>
        <v>636</v>
      </c>
      <c r="L1267" s="97">
        <f>_xlfn.XLOOKUP(E1267,Emp_Data!$B$2:$B$9,Emp_Data!$A$2:$A$9)</f>
        <v>2</v>
      </c>
    </row>
    <row r="1268" spans="1:12">
      <c r="A1268" s="99">
        <v>288</v>
      </c>
      <c r="B1268" s="101">
        <v>44282</v>
      </c>
      <c r="C1268" s="96">
        <v>3</v>
      </c>
      <c r="D1268" s="104" t="s">
        <v>20</v>
      </c>
      <c r="E1268" s="97" t="s">
        <v>21</v>
      </c>
      <c r="F1268" s="97" t="str">
        <f>VLOOKUP(E1268,Emp_Data!$B$2:$C$9,2,)</f>
        <v>Sara</v>
      </c>
      <c r="G1268" s="97" t="s">
        <v>15</v>
      </c>
      <c r="H1268" s="97" t="s">
        <v>42</v>
      </c>
      <c r="I1268" s="97">
        <v>159</v>
      </c>
      <c r="J1268" s="97">
        <v>2</v>
      </c>
      <c r="K1268" s="97">
        <f t="shared" si="19"/>
        <v>318</v>
      </c>
      <c r="L1268" s="97">
        <f>_xlfn.XLOOKUP(E1268,Emp_Data!$B$2:$B$9,Emp_Data!$A$2:$A$9)</f>
        <v>2</v>
      </c>
    </row>
    <row r="1269" spans="1:12">
      <c r="A1269" s="99">
        <v>290</v>
      </c>
      <c r="B1269" s="101">
        <v>44284</v>
      </c>
      <c r="C1269" s="96">
        <v>3</v>
      </c>
      <c r="D1269" s="104" t="s">
        <v>20</v>
      </c>
      <c r="E1269" s="97" t="s">
        <v>14</v>
      </c>
      <c r="F1269" s="97" t="str">
        <f>VLOOKUP(E1269,Emp_Data!$B$2:$C$9,2,)</f>
        <v>Jeff</v>
      </c>
      <c r="G1269" s="97" t="s">
        <v>15</v>
      </c>
      <c r="H1269" s="97" t="s">
        <v>42</v>
      </c>
      <c r="I1269" s="97">
        <v>159</v>
      </c>
      <c r="J1269" s="97">
        <v>9</v>
      </c>
      <c r="K1269" s="97">
        <f t="shared" si="19"/>
        <v>1431</v>
      </c>
      <c r="L1269" s="97">
        <f>_xlfn.XLOOKUP(E1269,Emp_Data!$B$2:$B$9,Emp_Data!$A$2:$A$9)</f>
        <v>2</v>
      </c>
    </row>
    <row r="1270" spans="1:12">
      <c r="A1270" s="99">
        <v>292</v>
      </c>
      <c r="B1270" s="101">
        <v>44285</v>
      </c>
      <c r="C1270" s="96">
        <v>1</v>
      </c>
      <c r="D1270" s="104" t="s">
        <v>31</v>
      </c>
      <c r="E1270" s="97" t="s">
        <v>21</v>
      </c>
      <c r="F1270" s="97" t="str">
        <f>VLOOKUP(E1270,Emp_Data!$B$2:$C$9,2,)</f>
        <v>Sara</v>
      </c>
      <c r="G1270" s="97" t="s">
        <v>15</v>
      </c>
      <c r="H1270" s="97" t="s">
        <v>42</v>
      </c>
      <c r="I1270" s="97">
        <v>159</v>
      </c>
      <c r="J1270" s="97">
        <v>0</v>
      </c>
      <c r="K1270" s="97">
        <f t="shared" si="19"/>
        <v>0</v>
      </c>
      <c r="L1270" s="97">
        <f>_xlfn.XLOOKUP(E1270,Emp_Data!$B$2:$B$9,Emp_Data!$A$2:$A$9)</f>
        <v>2</v>
      </c>
    </row>
    <row r="1271" spans="1:12">
      <c r="A1271" s="99">
        <v>294</v>
      </c>
      <c r="B1271" s="101">
        <v>44285</v>
      </c>
      <c r="C1271" s="96">
        <v>16</v>
      </c>
      <c r="D1271" s="104" t="s">
        <v>37</v>
      </c>
      <c r="E1271" s="97" t="s">
        <v>25</v>
      </c>
      <c r="F1271" s="97" t="str">
        <f>VLOOKUP(E1271,Emp_Data!$B$2:$C$9,2,)</f>
        <v>Jeff</v>
      </c>
      <c r="G1271" s="97" t="s">
        <v>9</v>
      </c>
      <c r="H1271" s="97" t="s">
        <v>42</v>
      </c>
      <c r="I1271" s="97">
        <v>159</v>
      </c>
      <c r="J1271" s="97">
        <v>2</v>
      </c>
      <c r="K1271" s="97">
        <f t="shared" si="19"/>
        <v>318</v>
      </c>
      <c r="L1271" s="97">
        <f>_xlfn.XLOOKUP(E1271,Emp_Data!$B$2:$B$9,Emp_Data!$A$2:$A$9)</f>
        <v>5</v>
      </c>
    </row>
    <row r="1272" spans="1:12">
      <c r="A1272" s="99">
        <v>303</v>
      </c>
      <c r="B1272" s="101">
        <v>44290</v>
      </c>
      <c r="C1272" s="96">
        <v>20</v>
      </c>
      <c r="D1272" s="104" t="s">
        <v>7</v>
      </c>
      <c r="E1272" s="97" t="s">
        <v>25</v>
      </c>
      <c r="F1272" s="97" t="str">
        <f>VLOOKUP(E1272,Emp_Data!$B$2:$C$9,2,)</f>
        <v>Jeff</v>
      </c>
      <c r="G1272" s="97" t="s">
        <v>9</v>
      </c>
      <c r="H1272" s="97" t="s">
        <v>42</v>
      </c>
      <c r="I1272" s="97">
        <v>159</v>
      </c>
      <c r="J1272" s="97">
        <v>0</v>
      </c>
      <c r="K1272" s="97">
        <f t="shared" si="19"/>
        <v>0</v>
      </c>
      <c r="L1272" s="97">
        <f>_xlfn.XLOOKUP(E1272,Emp_Data!$B$2:$B$9,Emp_Data!$A$2:$A$9)</f>
        <v>5</v>
      </c>
    </row>
    <row r="1273" spans="1:12">
      <c r="A1273" s="99">
        <v>306</v>
      </c>
      <c r="B1273" s="101">
        <v>44291</v>
      </c>
      <c r="C1273" s="96">
        <v>1</v>
      </c>
      <c r="D1273" s="104" t="s">
        <v>31</v>
      </c>
      <c r="E1273" s="97" t="s">
        <v>14</v>
      </c>
      <c r="F1273" s="97" t="str">
        <f>VLOOKUP(E1273,Emp_Data!$B$2:$C$9,2,)</f>
        <v>Jeff</v>
      </c>
      <c r="G1273" s="97" t="s">
        <v>15</v>
      </c>
      <c r="H1273" s="97" t="s">
        <v>42</v>
      </c>
      <c r="I1273" s="97">
        <v>159</v>
      </c>
      <c r="J1273" s="97">
        <v>3</v>
      </c>
      <c r="K1273" s="97">
        <f t="shared" si="19"/>
        <v>477</v>
      </c>
      <c r="L1273" s="97">
        <f>_xlfn.XLOOKUP(E1273,Emp_Data!$B$2:$B$9,Emp_Data!$A$2:$A$9)</f>
        <v>2</v>
      </c>
    </row>
    <row r="1274" spans="1:12">
      <c r="A1274" s="99">
        <v>324</v>
      </c>
      <c r="B1274" s="101">
        <v>44300</v>
      </c>
      <c r="C1274" s="96">
        <v>17</v>
      </c>
      <c r="D1274" s="104" t="s">
        <v>32</v>
      </c>
      <c r="E1274" s="97" t="s">
        <v>8</v>
      </c>
      <c r="F1274" s="97" t="str">
        <f>VLOOKUP(E1274,Emp_Data!$B$2:$C$9,2,)</f>
        <v>Jeff</v>
      </c>
      <c r="G1274" s="97" t="s">
        <v>9</v>
      </c>
      <c r="H1274" s="97" t="s">
        <v>42</v>
      </c>
      <c r="I1274" s="97">
        <v>159</v>
      </c>
      <c r="J1274" s="97">
        <v>4</v>
      </c>
      <c r="K1274" s="97">
        <f t="shared" si="19"/>
        <v>636</v>
      </c>
      <c r="L1274" s="97">
        <f>_xlfn.XLOOKUP(E1274,Emp_Data!$B$2:$B$9,Emp_Data!$A$2:$A$9)</f>
        <v>3</v>
      </c>
    </row>
    <row r="1275" spans="1:12">
      <c r="A1275" s="99">
        <v>336</v>
      </c>
      <c r="B1275" s="101">
        <v>44302</v>
      </c>
      <c r="C1275" s="96">
        <v>4</v>
      </c>
      <c r="D1275" s="104" t="s">
        <v>13</v>
      </c>
      <c r="E1275" s="97" t="s">
        <v>14</v>
      </c>
      <c r="F1275" s="97" t="str">
        <f>VLOOKUP(E1275,Emp_Data!$B$2:$C$9,2,)</f>
        <v>Jeff</v>
      </c>
      <c r="G1275" s="97" t="s">
        <v>15</v>
      </c>
      <c r="H1275" s="97" t="s">
        <v>42</v>
      </c>
      <c r="I1275" s="97">
        <v>159</v>
      </c>
      <c r="J1275" s="97">
        <v>9</v>
      </c>
      <c r="K1275" s="97">
        <f t="shared" si="19"/>
        <v>1431</v>
      </c>
      <c r="L1275" s="97">
        <f>_xlfn.XLOOKUP(E1275,Emp_Data!$B$2:$B$9,Emp_Data!$A$2:$A$9)</f>
        <v>2</v>
      </c>
    </row>
    <row r="1276" spans="1:12">
      <c r="A1276" s="99">
        <v>340</v>
      </c>
      <c r="B1276" s="101">
        <v>44305</v>
      </c>
      <c r="C1276" s="96">
        <v>8</v>
      </c>
      <c r="D1276" s="104" t="s">
        <v>36</v>
      </c>
      <c r="E1276" s="97" t="s">
        <v>11</v>
      </c>
      <c r="F1276" s="97" t="str">
        <f>VLOOKUP(E1276,Emp_Data!$B$2:$C$9,2,)</f>
        <v>Steve</v>
      </c>
      <c r="G1276" s="97" t="s">
        <v>12</v>
      </c>
      <c r="H1276" s="97" t="s">
        <v>42</v>
      </c>
      <c r="I1276" s="97">
        <v>159</v>
      </c>
      <c r="J1276" s="97">
        <v>6</v>
      </c>
      <c r="K1276" s="97">
        <f t="shared" si="19"/>
        <v>954</v>
      </c>
      <c r="L1276" s="97">
        <f>_xlfn.XLOOKUP(E1276,Emp_Data!$B$2:$B$9,Emp_Data!$A$2:$A$9)</f>
        <v>4</v>
      </c>
    </row>
    <row r="1277" spans="1:12">
      <c r="A1277" s="99">
        <v>343</v>
      </c>
      <c r="B1277" s="101">
        <v>44305</v>
      </c>
      <c r="C1277" s="96">
        <v>5</v>
      </c>
      <c r="D1277" s="104" t="s">
        <v>16</v>
      </c>
      <c r="E1277" s="97" t="s">
        <v>14</v>
      </c>
      <c r="F1277" s="97" t="str">
        <f>VLOOKUP(E1277,Emp_Data!$B$2:$C$9,2,)</f>
        <v>Jeff</v>
      </c>
      <c r="G1277" s="97" t="s">
        <v>15</v>
      </c>
      <c r="H1277" s="97" t="s">
        <v>42</v>
      </c>
      <c r="I1277" s="97">
        <v>159</v>
      </c>
      <c r="J1277" s="97">
        <v>0</v>
      </c>
      <c r="K1277" s="97">
        <f t="shared" si="19"/>
        <v>0</v>
      </c>
      <c r="L1277" s="97">
        <f>_xlfn.XLOOKUP(E1277,Emp_Data!$B$2:$B$9,Emp_Data!$A$2:$A$9)</f>
        <v>2</v>
      </c>
    </row>
    <row r="1278" spans="1:12">
      <c r="A1278" s="99">
        <v>349</v>
      </c>
      <c r="B1278" s="101">
        <v>44305</v>
      </c>
      <c r="C1278" s="96">
        <v>13</v>
      </c>
      <c r="D1278" s="104" t="s">
        <v>23</v>
      </c>
      <c r="E1278" s="97" t="s">
        <v>24</v>
      </c>
      <c r="F1278" s="97" t="str">
        <f>VLOOKUP(E1278,Emp_Data!$B$2:$C$9,2,)</f>
        <v>Steve</v>
      </c>
      <c r="G1278" s="97" t="s">
        <v>19</v>
      </c>
      <c r="H1278" s="97" t="s">
        <v>42</v>
      </c>
      <c r="I1278" s="97">
        <v>159</v>
      </c>
      <c r="J1278" s="97">
        <v>5</v>
      </c>
      <c r="K1278" s="97">
        <f t="shared" si="19"/>
        <v>795</v>
      </c>
      <c r="L1278" s="97">
        <f>_xlfn.XLOOKUP(E1278,Emp_Data!$B$2:$B$9,Emp_Data!$A$2:$A$9)</f>
        <v>6</v>
      </c>
    </row>
    <row r="1279" spans="1:12">
      <c r="A1279" s="99">
        <v>352</v>
      </c>
      <c r="B1279" s="101">
        <v>44305</v>
      </c>
      <c r="C1279" s="96">
        <v>10</v>
      </c>
      <c r="D1279" s="104" t="s">
        <v>34</v>
      </c>
      <c r="E1279" s="97" t="s">
        <v>11</v>
      </c>
      <c r="F1279" s="97" t="str">
        <f>VLOOKUP(E1279,Emp_Data!$B$2:$C$9,2,)</f>
        <v>Steve</v>
      </c>
      <c r="G1279" s="97" t="s">
        <v>12</v>
      </c>
      <c r="H1279" s="97" t="s">
        <v>42</v>
      </c>
      <c r="I1279" s="97">
        <v>159</v>
      </c>
      <c r="J1279" s="97">
        <v>9</v>
      </c>
      <c r="K1279" s="97">
        <f t="shared" si="19"/>
        <v>1431</v>
      </c>
      <c r="L1279" s="97">
        <f>_xlfn.XLOOKUP(E1279,Emp_Data!$B$2:$B$9,Emp_Data!$A$2:$A$9)</f>
        <v>4</v>
      </c>
    </row>
    <row r="1280" spans="1:12">
      <c r="A1280" s="99">
        <v>363</v>
      </c>
      <c r="B1280" s="101">
        <v>44308</v>
      </c>
      <c r="C1280" s="96">
        <v>5</v>
      </c>
      <c r="D1280" s="104" t="s">
        <v>16</v>
      </c>
      <c r="E1280" s="97" t="s">
        <v>21</v>
      </c>
      <c r="F1280" s="97" t="str">
        <f>VLOOKUP(E1280,Emp_Data!$B$2:$C$9,2,)</f>
        <v>Sara</v>
      </c>
      <c r="G1280" s="97" t="s">
        <v>15</v>
      </c>
      <c r="H1280" s="97" t="s">
        <v>42</v>
      </c>
      <c r="I1280" s="97">
        <v>159</v>
      </c>
      <c r="J1280" s="97">
        <v>5</v>
      </c>
      <c r="K1280" s="97">
        <f t="shared" si="19"/>
        <v>795</v>
      </c>
      <c r="L1280" s="97">
        <f>_xlfn.XLOOKUP(E1280,Emp_Data!$B$2:$B$9,Emp_Data!$A$2:$A$9)</f>
        <v>2</v>
      </c>
    </row>
    <row r="1281" spans="1:12">
      <c r="A1281" s="99">
        <v>364</v>
      </c>
      <c r="B1281" s="101">
        <v>44308</v>
      </c>
      <c r="C1281" s="96">
        <v>16</v>
      </c>
      <c r="D1281" s="104" t="s">
        <v>37</v>
      </c>
      <c r="E1281" s="97" t="s">
        <v>8</v>
      </c>
      <c r="F1281" s="97" t="str">
        <f>VLOOKUP(E1281,Emp_Data!$B$2:$C$9,2,)</f>
        <v>Jeff</v>
      </c>
      <c r="G1281" s="97" t="s">
        <v>9</v>
      </c>
      <c r="H1281" s="97" t="s">
        <v>42</v>
      </c>
      <c r="I1281" s="97">
        <v>159</v>
      </c>
      <c r="J1281" s="97">
        <v>9</v>
      </c>
      <c r="K1281" s="97">
        <f t="shared" si="19"/>
        <v>1431</v>
      </c>
      <c r="L1281" s="97">
        <f>_xlfn.XLOOKUP(E1281,Emp_Data!$B$2:$B$9,Emp_Data!$A$2:$A$9)</f>
        <v>3</v>
      </c>
    </row>
    <row r="1282" spans="1:12">
      <c r="A1282" s="99">
        <v>369</v>
      </c>
      <c r="B1282" s="101">
        <v>44310</v>
      </c>
      <c r="C1282" s="96">
        <v>6</v>
      </c>
      <c r="D1282" s="104" t="s">
        <v>10</v>
      </c>
      <c r="E1282" s="97" t="s">
        <v>11</v>
      </c>
      <c r="F1282" s="97" t="str">
        <f>VLOOKUP(E1282,Emp_Data!$B$2:$C$9,2,)</f>
        <v>Steve</v>
      </c>
      <c r="G1282" s="97" t="s">
        <v>12</v>
      </c>
      <c r="H1282" s="97" t="s">
        <v>42</v>
      </c>
      <c r="I1282" s="97">
        <v>159</v>
      </c>
      <c r="J1282" s="97">
        <v>7</v>
      </c>
      <c r="K1282" s="97">
        <f t="shared" si="19"/>
        <v>1113</v>
      </c>
      <c r="L1282" s="97">
        <f>_xlfn.XLOOKUP(E1282,Emp_Data!$B$2:$B$9,Emp_Data!$A$2:$A$9)</f>
        <v>4</v>
      </c>
    </row>
    <row r="1283" spans="1:12">
      <c r="A1283" s="99">
        <v>371</v>
      </c>
      <c r="B1283" s="101">
        <v>44310</v>
      </c>
      <c r="C1283" s="96">
        <v>18</v>
      </c>
      <c r="D1283" s="104" t="s">
        <v>30</v>
      </c>
      <c r="E1283" s="97" t="s">
        <v>8</v>
      </c>
      <c r="F1283" s="97" t="str">
        <f>VLOOKUP(E1283,Emp_Data!$B$2:$C$9,2,)</f>
        <v>Jeff</v>
      </c>
      <c r="G1283" s="97" t="s">
        <v>9</v>
      </c>
      <c r="H1283" s="97" t="s">
        <v>42</v>
      </c>
      <c r="I1283" s="97">
        <v>159</v>
      </c>
      <c r="J1283" s="97">
        <v>8</v>
      </c>
      <c r="K1283" s="97">
        <f t="shared" ref="K1283:K1346" si="20">SUMPRODUCT(I1283,J1283)</f>
        <v>1272</v>
      </c>
      <c r="L1283" s="97">
        <f>_xlfn.XLOOKUP(E1283,Emp_Data!$B$2:$B$9,Emp_Data!$A$2:$A$9)</f>
        <v>3</v>
      </c>
    </row>
    <row r="1284" spans="1:12">
      <c r="A1284" s="99">
        <v>375</v>
      </c>
      <c r="B1284" s="101">
        <v>44311</v>
      </c>
      <c r="C1284" s="96">
        <v>15</v>
      </c>
      <c r="D1284" s="104" t="s">
        <v>29</v>
      </c>
      <c r="E1284" s="97" t="s">
        <v>24</v>
      </c>
      <c r="F1284" s="97" t="str">
        <f>VLOOKUP(E1284,Emp_Data!$B$2:$C$9,2,)</f>
        <v>Steve</v>
      </c>
      <c r="G1284" s="97" t="s">
        <v>19</v>
      </c>
      <c r="H1284" s="97" t="s">
        <v>42</v>
      </c>
      <c r="I1284" s="97">
        <v>159</v>
      </c>
      <c r="J1284" s="97">
        <v>4</v>
      </c>
      <c r="K1284" s="97">
        <f t="shared" si="20"/>
        <v>636</v>
      </c>
      <c r="L1284" s="97">
        <f>_xlfn.XLOOKUP(E1284,Emp_Data!$B$2:$B$9,Emp_Data!$A$2:$A$9)</f>
        <v>6</v>
      </c>
    </row>
    <row r="1285" spans="1:12">
      <c r="A1285" s="99">
        <v>379</v>
      </c>
      <c r="B1285" s="101">
        <v>44311</v>
      </c>
      <c r="C1285" s="96">
        <v>15</v>
      </c>
      <c r="D1285" s="104" t="s">
        <v>29</v>
      </c>
      <c r="E1285" s="97" t="s">
        <v>18</v>
      </c>
      <c r="F1285" s="97" t="str">
        <f>VLOOKUP(E1285,Emp_Data!$B$2:$C$9,2,)</f>
        <v>Sara</v>
      </c>
      <c r="G1285" s="97" t="s">
        <v>19</v>
      </c>
      <c r="H1285" s="97" t="s">
        <v>42</v>
      </c>
      <c r="I1285" s="97">
        <v>159</v>
      </c>
      <c r="J1285" s="97">
        <v>0</v>
      </c>
      <c r="K1285" s="97">
        <f t="shared" si="20"/>
        <v>0</v>
      </c>
      <c r="L1285" s="97">
        <f>_xlfn.XLOOKUP(E1285,Emp_Data!$B$2:$B$9,Emp_Data!$A$2:$A$9)</f>
        <v>5</v>
      </c>
    </row>
    <row r="1286" spans="1:12">
      <c r="A1286" s="99">
        <v>380</v>
      </c>
      <c r="B1286" s="101">
        <v>44312</v>
      </c>
      <c r="C1286" s="96">
        <v>19</v>
      </c>
      <c r="D1286" s="104" t="s">
        <v>22</v>
      </c>
      <c r="E1286" s="97" t="s">
        <v>8</v>
      </c>
      <c r="F1286" s="97" t="str">
        <f>VLOOKUP(E1286,Emp_Data!$B$2:$C$9,2,)</f>
        <v>Jeff</v>
      </c>
      <c r="G1286" s="97" t="s">
        <v>9</v>
      </c>
      <c r="H1286" s="97" t="s">
        <v>42</v>
      </c>
      <c r="I1286" s="97">
        <v>159</v>
      </c>
      <c r="J1286" s="97">
        <v>5</v>
      </c>
      <c r="K1286" s="97">
        <f t="shared" si="20"/>
        <v>795</v>
      </c>
      <c r="L1286" s="97">
        <f>_xlfn.XLOOKUP(E1286,Emp_Data!$B$2:$B$9,Emp_Data!$A$2:$A$9)</f>
        <v>3</v>
      </c>
    </row>
    <row r="1287" spans="1:12">
      <c r="A1287" s="99">
        <v>383</v>
      </c>
      <c r="B1287" s="101">
        <v>44314</v>
      </c>
      <c r="C1287" s="96">
        <v>2</v>
      </c>
      <c r="D1287" s="104" t="s">
        <v>35</v>
      </c>
      <c r="E1287" s="97" t="s">
        <v>14</v>
      </c>
      <c r="F1287" s="97" t="str">
        <f>VLOOKUP(E1287,Emp_Data!$B$2:$C$9,2,)</f>
        <v>Jeff</v>
      </c>
      <c r="G1287" s="97" t="s">
        <v>15</v>
      </c>
      <c r="H1287" s="97" t="s">
        <v>42</v>
      </c>
      <c r="I1287" s="97">
        <v>159</v>
      </c>
      <c r="J1287" s="97">
        <v>7</v>
      </c>
      <c r="K1287" s="97">
        <f t="shared" si="20"/>
        <v>1113</v>
      </c>
      <c r="L1287" s="97">
        <f>_xlfn.XLOOKUP(E1287,Emp_Data!$B$2:$B$9,Emp_Data!$A$2:$A$9)</f>
        <v>2</v>
      </c>
    </row>
    <row r="1288" spans="1:12">
      <c r="A1288" s="99">
        <v>384</v>
      </c>
      <c r="B1288" s="101">
        <v>44314</v>
      </c>
      <c r="C1288" s="96">
        <v>1</v>
      </c>
      <c r="D1288" s="104" t="s">
        <v>31</v>
      </c>
      <c r="E1288" s="97" t="s">
        <v>21</v>
      </c>
      <c r="F1288" s="97" t="str">
        <f>VLOOKUP(E1288,Emp_Data!$B$2:$C$9,2,)</f>
        <v>Sara</v>
      </c>
      <c r="G1288" s="97" t="s">
        <v>15</v>
      </c>
      <c r="H1288" s="97" t="s">
        <v>42</v>
      </c>
      <c r="I1288" s="97">
        <v>159</v>
      </c>
      <c r="J1288" s="97">
        <v>5</v>
      </c>
      <c r="K1288" s="97">
        <f t="shared" si="20"/>
        <v>795</v>
      </c>
      <c r="L1288" s="97">
        <f>_xlfn.XLOOKUP(E1288,Emp_Data!$B$2:$B$9,Emp_Data!$A$2:$A$9)</f>
        <v>2</v>
      </c>
    </row>
    <row r="1289" spans="1:12">
      <c r="A1289" s="99">
        <v>387</v>
      </c>
      <c r="B1289" s="101">
        <v>44314</v>
      </c>
      <c r="C1289" s="96">
        <v>9</v>
      </c>
      <c r="D1289" s="104" t="s">
        <v>26</v>
      </c>
      <c r="E1289" s="97" t="s">
        <v>11</v>
      </c>
      <c r="F1289" s="97" t="str">
        <f>VLOOKUP(E1289,Emp_Data!$B$2:$C$9,2,)</f>
        <v>Steve</v>
      </c>
      <c r="G1289" s="97" t="s">
        <v>12</v>
      </c>
      <c r="H1289" s="97" t="s">
        <v>42</v>
      </c>
      <c r="I1289" s="97">
        <v>159</v>
      </c>
      <c r="J1289" s="97">
        <v>8</v>
      </c>
      <c r="K1289" s="97">
        <f t="shared" si="20"/>
        <v>1272</v>
      </c>
      <c r="L1289" s="97">
        <f>_xlfn.XLOOKUP(E1289,Emp_Data!$B$2:$B$9,Emp_Data!$A$2:$A$9)</f>
        <v>4</v>
      </c>
    </row>
    <row r="1290" spans="1:12">
      <c r="A1290" s="99">
        <v>396</v>
      </c>
      <c r="B1290" s="101">
        <v>44318</v>
      </c>
      <c r="C1290" s="96">
        <v>14</v>
      </c>
      <c r="D1290" s="104" t="s">
        <v>33</v>
      </c>
      <c r="E1290" s="97" t="s">
        <v>24</v>
      </c>
      <c r="F1290" s="97" t="str">
        <f>VLOOKUP(E1290,Emp_Data!$B$2:$C$9,2,)</f>
        <v>Steve</v>
      </c>
      <c r="G1290" s="97" t="s">
        <v>19</v>
      </c>
      <c r="H1290" s="97" t="s">
        <v>42</v>
      </c>
      <c r="I1290" s="97">
        <v>159</v>
      </c>
      <c r="J1290" s="97">
        <v>5</v>
      </c>
      <c r="K1290" s="97">
        <f t="shared" si="20"/>
        <v>795</v>
      </c>
      <c r="L1290" s="97">
        <f>_xlfn.XLOOKUP(E1290,Emp_Data!$B$2:$B$9,Emp_Data!$A$2:$A$9)</f>
        <v>6</v>
      </c>
    </row>
    <row r="1291" spans="1:12">
      <c r="A1291" s="99">
        <v>398</v>
      </c>
      <c r="B1291" s="101">
        <v>44319</v>
      </c>
      <c r="C1291" s="96">
        <v>18</v>
      </c>
      <c r="D1291" s="104" t="s">
        <v>30</v>
      </c>
      <c r="E1291" s="97" t="s">
        <v>8</v>
      </c>
      <c r="F1291" s="97" t="str">
        <f>VLOOKUP(E1291,Emp_Data!$B$2:$C$9,2,)</f>
        <v>Jeff</v>
      </c>
      <c r="G1291" s="97" t="s">
        <v>9</v>
      </c>
      <c r="H1291" s="97" t="s">
        <v>42</v>
      </c>
      <c r="I1291" s="97">
        <v>159</v>
      </c>
      <c r="J1291" s="97">
        <v>0</v>
      </c>
      <c r="K1291" s="97">
        <f t="shared" si="20"/>
        <v>0</v>
      </c>
      <c r="L1291" s="97">
        <f>_xlfn.XLOOKUP(E1291,Emp_Data!$B$2:$B$9,Emp_Data!$A$2:$A$9)</f>
        <v>3</v>
      </c>
    </row>
    <row r="1292" spans="1:12">
      <c r="A1292" s="99">
        <v>404</v>
      </c>
      <c r="B1292" s="101">
        <v>44322</v>
      </c>
      <c r="C1292" s="96">
        <v>5</v>
      </c>
      <c r="D1292" s="104" t="s">
        <v>16</v>
      </c>
      <c r="E1292" s="97" t="s">
        <v>14</v>
      </c>
      <c r="F1292" s="97" t="str">
        <f>VLOOKUP(E1292,Emp_Data!$B$2:$C$9,2,)</f>
        <v>Jeff</v>
      </c>
      <c r="G1292" s="97" t="s">
        <v>15</v>
      </c>
      <c r="H1292" s="97" t="s">
        <v>42</v>
      </c>
      <c r="I1292" s="97">
        <v>159</v>
      </c>
      <c r="J1292" s="97">
        <v>9</v>
      </c>
      <c r="K1292" s="97">
        <f t="shared" si="20"/>
        <v>1431</v>
      </c>
      <c r="L1292" s="97">
        <f>_xlfn.XLOOKUP(E1292,Emp_Data!$B$2:$B$9,Emp_Data!$A$2:$A$9)</f>
        <v>2</v>
      </c>
    </row>
    <row r="1293" spans="1:12">
      <c r="A1293" s="99">
        <v>405</v>
      </c>
      <c r="B1293" s="101">
        <v>44322</v>
      </c>
      <c r="C1293" s="96">
        <v>1</v>
      </c>
      <c r="D1293" s="104" t="s">
        <v>31</v>
      </c>
      <c r="E1293" s="97" t="s">
        <v>14</v>
      </c>
      <c r="F1293" s="97" t="str">
        <f>VLOOKUP(E1293,Emp_Data!$B$2:$C$9,2,)</f>
        <v>Jeff</v>
      </c>
      <c r="G1293" s="97" t="s">
        <v>15</v>
      </c>
      <c r="H1293" s="97" t="s">
        <v>42</v>
      </c>
      <c r="I1293" s="97">
        <v>159</v>
      </c>
      <c r="J1293" s="97">
        <v>5</v>
      </c>
      <c r="K1293" s="97">
        <f t="shared" si="20"/>
        <v>795</v>
      </c>
      <c r="L1293" s="97">
        <f>_xlfn.XLOOKUP(E1293,Emp_Data!$B$2:$B$9,Emp_Data!$A$2:$A$9)</f>
        <v>2</v>
      </c>
    </row>
    <row r="1294" spans="1:12">
      <c r="A1294" s="99">
        <v>406</v>
      </c>
      <c r="B1294" s="101">
        <v>44322</v>
      </c>
      <c r="C1294" s="96">
        <v>6</v>
      </c>
      <c r="D1294" s="104" t="s">
        <v>10</v>
      </c>
      <c r="E1294" s="97" t="s">
        <v>11</v>
      </c>
      <c r="F1294" s="97" t="str">
        <f>VLOOKUP(E1294,Emp_Data!$B$2:$C$9,2,)</f>
        <v>Steve</v>
      </c>
      <c r="G1294" s="97" t="s">
        <v>12</v>
      </c>
      <c r="H1294" s="97" t="s">
        <v>42</v>
      </c>
      <c r="I1294" s="97">
        <v>159</v>
      </c>
      <c r="J1294" s="97">
        <v>8</v>
      </c>
      <c r="K1294" s="97">
        <f t="shared" si="20"/>
        <v>1272</v>
      </c>
      <c r="L1294" s="97">
        <f>_xlfn.XLOOKUP(E1294,Emp_Data!$B$2:$B$9,Emp_Data!$A$2:$A$9)</f>
        <v>4</v>
      </c>
    </row>
    <row r="1295" spans="1:12">
      <c r="A1295" s="99">
        <v>410</v>
      </c>
      <c r="B1295" s="101">
        <v>44322</v>
      </c>
      <c r="C1295" s="96">
        <v>16</v>
      </c>
      <c r="D1295" s="104" t="s">
        <v>37</v>
      </c>
      <c r="E1295" s="97" t="s">
        <v>8</v>
      </c>
      <c r="F1295" s="97" t="str">
        <f>VLOOKUP(E1295,Emp_Data!$B$2:$C$9,2,)</f>
        <v>Jeff</v>
      </c>
      <c r="G1295" s="97" t="s">
        <v>9</v>
      </c>
      <c r="H1295" s="97" t="s">
        <v>42</v>
      </c>
      <c r="I1295" s="97">
        <v>159</v>
      </c>
      <c r="J1295" s="97">
        <v>4</v>
      </c>
      <c r="K1295" s="97">
        <f t="shared" si="20"/>
        <v>636</v>
      </c>
      <c r="L1295" s="97">
        <f>_xlfn.XLOOKUP(E1295,Emp_Data!$B$2:$B$9,Emp_Data!$A$2:$A$9)</f>
        <v>3</v>
      </c>
    </row>
    <row r="1296" spans="1:12">
      <c r="A1296" s="99">
        <v>411</v>
      </c>
      <c r="B1296" s="101">
        <v>44322</v>
      </c>
      <c r="C1296" s="96">
        <v>8</v>
      </c>
      <c r="D1296" s="104" t="s">
        <v>36</v>
      </c>
      <c r="E1296" s="97" t="s">
        <v>11</v>
      </c>
      <c r="F1296" s="97" t="str">
        <f>VLOOKUP(E1296,Emp_Data!$B$2:$C$9,2,)</f>
        <v>Steve</v>
      </c>
      <c r="G1296" s="97" t="s">
        <v>12</v>
      </c>
      <c r="H1296" s="97" t="s">
        <v>42</v>
      </c>
      <c r="I1296" s="97">
        <v>159</v>
      </c>
      <c r="J1296" s="97">
        <v>4</v>
      </c>
      <c r="K1296" s="97">
        <f t="shared" si="20"/>
        <v>636</v>
      </c>
      <c r="L1296" s="97">
        <f>_xlfn.XLOOKUP(E1296,Emp_Data!$B$2:$B$9,Emp_Data!$A$2:$A$9)</f>
        <v>4</v>
      </c>
    </row>
    <row r="1297" spans="1:12">
      <c r="A1297" s="99">
        <v>415</v>
      </c>
      <c r="B1297" s="101">
        <v>44324</v>
      </c>
      <c r="C1297" s="96">
        <v>17</v>
      </c>
      <c r="D1297" s="104" t="s">
        <v>32</v>
      </c>
      <c r="E1297" s="97" t="s">
        <v>8</v>
      </c>
      <c r="F1297" s="97" t="str">
        <f>VLOOKUP(E1297,Emp_Data!$B$2:$C$9,2,)</f>
        <v>Jeff</v>
      </c>
      <c r="G1297" s="97" t="s">
        <v>9</v>
      </c>
      <c r="H1297" s="97" t="s">
        <v>42</v>
      </c>
      <c r="I1297" s="97">
        <v>159</v>
      </c>
      <c r="J1297" s="97">
        <v>7</v>
      </c>
      <c r="K1297" s="97">
        <f t="shared" si="20"/>
        <v>1113</v>
      </c>
      <c r="L1297" s="97">
        <f>_xlfn.XLOOKUP(E1297,Emp_Data!$B$2:$B$9,Emp_Data!$A$2:$A$9)</f>
        <v>3</v>
      </c>
    </row>
    <row r="1298" spans="1:12">
      <c r="A1298" s="99">
        <v>418</v>
      </c>
      <c r="B1298" s="101">
        <v>44326</v>
      </c>
      <c r="C1298" s="96">
        <v>6</v>
      </c>
      <c r="D1298" s="104" t="s">
        <v>10</v>
      </c>
      <c r="E1298" s="97" t="s">
        <v>11</v>
      </c>
      <c r="F1298" s="97" t="str">
        <f>VLOOKUP(E1298,Emp_Data!$B$2:$C$9,2,)</f>
        <v>Steve</v>
      </c>
      <c r="G1298" s="97" t="s">
        <v>12</v>
      </c>
      <c r="H1298" s="97" t="s">
        <v>42</v>
      </c>
      <c r="I1298" s="97">
        <v>159</v>
      </c>
      <c r="J1298" s="97">
        <v>9</v>
      </c>
      <c r="K1298" s="97">
        <f t="shared" si="20"/>
        <v>1431</v>
      </c>
      <c r="L1298" s="97">
        <f>_xlfn.XLOOKUP(E1298,Emp_Data!$B$2:$B$9,Emp_Data!$A$2:$A$9)</f>
        <v>4</v>
      </c>
    </row>
    <row r="1299" spans="1:12">
      <c r="A1299" s="99">
        <v>420</v>
      </c>
      <c r="B1299" s="101">
        <v>44327</v>
      </c>
      <c r="C1299" s="96">
        <v>18</v>
      </c>
      <c r="D1299" s="104" t="s">
        <v>30</v>
      </c>
      <c r="E1299" s="97" t="s">
        <v>8</v>
      </c>
      <c r="F1299" s="97" t="str">
        <f>VLOOKUP(E1299,Emp_Data!$B$2:$C$9,2,)</f>
        <v>Jeff</v>
      </c>
      <c r="G1299" s="97" t="s">
        <v>9</v>
      </c>
      <c r="H1299" s="97" t="s">
        <v>42</v>
      </c>
      <c r="I1299" s="97">
        <v>159</v>
      </c>
      <c r="J1299" s="97">
        <v>9</v>
      </c>
      <c r="K1299" s="97">
        <f t="shared" si="20"/>
        <v>1431</v>
      </c>
      <c r="L1299" s="97">
        <f>_xlfn.XLOOKUP(E1299,Emp_Data!$B$2:$B$9,Emp_Data!$A$2:$A$9)</f>
        <v>3</v>
      </c>
    </row>
    <row r="1300" spans="1:12">
      <c r="A1300" s="99">
        <v>421</v>
      </c>
      <c r="B1300" s="101">
        <v>44327</v>
      </c>
      <c r="C1300" s="96">
        <v>6</v>
      </c>
      <c r="D1300" s="104" t="s">
        <v>10</v>
      </c>
      <c r="E1300" s="97" t="s">
        <v>11</v>
      </c>
      <c r="F1300" s="97" t="str">
        <f>VLOOKUP(E1300,Emp_Data!$B$2:$C$9,2,)</f>
        <v>Steve</v>
      </c>
      <c r="G1300" s="97" t="s">
        <v>12</v>
      </c>
      <c r="H1300" s="97" t="s">
        <v>42</v>
      </c>
      <c r="I1300" s="97">
        <v>159</v>
      </c>
      <c r="J1300" s="97">
        <v>4</v>
      </c>
      <c r="K1300" s="97">
        <f t="shared" si="20"/>
        <v>636</v>
      </c>
      <c r="L1300" s="97">
        <f>_xlfn.XLOOKUP(E1300,Emp_Data!$B$2:$B$9,Emp_Data!$A$2:$A$9)</f>
        <v>4</v>
      </c>
    </row>
    <row r="1301" spans="1:12">
      <c r="A1301" s="99">
        <v>422</v>
      </c>
      <c r="B1301" s="101">
        <v>44328</v>
      </c>
      <c r="C1301" s="96">
        <v>4</v>
      </c>
      <c r="D1301" s="104" t="s">
        <v>13</v>
      </c>
      <c r="E1301" s="97" t="s">
        <v>21</v>
      </c>
      <c r="F1301" s="97" t="str">
        <f>VLOOKUP(E1301,Emp_Data!$B$2:$C$9,2,)</f>
        <v>Sara</v>
      </c>
      <c r="G1301" s="97" t="s">
        <v>15</v>
      </c>
      <c r="H1301" s="97" t="s">
        <v>42</v>
      </c>
      <c r="I1301" s="97">
        <v>159</v>
      </c>
      <c r="J1301" s="97">
        <v>9</v>
      </c>
      <c r="K1301" s="97">
        <f t="shared" si="20"/>
        <v>1431</v>
      </c>
      <c r="L1301" s="97">
        <f>_xlfn.XLOOKUP(E1301,Emp_Data!$B$2:$B$9,Emp_Data!$A$2:$A$9)</f>
        <v>2</v>
      </c>
    </row>
    <row r="1302" spans="1:12">
      <c r="A1302" s="99">
        <v>439</v>
      </c>
      <c r="B1302" s="101">
        <v>44331</v>
      </c>
      <c r="C1302" s="96">
        <v>16</v>
      </c>
      <c r="D1302" s="104" t="s">
        <v>37</v>
      </c>
      <c r="E1302" s="97" t="s">
        <v>8</v>
      </c>
      <c r="F1302" s="97" t="str">
        <f>VLOOKUP(E1302,Emp_Data!$B$2:$C$9,2,)</f>
        <v>Jeff</v>
      </c>
      <c r="G1302" s="97" t="s">
        <v>9</v>
      </c>
      <c r="H1302" s="97" t="s">
        <v>42</v>
      </c>
      <c r="I1302" s="97">
        <v>159</v>
      </c>
      <c r="J1302" s="97">
        <v>1</v>
      </c>
      <c r="K1302" s="97">
        <f t="shared" si="20"/>
        <v>159</v>
      </c>
      <c r="L1302" s="97">
        <f>_xlfn.XLOOKUP(E1302,Emp_Data!$B$2:$B$9,Emp_Data!$A$2:$A$9)</f>
        <v>3</v>
      </c>
    </row>
    <row r="1303" spans="1:12">
      <c r="A1303" s="99">
        <v>448</v>
      </c>
      <c r="B1303" s="101">
        <v>44332</v>
      </c>
      <c r="C1303" s="96">
        <v>10</v>
      </c>
      <c r="D1303" s="104" t="s">
        <v>34</v>
      </c>
      <c r="E1303" s="97" t="s">
        <v>27</v>
      </c>
      <c r="F1303" s="97" t="str">
        <f>VLOOKUP(E1303,Emp_Data!$B$2:$C$9,2,)</f>
        <v>Philip</v>
      </c>
      <c r="G1303" s="97" t="s">
        <v>12</v>
      </c>
      <c r="H1303" s="97" t="s">
        <v>42</v>
      </c>
      <c r="I1303" s="97">
        <v>159</v>
      </c>
      <c r="J1303" s="97">
        <v>1</v>
      </c>
      <c r="K1303" s="97">
        <f t="shared" si="20"/>
        <v>159</v>
      </c>
      <c r="L1303" s="97">
        <f>_xlfn.XLOOKUP(E1303,Emp_Data!$B$2:$B$9,Emp_Data!$A$2:$A$9)</f>
        <v>8</v>
      </c>
    </row>
    <row r="1304" spans="1:12">
      <c r="A1304" s="99">
        <v>454</v>
      </c>
      <c r="B1304" s="101">
        <v>44332</v>
      </c>
      <c r="C1304" s="96">
        <v>13</v>
      </c>
      <c r="D1304" s="104" t="s">
        <v>23</v>
      </c>
      <c r="E1304" s="97" t="s">
        <v>18</v>
      </c>
      <c r="F1304" s="97" t="str">
        <f>VLOOKUP(E1304,Emp_Data!$B$2:$C$9,2,)</f>
        <v>Sara</v>
      </c>
      <c r="G1304" s="97" t="s">
        <v>19</v>
      </c>
      <c r="H1304" s="97" t="s">
        <v>42</v>
      </c>
      <c r="I1304" s="97">
        <v>159</v>
      </c>
      <c r="J1304" s="97">
        <v>8</v>
      </c>
      <c r="K1304" s="97">
        <f t="shared" si="20"/>
        <v>1272</v>
      </c>
      <c r="L1304" s="97">
        <f>_xlfn.XLOOKUP(E1304,Emp_Data!$B$2:$B$9,Emp_Data!$A$2:$A$9)</f>
        <v>5</v>
      </c>
    </row>
    <row r="1305" spans="1:12">
      <c r="A1305" s="99">
        <v>457</v>
      </c>
      <c r="B1305" s="101">
        <v>44333</v>
      </c>
      <c r="C1305" s="96">
        <v>3</v>
      </c>
      <c r="D1305" s="104" t="s">
        <v>20</v>
      </c>
      <c r="E1305" s="97" t="s">
        <v>14</v>
      </c>
      <c r="F1305" s="97" t="str">
        <f>VLOOKUP(E1305,Emp_Data!$B$2:$C$9,2,)</f>
        <v>Jeff</v>
      </c>
      <c r="G1305" s="97" t="s">
        <v>15</v>
      </c>
      <c r="H1305" s="97" t="s">
        <v>42</v>
      </c>
      <c r="I1305" s="97">
        <v>159</v>
      </c>
      <c r="J1305" s="97">
        <v>9</v>
      </c>
      <c r="K1305" s="97">
        <f t="shared" si="20"/>
        <v>1431</v>
      </c>
      <c r="L1305" s="97">
        <f>_xlfn.XLOOKUP(E1305,Emp_Data!$B$2:$B$9,Emp_Data!$A$2:$A$9)</f>
        <v>2</v>
      </c>
    </row>
    <row r="1306" spans="1:12">
      <c r="A1306" s="99">
        <v>459</v>
      </c>
      <c r="B1306" s="101">
        <v>44333</v>
      </c>
      <c r="C1306" s="96">
        <v>5</v>
      </c>
      <c r="D1306" s="104" t="s">
        <v>16</v>
      </c>
      <c r="E1306" s="97" t="s">
        <v>21</v>
      </c>
      <c r="F1306" s="97" t="str">
        <f>VLOOKUP(E1306,Emp_Data!$B$2:$C$9,2,)</f>
        <v>Sara</v>
      </c>
      <c r="G1306" s="97" t="s">
        <v>15</v>
      </c>
      <c r="H1306" s="97" t="s">
        <v>42</v>
      </c>
      <c r="I1306" s="97">
        <v>159</v>
      </c>
      <c r="J1306" s="97">
        <v>1</v>
      </c>
      <c r="K1306" s="97">
        <f t="shared" si="20"/>
        <v>159</v>
      </c>
      <c r="L1306" s="97">
        <f>_xlfn.XLOOKUP(E1306,Emp_Data!$B$2:$B$9,Emp_Data!$A$2:$A$9)</f>
        <v>2</v>
      </c>
    </row>
    <row r="1307" spans="1:12">
      <c r="A1307" s="99">
        <v>460</v>
      </c>
      <c r="B1307" s="101">
        <v>44334</v>
      </c>
      <c r="C1307" s="96">
        <v>11</v>
      </c>
      <c r="D1307" s="104" t="s">
        <v>38</v>
      </c>
      <c r="E1307" s="97" t="s">
        <v>24</v>
      </c>
      <c r="F1307" s="97" t="str">
        <f>VLOOKUP(E1307,Emp_Data!$B$2:$C$9,2,)</f>
        <v>Steve</v>
      </c>
      <c r="G1307" s="97" t="s">
        <v>19</v>
      </c>
      <c r="H1307" s="97" t="s">
        <v>42</v>
      </c>
      <c r="I1307" s="97">
        <v>159</v>
      </c>
      <c r="J1307" s="97">
        <v>4</v>
      </c>
      <c r="K1307" s="97">
        <f t="shared" si="20"/>
        <v>636</v>
      </c>
      <c r="L1307" s="97">
        <f>_xlfn.XLOOKUP(E1307,Emp_Data!$B$2:$B$9,Emp_Data!$A$2:$A$9)</f>
        <v>6</v>
      </c>
    </row>
    <row r="1308" spans="1:12">
      <c r="A1308" s="99">
        <v>465</v>
      </c>
      <c r="B1308" s="101">
        <v>44335</v>
      </c>
      <c r="C1308" s="96">
        <v>11</v>
      </c>
      <c r="D1308" s="104" t="s">
        <v>38</v>
      </c>
      <c r="E1308" s="97" t="s">
        <v>24</v>
      </c>
      <c r="F1308" s="97" t="str">
        <f>VLOOKUP(E1308,Emp_Data!$B$2:$C$9,2,)</f>
        <v>Steve</v>
      </c>
      <c r="G1308" s="97" t="s">
        <v>19</v>
      </c>
      <c r="H1308" s="97" t="s">
        <v>42</v>
      </c>
      <c r="I1308" s="97">
        <v>159</v>
      </c>
      <c r="J1308" s="97">
        <v>9</v>
      </c>
      <c r="K1308" s="97">
        <f t="shared" si="20"/>
        <v>1431</v>
      </c>
      <c r="L1308" s="97">
        <f>_xlfn.XLOOKUP(E1308,Emp_Data!$B$2:$B$9,Emp_Data!$A$2:$A$9)</f>
        <v>6</v>
      </c>
    </row>
    <row r="1309" spans="1:12">
      <c r="A1309" s="99">
        <v>466</v>
      </c>
      <c r="B1309" s="101">
        <v>44335</v>
      </c>
      <c r="C1309" s="96">
        <v>2</v>
      </c>
      <c r="D1309" s="104" t="s">
        <v>35</v>
      </c>
      <c r="E1309" s="97" t="s">
        <v>14</v>
      </c>
      <c r="F1309" s="97" t="str">
        <f>VLOOKUP(E1309,Emp_Data!$B$2:$C$9,2,)</f>
        <v>Jeff</v>
      </c>
      <c r="G1309" s="97" t="s">
        <v>15</v>
      </c>
      <c r="H1309" s="97" t="s">
        <v>42</v>
      </c>
      <c r="I1309" s="97">
        <v>159</v>
      </c>
      <c r="J1309" s="97">
        <v>3</v>
      </c>
      <c r="K1309" s="97">
        <f t="shared" si="20"/>
        <v>477</v>
      </c>
      <c r="L1309" s="97">
        <f>_xlfn.XLOOKUP(E1309,Emp_Data!$B$2:$B$9,Emp_Data!$A$2:$A$9)</f>
        <v>2</v>
      </c>
    </row>
    <row r="1310" spans="1:12">
      <c r="A1310" s="99">
        <v>468</v>
      </c>
      <c r="B1310" s="101">
        <v>44335</v>
      </c>
      <c r="C1310" s="96">
        <v>18</v>
      </c>
      <c r="D1310" s="104" t="s">
        <v>30</v>
      </c>
      <c r="E1310" s="97" t="s">
        <v>8</v>
      </c>
      <c r="F1310" s="97" t="str">
        <f>VLOOKUP(E1310,Emp_Data!$B$2:$C$9,2,)</f>
        <v>Jeff</v>
      </c>
      <c r="G1310" s="97" t="s">
        <v>9</v>
      </c>
      <c r="H1310" s="97" t="s">
        <v>42</v>
      </c>
      <c r="I1310" s="97">
        <v>159</v>
      </c>
      <c r="J1310" s="97">
        <v>9</v>
      </c>
      <c r="K1310" s="97">
        <f t="shared" si="20"/>
        <v>1431</v>
      </c>
      <c r="L1310" s="97">
        <f>_xlfn.XLOOKUP(E1310,Emp_Data!$B$2:$B$9,Emp_Data!$A$2:$A$9)</f>
        <v>3</v>
      </c>
    </row>
    <row r="1311" spans="1:12">
      <c r="A1311" s="99">
        <v>476</v>
      </c>
      <c r="B1311" s="101">
        <v>44339</v>
      </c>
      <c r="C1311" s="96">
        <v>8</v>
      </c>
      <c r="D1311" s="104" t="s">
        <v>36</v>
      </c>
      <c r="E1311" s="97" t="s">
        <v>27</v>
      </c>
      <c r="F1311" s="97" t="str">
        <f>VLOOKUP(E1311,Emp_Data!$B$2:$C$9,2,)</f>
        <v>Philip</v>
      </c>
      <c r="G1311" s="97" t="s">
        <v>12</v>
      </c>
      <c r="H1311" s="97" t="s">
        <v>42</v>
      </c>
      <c r="I1311" s="97">
        <v>159</v>
      </c>
      <c r="J1311" s="97">
        <v>3</v>
      </c>
      <c r="K1311" s="97">
        <f t="shared" si="20"/>
        <v>477</v>
      </c>
      <c r="L1311" s="97">
        <f>_xlfn.XLOOKUP(E1311,Emp_Data!$B$2:$B$9,Emp_Data!$A$2:$A$9)</f>
        <v>8</v>
      </c>
    </row>
    <row r="1312" spans="1:12">
      <c r="A1312" s="99">
        <v>478</v>
      </c>
      <c r="B1312" s="101">
        <v>44339</v>
      </c>
      <c r="C1312" s="96">
        <v>6</v>
      </c>
      <c r="D1312" s="104" t="s">
        <v>10</v>
      </c>
      <c r="E1312" s="97" t="s">
        <v>27</v>
      </c>
      <c r="F1312" s="97" t="str">
        <f>VLOOKUP(E1312,Emp_Data!$B$2:$C$9,2,)</f>
        <v>Philip</v>
      </c>
      <c r="G1312" s="97" t="s">
        <v>12</v>
      </c>
      <c r="H1312" s="97" t="s">
        <v>42</v>
      </c>
      <c r="I1312" s="97">
        <v>159</v>
      </c>
      <c r="J1312" s="97">
        <v>3</v>
      </c>
      <c r="K1312" s="97">
        <f t="shared" si="20"/>
        <v>477</v>
      </c>
      <c r="L1312" s="97">
        <f>_xlfn.XLOOKUP(E1312,Emp_Data!$B$2:$B$9,Emp_Data!$A$2:$A$9)</f>
        <v>8</v>
      </c>
    </row>
    <row r="1313" spans="1:12">
      <c r="A1313" s="99">
        <v>479</v>
      </c>
      <c r="B1313" s="101">
        <v>44339</v>
      </c>
      <c r="C1313" s="96">
        <v>7</v>
      </c>
      <c r="D1313" s="104" t="s">
        <v>28</v>
      </c>
      <c r="E1313" s="97" t="s">
        <v>27</v>
      </c>
      <c r="F1313" s="97" t="str">
        <f>VLOOKUP(E1313,Emp_Data!$B$2:$C$9,2,)</f>
        <v>Philip</v>
      </c>
      <c r="G1313" s="97" t="s">
        <v>12</v>
      </c>
      <c r="H1313" s="97" t="s">
        <v>42</v>
      </c>
      <c r="I1313" s="97">
        <v>159</v>
      </c>
      <c r="J1313" s="97">
        <v>2</v>
      </c>
      <c r="K1313" s="97">
        <f t="shared" si="20"/>
        <v>318</v>
      </c>
      <c r="L1313" s="97">
        <f>_xlfn.XLOOKUP(E1313,Emp_Data!$B$2:$B$9,Emp_Data!$A$2:$A$9)</f>
        <v>8</v>
      </c>
    </row>
    <row r="1314" spans="1:12">
      <c r="A1314" s="99">
        <v>486</v>
      </c>
      <c r="B1314" s="101">
        <v>44341</v>
      </c>
      <c r="C1314" s="96">
        <v>8</v>
      </c>
      <c r="D1314" s="104" t="s">
        <v>36</v>
      </c>
      <c r="E1314" s="97" t="s">
        <v>27</v>
      </c>
      <c r="F1314" s="97" t="str">
        <f>VLOOKUP(E1314,Emp_Data!$B$2:$C$9,2,)</f>
        <v>Philip</v>
      </c>
      <c r="G1314" s="97" t="s">
        <v>12</v>
      </c>
      <c r="H1314" s="97" t="s">
        <v>42</v>
      </c>
      <c r="I1314" s="97">
        <v>159</v>
      </c>
      <c r="J1314" s="97">
        <v>4</v>
      </c>
      <c r="K1314" s="97">
        <f t="shared" si="20"/>
        <v>636</v>
      </c>
      <c r="L1314" s="97">
        <f>_xlfn.XLOOKUP(E1314,Emp_Data!$B$2:$B$9,Emp_Data!$A$2:$A$9)</f>
        <v>8</v>
      </c>
    </row>
    <row r="1315" spans="1:12">
      <c r="A1315" s="99">
        <v>488</v>
      </c>
      <c r="B1315" s="101">
        <v>44341</v>
      </c>
      <c r="C1315" s="96">
        <v>20</v>
      </c>
      <c r="D1315" s="104" t="s">
        <v>7</v>
      </c>
      <c r="E1315" s="97" t="s">
        <v>25</v>
      </c>
      <c r="F1315" s="97" t="str">
        <f>VLOOKUP(E1315,Emp_Data!$B$2:$C$9,2,)</f>
        <v>Jeff</v>
      </c>
      <c r="G1315" s="97" t="s">
        <v>9</v>
      </c>
      <c r="H1315" s="97" t="s">
        <v>42</v>
      </c>
      <c r="I1315" s="97">
        <v>159</v>
      </c>
      <c r="J1315" s="97">
        <v>2</v>
      </c>
      <c r="K1315" s="97">
        <f t="shared" si="20"/>
        <v>318</v>
      </c>
      <c r="L1315" s="97">
        <f>_xlfn.XLOOKUP(E1315,Emp_Data!$B$2:$B$9,Emp_Data!$A$2:$A$9)</f>
        <v>5</v>
      </c>
    </row>
    <row r="1316" spans="1:12">
      <c r="A1316" s="99">
        <v>489</v>
      </c>
      <c r="B1316" s="101">
        <v>44341</v>
      </c>
      <c r="C1316" s="96">
        <v>13</v>
      </c>
      <c r="D1316" s="104" t="s">
        <v>23</v>
      </c>
      <c r="E1316" s="97" t="s">
        <v>18</v>
      </c>
      <c r="F1316" s="97" t="str">
        <f>VLOOKUP(E1316,Emp_Data!$B$2:$C$9,2,)</f>
        <v>Sara</v>
      </c>
      <c r="G1316" s="97" t="s">
        <v>19</v>
      </c>
      <c r="H1316" s="97" t="s">
        <v>42</v>
      </c>
      <c r="I1316" s="97">
        <v>159</v>
      </c>
      <c r="J1316" s="97">
        <v>7</v>
      </c>
      <c r="K1316" s="97">
        <f t="shared" si="20"/>
        <v>1113</v>
      </c>
      <c r="L1316" s="97">
        <f>_xlfn.XLOOKUP(E1316,Emp_Data!$B$2:$B$9,Emp_Data!$A$2:$A$9)</f>
        <v>5</v>
      </c>
    </row>
    <row r="1317" spans="1:12">
      <c r="A1317" s="99">
        <v>490</v>
      </c>
      <c r="B1317" s="101">
        <v>44341</v>
      </c>
      <c r="C1317" s="96">
        <v>13</v>
      </c>
      <c r="D1317" s="104" t="s">
        <v>23</v>
      </c>
      <c r="E1317" s="97" t="s">
        <v>18</v>
      </c>
      <c r="F1317" s="97" t="str">
        <f>VLOOKUP(E1317,Emp_Data!$B$2:$C$9,2,)</f>
        <v>Sara</v>
      </c>
      <c r="G1317" s="97" t="s">
        <v>19</v>
      </c>
      <c r="H1317" s="97" t="s">
        <v>42</v>
      </c>
      <c r="I1317" s="97">
        <v>159</v>
      </c>
      <c r="J1317" s="97">
        <v>4</v>
      </c>
      <c r="K1317" s="97">
        <f t="shared" si="20"/>
        <v>636</v>
      </c>
      <c r="L1317" s="97">
        <f>_xlfn.XLOOKUP(E1317,Emp_Data!$B$2:$B$9,Emp_Data!$A$2:$A$9)</f>
        <v>5</v>
      </c>
    </row>
    <row r="1318" spans="1:12">
      <c r="A1318" s="99">
        <v>494</v>
      </c>
      <c r="B1318" s="101">
        <v>44342</v>
      </c>
      <c r="C1318" s="96">
        <v>16</v>
      </c>
      <c r="D1318" s="104" t="s">
        <v>37</v>
      </c>
      <c r="E1318" s="97" t="s">
        <v>8</v>
      </c>
      <c r="F1318" s="97" t="str">
        <f>VLOOKUP(E1318,Emp_Data!$B$2:$C$9,2,)</f>
        <v>Jeff</v>
      </c>
      <c r="G1318" s="97" t="s">
        <v>9</v>
      </c>
      <c r="H1318" s="97" t="s">
        <v>42</v>
      </c>
      <c r="I1318" s="97">
        <v>159</v>
      </c>
      <c r="J1318" s="97">
        <v>9</v>
      </c>
      <c r="K1318" s="97">
        <f t="shared" si="20"/>
        <v>1431</v>
      </c>
      <c r="L1318" s="97">
        <f>_xlfn.XLOOKUP(E1318,Emp_Data!$B$2:$B$9,Emp_Data!$A$2:$A$9)</f>
        <v>3</v>
      </c>
    </row>
    <row r="1319" spans="1:12">
      <c r="A1319" s="99">
        <v>509</v>
      </c>
      <c r="B1319" s="101">
        <v>44346</v>
      </c>
      <c r="C1319" s="96">
        <v>19</v>
      </c>
      <c r="D1319" s="104" t="s">
        <v>22</v>
      </c>
      <c r="E1319" s="97" t="s">
        <v>25</v>
      </c>
      <c r="F1319" s="97" t="str">
        <f>VLOOKUP(E1319,Emp_Data!$B$2:$C$9,2,)</f>
        <v>Jeff</v>
      </c>
      <c r="G1319" s="97" t="s">
        <v>9</v>
      </c>
      <c r="H1319" s="97" t="s">
        <v>42</v>
      </c>
      <c r="I1319" s="97">
        <v>159</v>
      </c>
      <c r="J1319" s="97">
        <v>8</v>
      </c>
      <c r="K1319" s="97">
        <f t="shared" si="20"/>
        <v>1272</v>
      </c>
      <c r="L1319" s="97">
        <f>_xlfn.XLOOKUP(E1319,Emp_Data!$B$2:$B$9,Emp_Data!$A$2:$A$9)</f>
        <v>5</v>
      </c>
    </row>
    <row r="1320" spans="1:12">
      <c r="A1320" s="99">
        <v>525</v>
      </c>
      <c r="B1320" s="101">
        <v>44350</v>
      </c>
      <c r="C1320" s="96">
        <v>7</v>
      </c>
      <c r="D1320" s="104" t="s">
        <v>28</v>
      </c>
      <c r="E1320" s="97" t="s">
        <v>27</v>
      </c>
      <c r="F1320" s="97" t="str">
        <f>VLOOKUP(E1320,Emp_Data!$B$2:$C$9,2,)</f>
        <v>Philip</v>
      </c>
      <c r="G1320" s="97" t="s">
        <v>12</v>
      </c>
      <c r="H1320" s="97" t="s">
        <v>42</v>
      </c>
      <c r="I1320" s="97">
        <v>159</v>
      </c>
      <c r="J1320" s="97">
        <v>3</v>
      </c>
      <c r="K1320" s="97">
        <f t="shared" si="20"/>
        <v>477</v>
      </c>
      <c r="L1320" s="97">
        <f>_xlfn.XLOOKUP(E1320,Emp_Data!$B$2:$B$9,Emp_Data!$A$2:$A$9)</f>
        <v>8</v>
      </c>
    </row>
    <row r="1321" spans="1:12">
      <c r="A1321" s="99">
        <v>534</v>
      </c>
      <c r="B1321" s="101">
        <v>44352</v>
      </c>
      <c r="C1321" s="96">
        <v>7</v>
      </c>
      <c r="D1321" s="104" t="s">
        <v>28</v>
      </c>
      <c r="E1321" s="97" t="s">
        <v>11</v>
      </c>
      <c r="F1321" s="97" t="str">
        <f>VLOOKUP(E1321,Emp_Data!$B$2:$C$9,2,)</f>
        <v>Steve</v>
      </c>
      <c r="G1321" s="97" t="s">
        <v>12</v>
      </c>
      <c r="H1321" s="97" t="s">
        <v>42</v>
      </c>
      <c r="I1321" s="97">
        <v>159</v>
      </c>
      <c r="J1321" s="97">
        <v>9</v>
      </c>
      <c r="K1321" s="97">
        <f t="shared" si="20"/>
        <v>1431</v>
      </c>
      <c r="L1321" s="97">
        <f>_xlfn.XLOOKUP(E1321,Emp_Data!$B$2:$B$9,Emp_Data!$A$2:$A$9)</f>
        <v>4</v>
      </c>
    </row>
    <row r="1322" spans="1:12">
      <c r="A1322" s="99">
        <v>540</v>
      </c>
      <c r="B1322" s="101">
        <v>44355</v>
      </c>
      <c r="C1322" s="96">
        <v>9</v>
      </c>
      <c r="D1322" s="104" t="s">
        <v>26</v>
      </c>
      <c r="E1322" s="97" t="s">
        <v>11</v>
      </c>
      <c r="F1322" s="97" t="str">
        <f>VLOOKUP(E1322,Emp_Data!$B$2:$C$9,2,)</f>
        <v>Steve</v>
      </c>
      <c r="G1322" s="97" t="s">
        <v>12</v>
      </c>
      <c r="H1322" s="97" t="s">
        <v>42</v>
      </c>
      <c r="I1322" s="97">
        <v>159</v>
      </c>
      <c r="J1322" s="97">
        <v>3</v>
      </c>
      <c r="K1322" s="97">
        <f t="shared" si="20"/>
        <v>477</v>
      </c>
      <c r="L1322" s="97">
        <f>_xlfn.XLOOKUP(E1322,Emp_Data!$B$2:$B$9,Emp_Data!$A$2:$A$9)</f>
        <v>4</v>
      </c>
    </row>
    <row r="1323" spans="1:12">
      <c r="A1323" s="99">
        <v>543</v>
      </c>
      <c r="B1323" s="101">
        <v>44355</v>
      </c>
      <c r="C1323" s="96">
        <v>20</v>
      </c>
      <c r="D1323" s="104" t="s">
        <v>7</v>
      </c>
      <c r="E1323" s="97" t="s">
        <v>8</v>
      </c>
      <c r="F1323" s="97" t="str">
        <f>VLOOKUP(E1323,Emp_Data!$B$2:$C$9,2,)</f>
        <v>Jeff</v>
      </c>
      <c r="G1323" s="97" t="s">
        <v>9</v>
      </c>
      <c r="H1323" s="97" t="s">
        <v>42</v>
      </c>
      <c r="I1323" s="97">
        <v>159</v>
      </c>
      <c r="J1323" s="97">
        <v>5</v>
      </c>
      <c r="K1323" s="97">
        <f t="shared" si="20"/>
        <v>795</v>
      </c>
      <c r="L1323" s="97">
        <f>_xlfn.XLOOKUP(E1323,Emp_Data!$B$2:$B$9,Emp_Data!$A$2:$A$9)</f>
        <v>3</v>
      </c>
    </row>
    <row r="1324" spans="1:12">
      <c r="A1324" s="99">
        <v>550</v>
      </c>
      <c r="B1324" s="101">
        <v>44358</v>
      </c>
      <c r="C1324" s="96">
        <v>18</v>
      </c>
      <c r="D1324" s="104" t="s">
        <v>30</v>
      </c>
      <c r="E1324" s="97" t="s">
        <v>25</v>
      </c>
      <c r="F1324" s="97" t="str">
        <f>VLOOKUP(E1324,Emp_Data!$B$2:$C$9,2,)</f>
        <v>Jeff</v>
      </c>
      <c r="G1324" s="97" t="s">
        <v>9</v>
      </c>
      <c r="H1324" s="97" t="s">
        <v>42</v>
      </c>
      <c r="I1324" s="97">
        <v>159</v>
      </c>
      <c r="J1324" s="97">
        <v>0</v>
      </c>
      <c r="K1324" s="97">
        <f t="shared" si="20"/>
        <v>0</v>
      </c>
      <c r="L1324" s="97">
        <f>_xlfn.XLOOKUP(E1324,Emp_Data!$B$2:$B$9,Emp_Data!$A$2:$A$9)</f>
        <v>5</v>
      </c>
    </row>
    <row r="1325" spans="1:12">
      <c r="A1325" s="99">
        <v>557</v>
      </c>
      <c r="B1325" s="101">
        <v>44359</v>
      </c>
      <c r="C1325" s="96">
        <v>5</v>
      </c>
      <c r="D1325" s="104" t="s">
        <v>16</v>
      </c>
      <c r="E1325" s="97" t="s">
        <v>21</v>
      </c>
      <c r="F1325" s="97" t="str">
        <f>VLOOKUP(E1325,Emp_Data!$B$2:$C$9,2,)</f>
        <v>Sara</v>
      </c>
      <c r="G1325" s="97" t="s">
        <v>15</v>
      </c>
      <c r="H1325" s="97" t="s">
        <v>42</v>
      </c>
      <c r="I1325" s="97">
        <v>159</v>
      </c>
      <c r="J1325" s="97">
        <v>1</v>
      </c>
      <c r="K1325" s="97">
        <f t="shared" si="20"/>
        <v>159</v>
      </c>
      <c r="L1325" s="97">
        <f>_xlfn.XLOOKUP(E1325,Emp_Data!$B$2:$B$9,Emp_Data!$A$2:$A$9)</f>
        <v>2</v>
      </c>
    </row>
    <row r="1326" spans="1:12">
      <c r="A1326" s="99">
        <v>566</v>
      </c>
      <c r="B1326" s="101">
        <v>44363</v>
      </c>
      <c r="C1326" s="96">
        <v>10</v>
      </c>
      <c r="D1326" s="104" t="s">
        <v>34</v>
      </c>
      <c r="E1326" s="97" t="s">
        <v>27</v>
      </c>
      <c r="F1326" s="97" t="str">
        <f>VLOOKUP(E1326,Emp_Data!$B$2:$C$9,2,)</f>
        <v>Philip</v>
      </c>
      <c r="G1326" s="97" t="s">
        <v>12</v>
      </c>
      <c r="H1326" s="97" t="s">
        <v>42</v>
      </c>
      <c r="I1326" s="97">
        <v>159</v>
      </c>
      <c r="J1326" s="97">
        <v>8</v>
      </c>
      <c r="K1326" s="97">
        <f t="shared" si="20"/>
        <v>1272</v>
      </c>
      <c r="L1326" s="97">
        <f>_xlfn.XLOOKUP(E1326,Emp_Data!$B$2:$B$9,Emp_Data!$A$2:$A$9)</f>
        <v>8</v>
      </c>
    </row>
    <row r="1327" spans="1:12">
      <c r="A1327" s="99">
        <v>567</v>
      </c>
      <c r="B1327" s="101">
        <v>44363</v>
      </c>
      <c r="C1327" s="96">
        <v>1</v>
      </c>
      <c r="D1327" s="104" t="s">
        <v>31</v>
      </c>
      <c r="E1327" s="97" t="s">
        <v>21</v>
      </c>
      <c r="F1327" s="97" t="str">
        <f>VLOOKUP(E1327,Emp_Data!$B$2:$C$9,2,)</f>
        <v>Sara</v>
      </c>
      <c r="G1327" s="97" t="s">
        <v>15</v>
      </c>
      <c r="H1327" s="97" t="s">
        <v>42</v>
      </c>
      <c r="I1327" s="97">
        <v>159</v>
      </c>
      <c r="J1327" s="97">
        <v>8</v>
      </c>
      <c r="K1327" s="97">
        <f t="shared" si="20"/>
        <v>1272</v>
      </c>
      <c r="L1327" s="97">
        <f>_xlfn.XLOOKUP(E1327,Emp_Data!$B$2:$B$9,Emp_Data!$A$2:$A$9)</f>
        <v>2</v>
      </c>
    </row>
    <row r="1328" spans="1:12">
      <c r="A1328" s="99">
        <v>569</v>
      </c>
      <c r="B1328" s="101">
        <v>44364</v>
      </c>
      <c r="C1328" s="96">
        <v>18</v>
      </c>
      <c r="D1328" s="104" t="s">
        <v>30</v>
      </c>
      <c r="E1328" s="97" t="s">
        <v>25</v>
      </c>
      <c r="F1328" s="97" t="str">
        <f>VLOOKUP(E1328,Emp_Data!$B$2:$C$9,2,)</f>
        <v>Jeff</v>
      </c>
      <c r="G1328" s="97" t="s">
        <v>9</v>
      </c>
      <c r="H1328" s="97" t="s">
        <v>42</v>
      </c>
      <c r="I1328" s="97">
        <v>159</v>
      </c>
      <c r="J1328" s="97">
        <v>7</v>
      </c>
      <c r="K1328" s="97">
        <f t="shared" si="20"/>
        <v>1113</v>
      </c>
      <c r="L1328" s="97">
        <f>_xlfn.XLOOKUP(E1328,Emp_Data!$B$2:$B$9,Emp_Data!$A$2:$A$9)</f>
        <v>5</v>
      </c>
    </row>
    <row r="1329" spans="1:12">
      <c r="A1329" s="99">
        <v>572</v>
      </c>
      <c r="B1329" s="101">
        <v>44365</v>
      </c>
      <c r="C1329" s="96">
        <v>11</v>
      </c>
      <c r="D1329" s="104" t="s">
        <v>38</v>
      </c>
      <c r="E1329" s="97" t="s">
        <v>24</v>
      </c>
      <c r="F1329" s="97" t="str">
        <f>VLOOKUP(E1329,Emp_Data!$B$2:$C$9,2,)</f>
        <v>Steve</v>
      </c>
      <c r="G1329" s="97" t="s">
        <v>19</v>
      </c>
      <c r="H1329" s="97" t="s">
        <v>42</v>
      </c>
      <c r="I1329" s="97">
        <v>159</v>
      </c>
      <c r="J1329" s="97">
        <v>4</v>
      </c>
      <c r="K1329" s="97">
        <f t="shared" si="20"/>
        <v>636</v>
      </c>
      <c r="L1329" s="97">
        <f>_xlfn.XLOOKUP(E1329,Emp_Data!$B$2:$B$9,Emp_Data!$A$2:$A$9)</f>
        <v>6</v>
      </c>
    </row>
    <row r="1330" spans="1:12">
      <c r="A1330" s="99">
        <v>574</v>
      </c>
      <c r="B1330" s="101">
        <v>44367</v>
      </c>
      <c r="C1330" s="96">
        <v>5</v>
      </c>
      <c r="D1330" s="104" t="s">
        <v>16</v>
      </c>
      <c r="E1330" s="97" t="s">
        <v>14</v>
      </c>
      <c r="F1330" s="97" t="str">
        <f>VLOOKUP(E1330,Emp_Data!$B$2:$C$9,2,)</f>
        <v>Jeff</v>
      </c>
      <c r="G1330" s="97" t="s">
        <v>15</v>
      </c>
      <c r="H1330" s="97" t="s">
        <v>42</v>
      </c>
      <c r="I1330" s="97">
        <v>159</v>
      </c>
      <c r="J1330" s="97">
        <v>3</v>
      </c>
      <c r="K1330" s="97">
        <f t="shared" si="20"/>
        <v>477</v>
      </c>
      <c r="L1330" s="97">
        <f>_xlfn.XLOOKUP(E1330,Emp_Data!$B$2:$B$9,Emp_Data!$A$2:$A$9)</f>
        <v>2</v>
      </c>
    </row>
    <row r="1331" spans="1:12">
      <c r="A1331" s="99">
        <v>577</v>
      </c>
      <c r="B1331" s="101">
        <v>44367</v>
      </c>
      <c r="C1331" s="96">
        <v>12</v>
      </c>
      <c r="D1331" s="104" t="s">
        <v>17</v>
      </c>
      <c r="E1331" s="97" t="s">
        <v>18</v>
      </c>
      <c r="F1331" s="97" t="str">
        <f>VLOOKUP(E1331,Emp_Data!$B$2:$C$9,2,)</f>
        <v>Sara</v>
      </c>
      <c r="G1331" s="97" t="s">
        <v>19</v>
      </c>
      <c r="H1331" s="97" t="s">
        <v>42</v>
      </c>
      <c r="I1331" s="97">
        <v>159</v>
      </c>
      <c r="J1331" s="97">
        <v>6</v>
      </c>
      <c r="K1331" s="97">
        <f t="shared" si="20"/>
        <v>954</v>
      </c>
      <c r="L1331" s="97">
        <f>_xlfn.XLOOKUP(E1331,Emp_Data!$B$2:$B$9,Emp_Data!$A$2:$A$9)</f>
        <v>5</v>
      </c>
    </row>
    <row r="1332" spans="1:12">
      <c r="A1332" s="99">
        <v>580</v>
      </c>
      <c r="B1332" s="101">
        <v>44369</v>
      </c>
      <c r="C1332" s="96">
        <v>15</v>
      </c>
      <c r="D1332" s="104" t="s">
        <v>29</v>
      </c>
      <c r="E1332" s="97" t="s">
        <v>24</v>
      </c>
      <c r="F1332" s="97" t="str">
        <f>VLOOKUP(E1332,Emp_Data!$B$2:$C$9,2,)</f>
        <v>Steve</v>
      </c>
      <c r="G1332" s="97" t="s">
        <v>19</v>
      </c>
      <c r="H1332" s="97" t="s">
        <v>42</v>
      </c>
      <c r="I1332" s="97">
        <v>159</v>
      </c>
      <c r="J1332" s="97">
        <v>6</v>
      </c>
      <c r="K1332" s="97">
        <f t="shared" si="20"/>
        <v>954</v>
      </c>
      <c r="L1332" s="97">
        <f>_xlfn.XLOOKUP(E1332,Emp_Data!$B$2:$B$9,Emp_Data!$A$2:$A$9)</f>
        <v>6</v>
      </c>
    </row>
    <row r="1333" spans="1:12">
      <c r="A1333" s="99">
        <v>581</v>
      </c>
      <c r="B1333" s="101">
        <v>44369</v>
      </c>
      <c r="C1333" s="96">
        <v>15</v>
      </c>
      <c r="D1333" s="104" t="s">
        <v>29</v>
      </c>
      <c r="E1333" s="97" t="s">
        <v>18</v>
      </c>
      <c r="F1333" s="97" t="str">
        <f>VLOOKUP(E1333,Emp_Data!$B$2:$C$9,2,)</f>
        <v>Sara</v>
      </c>
      <c r="G1333" s="97" t="s">
        <v>19</v>
      </c>
      <c r="H1333" s="97" t="s">
        <v>42</v>
      </c>
      <c r="I1333" s="97">
        <v>159</v>
      </c>
      <c r="J1333" s="97">
        <v>8</v>
      </c>
      <c r="K1333" s="97">
        <f t="shared" si="20"/>
        <v>1272</v>
      </c>
      <c r="L1333" s="97">
        <f>_xlfn.XLOOKUP(E1333,Emp_Data!$B$2:$B$9,Emp_Data!$A$2:$A$9)</f>
        <v>5</v>
      </c>
    </row>
    <row r="1334" spans="1:12">
      <c r="A1334" s="99">
        <v>590</v>
      </c>
      <c r="B1334" s="101">
        <v>44371</v>
      </c>
      <c r="C1334" s="96">
        <v>18</v>
      </c>
      <c r="D1334" s="104" t="s">
        <v>30</v>
      </c>
      <c r="E1334" s="97" t="s">
        <v>8</v>
      </c>
      <c r="F1334" s="97" t="str">
        <f>VLOOKUP(E1334,Emp_Data!$B$2:$C$9,2,)</f>
        <v>Jeff</v>
      </c>
      <c r="G1334" s="97" t="s">
        <v>9</v>
      </c>
      <c r="H1334" s="97" t="s">
        <v>42</v>
      </c>
      <c r="I1334" s="97">
        <v>159</v>
      </c>
      <c r="J1334" s="97">
        <v>5</v>
      </c>
      <c r="K1334" s="97">
        <f t="shared" si="20"/>
        <v>795</v>
      </c>
      <c r="L1334" s="97">
        <f>_xlfn.XLOOKUP(E1334,Emp_Data!$B$2:$B$9,Emp_Data!$A$2:$A$9)</f>
        <v>3</v>
      </c>
    </row>
    <row r="1335" spans="1:12">
      <c r="A1335" s="99">
        <v>599</v>
      </c>
      <c r="B1335" s="101">
        <v>44375</v>
      </c>
      <c r="C1335" s="96">
        <v>2</v>
      </c>
      <c r="D1335" s="104" t="s">
        <v>35</v>
      </c>
      <c r="E1335" s="97" t="s">
        <v>14</v>
      </c>
      <c r="F1335" s="97" t="str">
        <f>VLOOKUP(E1335,Emp_Data!$B$2:$C$9,2,)</f>
        <v>Jeff</v>
      </c>
      <c r="G1335" s="97" t="s">
        <v>15</v>
      </c>
      <c r="H1335" s="97" t="s">
        <v>42</v>
      </c>
      <c r="I1335" s="97">
        <v>159</v>
      </c>
      <c r="J1335" s="97">
        <v>5</v>
      </c>
      <c r="K1335" s="97">
        <f t="shared" si="20"/>
        <v>795</v>
      </c>
      <c r="L1335" s="97">
        <f>_xlfn.XLOOKUP(E1335,Emp_Data!$B$2:$B$9,Emp_Data!$A$2:$A$9)</f>
        <v>2</v>
      </c>
    </row>
    <row r="1336" spans="1:12">
      <c r="A1336" s="99">
        <v>605</v>
      </c>
      <c r="B1336" s="101">
        <v>44376</v>
      </c>
      <c r="C1336" s="96">
        <v>15</v>
      </c>
      <c r="D1336" s="104" t="s">
        <v>29</v>
      </c>
      <c r="E1336" s="97" t="s">
        <v>24</v>
      </c>
      <c r="F1336" s="97" t="str">
        <f>VLOOKUP(E1336,Emp_Data!$B$2:$C$9,2,)</f>
        <v>Steve</v>
      </c>
      <c r="G1336" s="97" t="s">
        <v>19</v>
      </c>
      <c r="H1336" s="97" t="s">
        <v>42</v>
      </c>
      <c r="I1336" s="97">
        <v>159</v>
      </c>
      <c r="J1336" s="97">
        <v>5</v>
      </c>
      <c r="K1336" s="97">
        <f t="shared" si="20"/>
        <v>795</v>
      </c>
      <c r="L1336" s="97">
        <f>_xlfn.XLOOKUP(E1336,Emp_Data!$B$2:$B$9,Emp_Data!$A$2:$A$9)</f>
        <v>6</v>
      </c>
    </row>
    <row r="1337" spans="1:12">
      <c r="A1337" s="99">
        <v>615</v>
      </c>
      <c r="B1337" s="101">
        <v>44381</v>
      </c>
      <c r="C1337" s="96">
        <v>10</v>
      </c>
      <c r="D1337" s="104" t="s">
        <v>34</v>
      </c>
      <c r="E1337" s="97" t="s">
        <v>27</v>
      </c>
      <c r="F1337" s="97" t="str">
        <f>VLOOKUP(E1337,Emp_Data!$B$2:$C$9,2,)</f>
        <v>Philip</v>
      </c>
      <c r="G1337" s="97" t="s">
        <v>12</v>
      </c>
      <c r="H1337" s="97" t="s">
        <v>42</v>
      </c>
      <c r="I1337" s="97">
        <v>159</v>
      </c>
      <c r="J1337" s="97">
        <v>2</v>
      </c>
      <c r="K1337" s="97">
        <f t="shared" si="20"/>
        <v>318</v>
      </c>
      <c r="L1337" s="97">
        <f>_xlfn.XLOOKUP(E1337,Emp_Data!$B$2:$B$9,Emp_Data!$A$2:$A$9)</f>
        <v>8</v>
      </c>
    </row>
    <row r="1338" spans="1:12">
      <c r="A1338" s="99">
        <v>620</v>
      </c>
      <c r="B1338" s="101">
        <v>44384</v>
      </c>
      <c r="C1338" s="96">
        <v>20</v>
      </c>
      <c r="D1338" s="104" t="s">
        <v>7</v>
      </c>
      <c r="E1338" s="97" t="s">
        <v>8</v>
      </c>
      <c r="F1338" s="97" t="str">
        <f>VLOOKUP(E1338,Emp_Data!$B$2:$C$9,2,)</f>
        <v>Jeff</v>
      </c>
      <c r="G1338" s="97" t="s">
        <v>9</v>
      </c>
      <c r="H1338" s="97" t="s">
        <v>42</v>
      </c>
      <c r="I1338" s="97">
        <v>159</v>
      </c>
      <c r="J1338" s="97">
        <v>9</v>
      </c>
      <c r="K1338" s="97">
        <f t="shared" si="20"/>
        <v>1431</v>
      </c>
      <c r="L1338" s="97">
        <f>_xlfn.XLOOKUP(E1338,Emp_Data!$B$2:$B$9,Emp_Data!$A$2:$A$9)</f>
        <v>3</v>
      </c>
    </row>
    <row r="1339" spans="1:12">
      <c r="A1339" s="99">
        <v>621</v>
      </c>
      <c r="B1339" s="101">
        <v>44384</v>
      </c>
      <c r="C1339" s="96">
        <v>10</v>
      </c>
      <c r="D1339" s="104" t="s">
        <v>34</v>
      </c>
      <c r="E1339" s="97" t="s">
        <v>11</v>
      </c>
      <c r="F1339" s="97" t="str">
        <f>VLOOKUP(E1339,Emp_Data!$B$2:$C$9,2,)</f>
        <v>Steve</v>
      </c>
      <c r="G1339" s="97" t="s">
        <v>12</v>
      </c>
      <c r="H1339" s="97" t="s">
        <v>42</v>
      </c>
      <c r="I1339" s="97">
        <v>159</v>
      </c>
      <c r="J1339" s="97">
        <v>7</v>
      </c>
      <c r="K1339" s="97">
        <f t="shared" si="20"/>
        <v>1113</v>
      </c>
      <c r="L1339" s="97">
        <f>_xlfn.XLOOKUP(E1339,Emp_Data!$B$2:$B$9,Emp_Data!$A$2:$A$9)</f>
        <v>4</v>
      </c>
    </row>
    <row r="1340" spans="1:12">
      <c r="A1340" s="99">
        <v>622</v>
      </c>
      <c r="B1340" s="101">
        <v>44384</v>
      </c>
      <c r="C1340" s="96">
        <v>13</v>
      </c>
      <c r="D1340" s="104" t="s">
        <v>23</v>
      </c>
      <c r="E1340" s="97" t="s">
        <v>24</v>
      </c>
      <c r="F1340" s="97" t="str">
        <f>VLOOKUP(E1340,Emp_Data!$B$2:$C$9,2,)</f>
        <v>Steve</v>
      </c>
      <c r="G1340" s="97" t="s">
        <v>19</v>
      </c>
      <c r="H1340" s="97" t="s">
        <v>42</v>
      </c>
      <c r="I1340" s="97">
        <v>159</v>
      </c>
      <c r="J1340" s="97">
        <v>9</v>
      </c>
      <c r="K1340" s="97">
        <f t="shared" si="20"/>
        <v>1431</v>
      </c>
      <c r="L1340" s="97">
        <f>_xlfn.XLOOKUP(E1340,Emp_Data!$B$2:$B$9,Emp_Data!$A$2:$A$9)</f>
        <v>6</v>
      </c>
    </row>
    <row r="1341" spans="1:12">
      <c r="A1341" s="99">
        <v>630</v>
      </c>
      <c r="B1341" s="101">
        <v>44386</v>
      </c>
      <c r="C1341" s="96">
        <v>10</v>
      </c>
      <c r="D1341" s="104" t="s">
        <v>34</v>
      </c>
      <c r="E1341" s="97" t="s">
        <v>27</v>
      </c>
      <c r="F1341" s="97" t="str">
        <f>VLOOKUP(E1341,Emp_Data!$B$2:$C$9,2,)</f>
        <v>Philip</v>
      </c>
      <c r="G1341" s="97" t="s">
        <v>12</v>
      </c>
      <c r="H1341" s="97" t="s">
        <v>42</v>
      </c>
      <c r="I1341" s="97">
        <v>159</v>
      </c>
      <c r="J1341" s="97">
        <v>3</v>
      </c>
      <c r="K1341" s="97">
        <f t="shared" si="20"/>
        <v>477</v>
      </c>
      <c r="L1341" s="97">
        <f>_xlfn.XLOOKUP(E1341,Emp_Data!$B$2:$B$9,Emp_Data!$A$2:$A$9)</f>
        <v>8</v>
      </c>
    </row>
    <row r="1342" spans="1:12">
      <c r="A1342" s="99">
        <v>633</v>
      </c>
      <c r="B1342" s="101">
        <v>44388</v>
      </c>
      <c r="C1342" s="96">
        <v>20</v>
      </c>
      <c r="D1342" s="104" t="s">
        <v>7</v>
      </c>
      <c r="E1342" s="97" t="s">
        <v>25</v>
      </c>
      <c r="F1342" s="97" t="str">
        <f>VLOOKUP(E1342,Emp_Data!$B$2:$C$9,2,)</f>
        <v>Jeff</v>
      </c>
      <c r="G1342" s="97" t="s">
        <v>9</v>
      </c>
      <c r="H1342" s="97" t="s">
        <v>42</v>
      </c>
      <c r="I1342" s="97">
        <v>159</v>
      </c>
      <c r="J1342" s="97">
        <v>3</v>
      </c>
      <c r="K1342" s="97">
        <f t="shared" si="20"/>
        <v>477</v>
      </c>
      <c r="L1342" s="97">
        <f>_xlfn.XLOOKUP(E1342,Emp_Data!$B$2:$B$9,Emp_Data!$A$2:$A$9)</f>
        <v>5</v>
      </c>
    </row>
    <row r="1343" spans="1:12">
      <c r="A1343" s="99">
        <v>635</v>
      </c>
      <c r="B1343" s="101">
        <v>44388</v>
      </c>
      <c r="C1343" s="96">
        <v>3</v>
      </c>
      <c r="D1343" s="104" t="s">
        <v>20</v>
      </c>
      <c r="E1343" s="97" t="s">
        <v>14</v>
      </c>
      <c r="F1343" s="97" t="str">
        <f>VLOOKUP(E1343,Emp_Data!$B$2:$C$9,2,)</f>
        <v>Jeff</v>
      </c>
      <c r="G1343" s="97" t="s">
        <v>15</v>
      </c>
      <c r="H1343" s="97" t="s">
        <v>42</v>
      </c>
      <c r="I1343" s="97">
        <v>159</v>
      </c>
      <c r="J1343" s="97">
        <v>5</v>
      </c>
      <c r="K1343" s="97">
        <f t="shared" si="20"/>
        <v>795</v>
      </c>
      <c r="L1343" s="97">
        <f>_xlfn.XLOOKUP(E1343,Emp_Data!$B$2:$B$9,Emp_Data!$A$2:$A$9)</f>
        <v>2</v>
      </c>
    </row>
    <row r="1344" spans="1:12">
      <c r="A1344" s="99">
        <v>637</v>
      </c>
      <c r="B1344" s="101">
        <v>44390</v>
      </c>
      <c r="C1344" s="96">
        <v>17</v>
      </c>
      <c r="D1344" s="104" t="s">
        <v>32</v>
      </c>
      <c r="E1344" s="97" t="s">
        <v>25</v>
      </c>
      <c r="F1344" s="97" t="str">
        <f>VLOOKUP(E1344,Emp_Data!$B$2:$C$9,2,)</f>
        <v>Jeff</v>
      </c>
      <c r="G1344" s="97" t="s">
        <v>9</v>
      </c>
      <c r="H1344" s="97" t="s">
        <v>42</v>
      </c>
      <c r="I1344" s="97">
        <v>159</v>
      </c>
      <c r="J1344" s="97">
        <v>6</v>
      </c>
      <c r="K1344" s="97">
        <f t="shared" si="20"/>
        <v>954</v>
      </c>
      <c r="L1344" s="97">
        <f>_xlfn.XLOOKUP(E1344,Emp_Data!$B$2:$B$9,Emp_Data!$A$2:$A$9)</f>
        <v>5</v>
      </c>
    </row>
    <row r="1345" spans="1:12">
      <c r="A1345" s="99">
        <v>638</v>
      </c>
      <c r="B1345" s="101">
        <v>44390</v>
      </c>
      <c r="C1345" s="96">
        <v>11</v>
      </c>
      <c r="D1345" s="104" t="s">
        <v>38</v>
      </c>
      <c r="E1345" s="97" t="s">
        <v>18</v>
      </c>
      <c r="F1345" s="97" t="str">
        <f>VLOOKUP(E1345,Emp_Data!$B$2:$C$9,2,)</f>
        <v>Sara</v>
      </c>
      <c r="G1345" s="97" t="s">
        <v>19</v>
      </c>
      <c r="H1345" s="97" t="s">
        <v>42</v>
      </c>
      <c r="I1345" s="97">
        <v>159</v>
      </c>
      <c r="J1345" s="97">
        <v>5</v>
      </c>
      <c r="K1345" s="97">
        <f t="shared" si="20"/>
        <v>795</v>
      </c>
      <c r="L1345" s="97">
        <f>_xlfn.XLOOKUP(E1345,Emp_Data!$B$2:$B$9,Emp_Data!$A$2:$A$9)</f>
        <v>5</v>
      </c>
    </row>
    <row r="1346" spans="1:12">
      <c r="A1346" s="99">
        <v>651</v>
      </c>
      <c r="B1346" s="101">
        <v>44394</v>
      </c>
      <c r="C1346" s="96">
        <v>17</v>
      </c>
      <c r="D1346" s="104" t="s">
        <v>32</v>
      </c>
      <c r="E1346" s="97" t="s">
        <v>8</v>
      </c>
      <c r="F1346" s="97" t="str">
        <f>VLOOKUP(E1346,Emp_Data!$B$2:$C$9,2,)</f>
        <v>Jeff</v>
      </c>
      <c r="G1346" s="97" t="s">
        <v>9</v>
      </c>
      <c r="H1346" s="97" t="s">
        <v>42</v>
      </c>
      <c r="I1346" s="97">
        <v>159</v>
      </c>
      <c r="J1346" s="97">
        <v>2</v>
      </c>
      <c r="K1346" s="97">
        <f t="shared" si="20"/>
        <v>318</v>
      </c>
      <c r="L1346" s="97">
        <f>_xlfn.XLOOKUP(E1346,Emp_Data!$B$2:$B$9,Emp_Data!$A$2:$A$9)</f>
        <v>3</v>
      </c>
    </row>
    <row r="1347" spans="1:12">
      <c r="A1347" s="99">
        <v>652</v>
      </c>
      <c r="B1347" s="101">
        <v>44394</v>
      </c>
      <c r="C1347" s="96">
        <v>15</v>
      </c>
      <c r="D1347" s="104" t="s">
        <v>29</v>
      </c>
      <c r="E1347" s="97" t="s">
        <v>24</v>
      </c>
      <c r="F1347" s="97" t="str">
        <f>VLOOKUP(E1347,Emp_Data!$B$2:$C$9,2,)</f>
        <v>Steve</v>
      </c>
      <c r="G1347" s="97" t="s">
        <v>19</v>
      </c>
      <c r="H1347" s="97" t="s">
        <v>42</v>
      </c>
      <c r="I1347" s="97">
        <v>159</v>
      </c>
      <c r="J1347" s="97">
        <v>3</v>
      </c>
      <c r="K1347" s="97">
        <f t="shared" ref="K1347:K1410" si="21">SUMPRODUCT(I1347,J1347)</f>
        <v>477</v>
      </c>
      <c r="L1347" s="97">
        <f>_xlfn.XLOOKUP(E1347,Emp_Data!$B$2:$B$9,Emp_Data!$A$2:$A$9)</f>
        <v>6</v>
      </c>
    </row>
    <row r="1348" spans="1:12">
      <c r="A1348" s="99">
        <v>653</v>
      </c>
      <c r="B1348" s="101">
        <v>44395</v>
      </c>
      <c r="C1348" s="96">
        <v>5</v>
      </c>
      <c r="D1348" s="104" t="s">
        <v>16</v>
      </c>
      <c r="E1348" s="97" t="s">
        <v>21</v>
      </c>
      <c r="F1348" s="97" t="str">
        <f>VLOOKUP(E1348,Emp_Data!$B$2:$C$9,2,)</f>
        <v>Sara</v>
      </c>
      <c r="G1348" s="97" t="s">
        <v>15</v>
      </c>
      <c r="H1348" s="97" t="s">
        <v>42</v>
      </c>
      <c r="I1348" s="97">
        <v>159</v>
      </c>
      <c r="J1348" s="97">
        <v>1</v>
      </c>
      <c r="K1348" s="97">
        <f t="shared" si="21"/>
        <v>159</v>
      </c>
      <c r="L1348" s="97">
        <f>_xlfn.XLOOKUP(E1348,Emp_Data!$B$2:$B$9,Emp_Data!$A$2:$A$9)</f>
        <v>2</v>
      </c>
    </row>
    <row r="1349" spans="1:12">
      <c r="A1349" s="99">
        <v>656</v>
      </c>
      <c r="B1349" s="101">
        <v>44395</v>
      </c>
      <c r="C1349" s="96">
        <v>12</v>
      </c>
      <c r="D1349" s="104" t="s">
        <v>17</v>
      </c>
      <c r="E1349" s="97" t="s">
        <v>24</v>
      </c>
      <c r="F1349" s="97" t="str">
        <f>VLOOKUP(E1349,Emp_Data!$B$2:$C$9,2,)</f>
        <v>Steve</v>
      </c>
      <c r="G1349" s="97" t="s">
        <v>19</v>
      </c>
      <c r="H1349" s="97" t="s">
        <v>42</v>
      </c>
      <c r="I1349" s="97">
        <v>159</v>
      </c>
      <c r="J1349" s="97">
        <v>5</v>
      </c>
      <c r="K1349" s="97">
        <f t="shared" si="21"/>
        <v>795</v>
      </c>
      <c r="L1349" s="97">
        <f>_xlfn.XLOOKUP(E1349,Emp_Data!$B$2:$B$9,Emp_Data!$A$2:$A$9)</f>
        <v>6</v>
      </c>
    </row>
    <row r="1350" spans="1:12">
      <c r="A1350" s="99">
        <v>658</v>
      </c>
      <c r="B1350" s="101">
        <v>44395</v>
      </c>
      <c r="C1350" s="96">
        <v>5</v>
      </c>
      <c r="D1350" s="104" t="s">
        <v>16</v>
      </c>
      <c r="E1350" s="97" t="s">
        <v>14</v>
      </c>
      <c r="F1350" s="97" t="str">
        <f>VLOOKUP(E1350,Emp_Data!$B$2:$C$9,2,)</f>
        <v>Jeff</v>
      </c>
      <c r="G1350" s="97" t="s">
        <v>15</v>
      </c>
      <c r="H1350" s="97" t="s">
        <v>42</v>
      </c>
      <c r="I1350" s="97">
        <v>159</v>
      </c>
      <c r="J1350" s="97">
        <v>9</v>
      </c>
      <c r="K1350" s="97">
        <f t="shared" si="21"/>
        <v>1431</v>
      </c>
      <c r="L1350" s="97">
        <f>_xlfn.XLOOKUP(E1350,Emp_Data!$B$2:$B$9,Emp_Data!$A$2:$A$9)</f>
        <v>2</v>
      </c>
    </row>
    <row r="1351" spans="1:12">
      <c r="A1351" s="99">
        <v>661</v>
      </c>
      <c r="B1351" s="101">
        <v>44397</v>
      </c>
      <c r="C1351" s="96">
        <v>16</v>
      </c>
      <c r="D1351" s="104" t="s">
        <v>37</v>
      </c>
      <c r="E1351" s="97" t="s">
        <v>25</v>
      </c>
      <c r="F1351" s="97" t="str">
        <f>VLOOKUP(E1351,Emp_Data!$B$2:$C$9,2,)</f>
        <v>Jeff</v>
      </c>
      <c r="G1351" s="97" t="s">
        <v>9</v>
      </c>
      <c r="H1351" s="97" t="s">
        <v>42</v>
      </c>
      <c r="I1351" s="97">
        <v>159</v>
      </c>
      <c r="J1351" s="97">
        <v>3</v>
      </c>
      <c r="K1351" s="97">
        <f t="shared" si="21"/>
        <v>477</v>
      </c>
      <c r="L1351" s="97">
        <f>_xlfn.XLOOKUP(E1351,Emp_Data!$B$2:$B$9,Emp_Data!$A$2:$A$9)</f>
        <v>5</v>
      </c>
    </row>
    <row r="1352" spans="1:12">
      <c r="A1352" s="99">
        <v>663</v>
      </c>
      <c r="B1352" s="101">
        <v>44397</v>
      </c>
      <c r="C1352" s="96">
        <v>20</v>
      </c>
      <c r="D1352" s="104" t="s">
        <v>7</v>
      </c>
      <c r="E1352" s="97" t="s">
        <v>25</v>
      </c>
      <c r="F1352" s="97" t="str">
        <f>VLOOKUP(E1352,Emp_Data!$B$2:$C$9,2,)</f>
        <v>Jeff</v>
      </c>
      <c r="G1352" s="97" t="s">
        <v>9</v>
      </c>
      <c r="H1352" s="97" t="s">
        <v>42</v>
      </c>
      <c r="I1352" s="97">
        <v>159</v>
      </c>
      <c r="J1352" s="97">
        <v>4</v>
      </c>
      <c r="K1352" s="97">
        <f t="shared" si="21"/>
        <v>636</v>
      </c>
      <c r="L1352" s="97">
        <f>_xlfn.XLOOKUP(E1352,Emp_Data!$B$2:$B$9,Emp_Data!$A$2:$A$9)</f>
        <v>5</v>
      </c>
    </row>
    <row r="1353" spans="1:12">
      <c r="A1353" s="99">
        <v>672</v>
      </c>
      <c r="B1353" s="101">
        <v>44402</v>
      </c>
      <c r="C1353" s="96">
        <v>12</v>
      </c>
      <c r="D1353" s="104" t="s">
        <v>17</v>
      </c>
      <c r="E1353" s="97" t="s">
        <v>18</v>
      </c>
      <c r="F1353" s="97" t="str">
        <f>VLOOKUP(E1353,Emp_Data!$B$2:$C$9,2,)</f>
        <v>Sara</v>
      </c>
      <c r="G1353" s="97" t="s">
        <v>19</v>
      </c>
      <c r="H1353" s="97" t="s">
        <v>42</v>
      </c>
      <c r="I1353" s="97">
        <v>159</v>
      </c>
      <c r="J1353" s="97">
        <v>7</v>
      </c>
      <c r="K1353" s="97">
        <f t="shared" si="21"/>
        <v>1113</v>
      </c>
      <c r="L1353" s="97">
        <f>_xlfn.XLOOKUP(E1353,Emp_Data!$B$2:$B$9,Emp_Data!$A$2:$A$9)</f>
        <v>5</v>
      </c>
    </row>
    <row r="1354" spans="1:12">
      <c r="A1354" s="99">
        <v>673</v>
      </c>
      <c r="B1354" s="101">
        <v>44402</v>
      </c>
      <c r="C1354" s="96">
        <v>17</v>
      </c>
      <c r="D1354" s="104" t="s">
        <v>32</v>
      </c>
      <c r="E1354" s="97" t="s">
        <v>25</v>
      </c>
      <c r="F1354" s="97" t="str">
        <f>VLOOKUP(E1354,Emp_Data!$B$2:$C$9,2,)</f>
        <v>Jeff</v>
      </c>
      <c r="G1354" s="97" t="s">
        <v>9</v>
      </c>
      <c r="H1354" s="97" t="s">
        <v>42</v>
      </c>
      <c r="I1354" s="97">
        <v>159</v>
      </c>
      <c r="J1354" s="97">
        <v>8</v>
      </c>
      <c r="K1354" s="97">
        <f t="shared" si="21"/>
        <v>1272</v>
      </c>
      <c r="L1354" s="97">
        <f>_xlfn.XLOOKUP(E1354,Emp_Data!$B$2:$B$9,Emp_Data!$A$2:$A$9)</f>
        <v>5</v>
      </c>
    </row>
    <row r="1355" spans="1:12">
      <c r="A1355" s="99">
        <v>675</v>
      </c>
      <c r="B1355" s="101">
        <v>44403</v>
      </c>
      <c r="C1355" s="96">
        <v>13</v>
      </c>
      <c r="D1355" s="104" t="s">
        <v>23</v>
      </c>
      <c r="E1355" s="97" t="s">
        <v>18</v>
      </c>
      <c r="F1355" s="97" t="str">
        <f>VLOOKUP(E1355,Emp_Data!$B$2:$C$9,2,)</f>
        <v>Sara</v>
      </c>
      <c r="G1355" s="97" t="s">
        <v>19</v>
      </c>
      <c r="H1355" s="97" t="s">
        <v>42</v>
      </c>
      <c r="I1355" s="97">
        <v>159</v>
      </c>
      <c r="J1355" s="97">
        <v>4</v>
      </c>
      <c r="K1355" s="97">
        <f t="shared" si="21"/>
        <v>636</v>
      </c>
      <c r="L1355" s="97">
        <f>_xlfn.XLOOKUP(E1355,Emp_Data!$B$2:$B$9,Emp_Data!$A$2:$A$9)</f>
        <v>5</v>
      </c>
    </row>
    <row r="1356" spans="1:12">
      <c r="A1356" s="99">
        <v>677</v>
      </c>
      <c r="B1356" s="101">
        <v>44403</v>
      </c>
      <c r="C1356" s="96">
        <v>15</v>
      </c>
      <c r="D1356" s="104" t="s">
        <v>29</v>
      </c>
      <c r="E1356" s="97" t="s">
        <v>18</v>
      </c>
      <c r="F1356" s="97" t="str">
        <f>VLOOKUP(E1356,Emp_Data!$B$2:$C$9,2,)</f>
        <v>Sara</v>
      </c>
      <c r="G1356" s="97" t="s">
        <v>19</v>
      </c>
      <c r="H1356" s="97" t="s">
        <v>42</v>
      </c>
      <c r="I1356" s="97">
        <v>159</v>
      </c>
      <c r="J1356" s="97">
        <v>9</v>
      </c>
      <c r="K1356" s="97">
        <f t="shared" si="21"/>
        <v>1431</v>
      </c>
      <c r="L1356" s="97">
        <f>_xlfn.XLOOKUP(E1356,Emp_Data!$B$2:$B$9,Emp_Data!$A$2:$A$9)</f>
        <v>5</v>
      </c>
    </row>
    <row r="1357" spans="1:12">
      <c r="A1357" s="99">
        <v>679</v>
      </c>
      <c r="B1357" s="101">
        <v>44403</v>
      </c>
      <c r="C1357" s="96">
        <v>7</v>
      </c>
      <c r="D1357" s="104" t="s">
        <v>28</v>
      </c>
      <c r="E1357" s="97" t="s">
        <v>27</v>
      </c>
      <c r="F1357" s="97" t="str">
        <f>VLOOKUP(E1357,Emp_Data!$B$2:$C$9,2,)</f>
        <v>Philip</v>
      </c>
      <c r="G1357" s="97" t="s">
        <v>12</v>
      </c>
      <c r="H1357" s="97" t="s">
        <v>42</v>
      </c>
      <c r="I1357" s="97">
        <v>159</v>
      </c>
      <c r="J1357" s="97">
        <v>6</v>
      </c>
      <c r="K1357" s="97">
        <f t="shared" si="21"/>
        <v>954</v>
      </c>
      <c r="L1357" s="97">
        <f>_xlfn.XLOOKUP(E1357,Emp_Data!$B$2:$B$9,Emp_Data!$A$2:$A$9)</f>
        <v>8</v>
      </c>
    </row>
    <row r="1358" spans="1:12">
      <c r="A1358" s="99">
        <v>684</v>
      </c>
      <c r="B1358" s="101">
        <v>44404</v>
      </c>
      <c r="C1358" s="96">
        <v>18</v>
      </c>
      <c r="D1358" s="104" t="s">
        <v>30</v>
      </c>
      <c r="E1358" s="97" t="s">
        <v>25</v>
      </c>
      <c r="F1358" s="97" t="str">
        <f>VLOOKUP(E1358,Emp_Data!$B$2:$C$9,2,)</f>
        <v>Jeff</v>
      </c>
      <c r="G1358" s="97" t="s">
        <v>9</v>
      </c>
      <c r="H1358" s="97" t="s">
        <v>42</v>
      </c>
      <c r="I1358" s="97">
        <v>159</v>
      </c>
      <c r="J1358" s="97">
        <v>3</v>
      </c>
      <c r="K1358" s="97">
        <f t="shared" si="21"/>
        <v>477</v>
      </c>
      <c r="L1358" s="97">
        <f>_xlfn.XLOOKUP(E1358,Emp_Data!$B$2:$B$9,Emp_Data!$A$2:$A$9)</f>
        <v>5</v>
      </c>
    </row>
    <row r="1359" spans="1:12">
      <c r="A1359" s="99">
        <v>689</v>
      </c>
      <c r="B1359" s="101">
        <v>44404</v>
      </c>
      <c r="C1359" s="96">
        <v>19</v>
      </c>
      <c r="D1359" s="104" t="s">
        <v>22</v>
      </c>
      <c r="E1359" s="97" t="s">
        <v>8</v>
      </c>
      <c r="F1359" s="97" t="str">
        <f>VLOOKUP(E1359,Emp_Data!$B$2:$C$9,2,)</f>
        <v>Jeff</v>
      </c>
      <c r="G1359" s="97" t="s">
        <v>9</v>
      </c>
      <c r="H1359" s="97" t="s">
        <v>42</v>
      </c>
      <c r="I1359" s="97">
        <v>159</v>
      </c>
      <c r="J1359" s="97">
        <v>8</v>
      </c>
      <c r="K1359" s="97">
        <f t="shared" si="21"/>
        <v>1272</v>
      </c>
      <c r="L1359" s="97">
        <f>_xlfn.XLOOKUP(E1359,Emp_Data!$B$2:$B$9,Emp_Data!$A$2:$A$9)</f>
        <v>3</v>
      </c>
    </row>
    <row r="1360" spans="1:12">
      <c r="A1360" s="99">
        <v>694</v>
      </c>
      <c r="B1360" s="101">
        <v>44404</v>
      </c>
      <c r="C1360" s="96">
        <v>8</v>
      </c>
      <c r="D1360" s="104" t="s">
        <v>36</v>
      </c>
      <c r="E1360" s="97" t="s">
        <v>11</v>
      </c>
      <c r="F1360" s="97" t="str">
        <f>VLOOKUP(E1360,Emp_Data!$B$2:$C$9,2,)</f>
        <v>Steve</v>
      </c>
      <c r="G1360" s="97" t="s">
        <v>12</v>
      </c>
      <c r="H1360" s="97" t="s">
        <v>42</v>
      </c>
      <c r="I1360" s="97">
        <v>159</v>
      </c>
      <c r="J1360" s="97">
        <v>8</v>
      </c>
      <c r="K1360" s="97">
        <f t="shared" si="21"/>
        <v>1272</v>
      </c>
      <c r="L1360" s="97">
        <f>_xlfn.XLOOKUP(E1360,Emp_Data!$B$2:$B$9,Emp_Data!$A$2:$A$9)</f>
        <v>4</v>
      </c>
    </row>
    <row r="1361" spans="1:12">
      <c r="A1361" s="99">
        <v>697</v>
      </c>
      <c r="B1361" s="101">
        <v>44406</v>
      </c>
      <c r="C1361" s="96">
        <v>5</v>
      </c>
      <c r="D1361" s="104" t="s">
        <v>16</v>
      </c>
      <c r="E1361" s="97" t="s">
        <v>21</v>
      </c>
      <c r="F1361" s="97" t="str">
        <f>VLOOKUP(E1361,Emp_Data!$B$2:$C$9,2,)</f>
        <v>Sara</v>
      </c>
      <c r="G1361" s="97" t="s">
        <v>15</v>
      </c>
      <c r="H1361" s="97" t="s">
        <v>42</v>
      </c>
      <c r="I1361" s="97">
        <v>159</v>
      </c>
      <c r="J1361" s="97">
        <v>1</v>
      </c>
      <c r="K1361" s="97">
        <f t="shared" si="21"/>
        <v>159</v>
      </c>
      <c r="L1361" s="97">
        <f>_xlfn.XLOOKUP(E1361,Emp_Data!$B$2:$B$9,Emp_Data!$A$2:$A$9)</f>
        <v>2</v>
      </c>
    </row>
    <row r="1362" spans="1:12">
      <c r="A1362" s="99">
        <v>706</v>
      </c>
      <c r="B1362" s="101">
        <v>44411</v>
      </c>
      <c r="C1362" s="96">
        <v>7</v>
      </c>
      <c r="D1362" s="104" t="s">
        <v>28</v>
      </c>
      <c r="E1362" s="97" t="s">
        <v>11</v>
      </c>
      <c r="F1362" s="97" t="str">
        <f>VLOOKUP(E1362,Emp_Data!$B$2:$C$9,2,)</f>
        <v>Steve</v>
      </c>
      <c r="G1362" s="97" t="s">
        <v>12</v>
      </c>
      <c r="H1362" s="97" t="s">
        <v>42</v>
      </c>
      <c r="I1362" s="97">
        <v>159</v>
      </c>
      <c r="J1362" s="97">
        <v>2</v>
      </c>
      <c r="K1362" s="97">
        <f t="shared" si="21"/>
        <v>318</v>
      </c>
      <c r="L1362" s="97">
        <f>_xlfn.XLOOKUP(E1362,Emp_Data!$B$2:$B$9,Emp_Data!$A$2:$A$9)</f>
        <v>4</v>
      </c>
    </row>
    <row r="1363" spans="1:12">
      <c r="A1363" s="99">
        <v>709</v>
      </c>
      <c r="B1363" s="101">
        <v>44411</v>
      </c>
      <c r="C1363" s="96">
        <v>1</v>
      </c>
      <c r="D1363" s="104" t="s">
        <v>31</v>
      </c>
      <c r="E1363" s="97" t="s">
        <v>14</v>
      </c>
      <c r="F1363" s="97" t="str">
        <f>VLOOKUP(E1363,Emp_Data!$B$2:$C$9,2,)</f>
        <v>Jeff</v>
      </c>
      <c r="G1363" s="97" t="s">
        <v>15</v>
      </c>
      <c r="H1363" s="97" t="s">
        <v>42</v>
      </c>
      <c r="I1363" s="97">
        <v>159</v>
      </c>
      <c r="J1363" s="97">
        <v>9</v>
      </c>
      <c r="K1363" s="97">
        <f t="shared" si="21"/>
        <v>1431</v>
      </c>
      <c r="L1363" s="97">
        <f>_xlfn.XLOOKUP(E1363,Emp_Data!$B$2:$B$9,Emp_Data!$A$2:$A$9)</f>
        <v>2</v>
      </c>
    </row>
    <row r="1364" spans="1:12">
      <c r="A1364" s="99">
        <v>712</v>
      </c>
      <c r="B1364" s="101">
        <v>44412</v>
      </c>
      <c r="C1364" s="96">
        <v>12</v>
      </c>
      <c r="D1364" s="104" t="s">
        <v>17</v>
      </c>
      <c r="E1364" s="97" t="s">
        <v>18</v>
      </c>
      <c r="F1364" s="97" t="str">
        <f>VLOOKUP(E1364,Emp_Data!$B$2:$C$9,2,)</f>
        <v>Sara</v>
      </c>
      <c r="G1364" s="97" t="s">
        <v>19</v>
      </c>
      <c r="H1364" s="97" t="s">
        <v>42</v>
      </c>
      <c r="I1364" s="97">
        <v>159</v>
      </c>
      <c r="J1364" s="97">
        <v>0</v>
      </c>
      <c r="K1364" s="97">
        <f t="shared" si="21"/>
        <v>0</v>
      </c>
      <c r="L1364" s="97">
        <f>_xlfn.XLOOKUP(E1364,Emp_Data!$B$2:$B$9,Emp_Data!$A$2:$A$9)</f>
        <v>5</v>
      </c>
    </row>
    <row r="1365" spans="1:12">
      <c r="A1365" s="99">
        <v>713</v>
      </c>
      <c r="B1365" s="101">
        <v>44412</v>
      </c>
      <c r="C1365" s="96">
        <v>19</v>
      </c>
      <c r="D1365" s="104" t="s">
        <v>22</v>
      </c>
      <c r="E1365" s="97" t="s">
        <v>25</v>
      </c>
      <c r="F1365" s="97" t="str">
        <f>VLOOKUP(E1365,Emp_Data!$B$2:$C$9,2,)</f>
        <v>Jeff</v>
      </c>
      <c r="G1365" s="97" t="s">
        <v>9</v>
      </c>
      <c r="H1365" s="97" t="s">
        <v>42</v>
      </c>
      <c r="I1365" s="97">
        <v>159</v>
      </c>
      <c r="J1365" s="97">
        <v>8</v>
      </c>
      <c r="K1365" s="97">
        <f t="shared" si="21"/>
        <v>1272</v>
      </c>
      <c r="L1365" s="97">
        <f>_xlfn.XLOOKUP(E1365,Emp_Data!$B$2:$B$9,Emp_Data!$A$2:$A$9)</f>
        <v>5</v>
      </c>
    </row>
    <row r="1366" spans="1:12">
      <c r="A1366" s="99">
        <v>715</v>
      </c>
      <c r="B1366" s="101">
        <v>44413</v>
      </c>
      <c r="C1366" s="96">
        <v>13</v>
      </c>
      <c r="D1366" s="104" t="s">
        <v>23</v>
      </c>
      <c r="E1366" s="97" t="s">
        <v>24</v>
      </c>
      <c r="F1366" s="97" t="str">
        <f>VLOOKUP(E1366,Emp_Data!$B$2:$C$9,2,)</f>
        <v>Steve</v>
      </c>
      <c r="G1366" s="97" t="s">
        <v>19</v>
      </c>
      <c r="H1366" s="97" t="s">
        <v>42</v>
      </c>
      <c r="I1366" s="97">
        <v>159</v>
      </c>
      <c r="J1366" s="97">
        <v>5</v>
      </c>
      <c r="K1366" s="97">
        <f t="shared" si="21"/>
        <v>795</v>
      </c>
      <c r="L1366" s="97">
        <f>_xlfn.XLOOKUP(E1366,Emp_Data!$B$2:$B$9,Emp_Data!$A$2:$A$9)</f>
        <v>6</v>
      </c>
    </row>
    <row r="1367" spans="1:12">
      <c r="A1367" s="99">
        <v>718</v>
      </c>
      <c r="B1367" s="101">
        <v>44414</v>
      </c>
      <c r="C1367" s="96">
        <v>13</v>
      </c>
      <c r="D1367" s="104" t="s">
        <v>23</v>
      </c>
      <c r="E1367" s="97" t="s">
        <v>24</v>
      </c>
      <c r="F1367" s="97" t="str">
        <f>VLOOKUP(E1367,Emp_Data!$B$2:$C$9,2,)</f>
        <v>Steve</v>
      </c>
      <c r="G1367" s="97" t="s">
        <v>19</v>
      </c>
      <c r="H1367" s="97" t="s">
        <v>42</v>
      </c>
      <c r="I1367" s="97">
        <v>159</v>
      </c>
      <c r="J1367" s="97">
        <v>3</v>
      </c>
      <c r="K1367" s="97">
        <f t="shared" si="21"/>
        <v>477</v>
      </c>
      <c r="L1367" s="97">
        <f>_xlfn.XLOOKUP(E1367,Emp_Data!$B$2:$B$9,Emp_Data!$A$2:$A$9)</f>
        <v>6</v>
      </c>
    </row>
    <row r="1368" spans="1:12">
      <c r="A1368" s="99">
        <v>719</v>
      </c>
      <c r="B1368" s="101">
        <v>44414</v>
      </c>
      <c r="C1368" s="96">
        <v>2</v>
      </c>
      <c r="D1368" s="104" t="s">
        <v>35</v>
      </c>
      <c r="E1368" s="97" t="s">
        <v>21</v>
      </c>
      <c r="F1368" s="97" t="str">
        <f>VLOOKUP(E1368,Emp_Data!$B$2:$C$9,2,)</f>
        <v>Sara</v>
      </c>
      <c r="G1368" s="97" t="s">
        <v>15</v>
      </c>
      <c r="H1368" s="97" t="s">
        <v>42</v>
      </c>
      <c r="I1368" s="97">
        <v>159</v>
      </c>
      <c r="J1368" s="97">
        <v>4</v>
      </c>
      <c r="K1368" s="97">
        <f t="shared" si="21"/>
        <v>636</v>
      </c>
      <c r="L1368" s="97">
        <f>_xlfn.XLOOKUP(E1368,Emp_Data!$B$2:$B$9,Emp_Data!$A$2:$A$9)</f>
        <v>2</v>
      </c>
    </row>
    <row r="1369" spans="1:12">
      <c r="A1369" s="99">
        <v>721</v>
      </c>
      <c r="B1369" s="101">
        <v>44415</v>
      </c>
      <c r="C1369" s="96">
        <v>7</v>
      </c>
      <c r="D1369" s="104" t="s">
        <v>28</v>
      </c>
      <c r="E1369" s="97" t="s">
        <v>11</v>
      </c>
      <c r="F1369" s="97" t="str">
        <f>VLOOKUP(E1369,Emp_Data!$B$2:$C$9,2,)</f>
        <v>Steve</v>
      </c>
      <c r="G1369" s="97" t="s">
        <v>12</v>
      </c>
      <c r="H1369" s="97" t="s">
        <v>42</v>
      </c>
      <c r="I1369" s="97">
        <v>159</v>
      </c>
      <c r="J1369" s="97">
        <v>5</v>
      </c>
      <c r="K1369" s="97">
        <f t="shared" si="21"/>
        <v>795</v>
      </c>
      <c r="L1369" s="97">
        <f>_xlfn.XLOOKUP(E1369,Emp_Data!$B$2:$B$9,Emp_Data!$A$2:$A$9)</f>
        <v>4</v>
      </c>
    </row>
    <row r="1370" spans="1:12">
      <c r="A1370" s="99">
        <v>722</v>
      </c>
      <c r="B1370" s="101">
        <v>44415</v>
      </c>
      <c r="C1370" s="96">
        <v>11</v>
      </c>
      <c r="D1370" s="104" t="s">
        <v>38</v>
      </c>
      <c r="E1370" s="97" t="s">
        <v>24</v>
      </c>
      <c r="F1370" s="97" t="str">
        <f>VLOOKUP(E1370,Emp_Data!$B$2:$C$9,2,)</f>
        <v>Steve</v>
      </c>
      <c r="G1370" s="97" t="s">
        <v>19</v>
      </c>
      <c r="H1370" s="97" t="s">
        <v>42</v>
      </c>
      <c r="I1370" s="97">
        <v>159</v>
      </c>
      <c r="J1370" s="97">
        <v>4</v>
      </c>
      <c r="K1370" s="97">
        <f t="shared" si="21"/>
        <v>636</v>
      </c>
      <c r="L1370" s="97">
        <f>_xlfn.XLOOKUP(E1370,Emp_Data!$B$2:$B$9,Emp_Data!$A$2:$A$9)</f>
        <v>6</v>
      </c>
    </row>
    <row r="1371" spans="1:12">
      <c r="A1371" s="99">
        <v>733</v>
      </c>
      <c r="B1371" s="101">
        <v>44418</v>
      </c>
      <c r="C1371" s="96">
        <v>17</v>
      </c>
      <c r="D1371" s="104" t="s">
        <v>32</v>
      </c>
      <c r="E1371" s="97" t="s">
        <v>8</v>
      </c>
      <c r="F1371" s="97" t="str">
        <f>VLOOKUP(E1371,Emp_Data!$B$2:$C$9,2,)</f>
        <v>Jeff</v>
      </c>
      <c r="G1371" s="97" t="s">
        <v>9</v>
      </c>
      <c r="H1371" s="97" t="s">
        <v>42</v>
      </c>
      <c r="I1371" s="97">
        <v>159</v>
      </c>
      <c r="J1371" s="97">
        <v>4</v>
      </c>
      <c r="K1371" s="97">
        <f t="shared" si="21"/>
        <v>636</v>
      </c>
      <c r="L1371" s="97">
        <f>_xlfn.XLOOKUP(E1371,Emp_Data!$B$2:$B$9,Emp_Data!$A$2:$A$9)</f>
        <v>3</v>
      </c>
    </row>
    <row r="1372" spans="1:12">
      <c r="A1372" s="99">
        <v>736</v>
      </c>
      <c r="B1372" s="101">
        <v>44419</v>
      </c>
      <c r="C1372" s="96">
        <v>14</v>
      </c>
      <c r="D1372" s="104" t="s">
        <v>33</v>
      </c>
      <c r="E1372" s="97" t="s">
        <v>18</v>
      </c>
      <c r="F1372" s="97" t="str">
        <f>VLOOKUP(E1372,Emp_Data!$B$2:$C$9,2,)</f>
        <v>Sara</v>
      </c>
      <c r="G1372" s="97" t="s">
        <v>19</v>
      </c>
      <c r="H1372" s="97" t="s">
        <v>42</v>
      </c>
      <c r="I1372" s="97">
        <v>159</v>
      </c>
      <c r="J1372" s="97">
        <v>6</v>
      </c>
      <c r="K1372" s="97">
        <f t="shared" si="21"/>
        <v>954</v>
      </c>
      <c r="L1372" s="97">
        <f>_xlfn.XLOOKUP(E1372,Emp_Data!$B$2:$B$9,Emp_Data!$A$2:$A$9)</f>
        <v>5</v>
      </c>
    </row>
    <row r="1373" spans="1:12">
      <c r="A1373" s="99">
        <v>737</v>
      </c>
      <c r="B1373" s="101">
        <v>44419</v>
      </c>
      <c r="C1373" s="96">
        <v>12</v>
      </c>
      <c r="D1373" s="104" t="s">
        <v>17</v>
      </c>
      <c r="E1373" s="97" t="s">
        <v>24</v>
      </c>
      <c r="F1373" s="97" t="str">
        <f>VLOOKUP(E1373,Emp_Data!$B$2:$C$9,2,)</f>
        <v>Steve</v>
      </c>
      <c r="G1373" s="97" t="s">
        <v>19</v>
      </c>
      <c r="H1373" s="97" t="s">
        <v>42</v>
      </c>
      <c r="I1373" s="97">
        <v>159</v>
      </c>
      <c r="J1373" s="97">
        <v>5</v>
      </c>
      <c r="K1373" s="97">
        <f t="shared" si="21"/>
        <v>795</v>
      </c>
      <c r="L1373" s="97">
        <f>_xlfn.XLOOKUP(E1373,Emp_Data!$B$2:$B$9,Emp_Data!$A$2:$A$9)</f>
        <v>6</v>
      </c>
    </row>
    <row r="1374" spans="1:12">
      <c r="A1374" s="99">
        <v>746</v>
      </c>
      <c r="B1374" s="101">
        <v>44425</v>
      </c>
      <c r="C1374" s="96">
        <v>2</v>
      </c>
      <c r="D1374" s="104" t="s">
        <v>35</v>
      </c>
      <c r="E1374" s="97" t="s">
        <v>21</v>
      </c>
      <c r="F1374" s="97" t="str">
        <f>VLOOKUP(E1374,Emp_Data!$B$2:$C$9,2,)</f>
        <v>Sara</v>
      </c>
      <c r="G1374" s="97" t="s">
        <v>15</v>
      </c>
      <c r="H1374" s="97" t="s">
        <v>42</v>
      </c>
      <c r="I1374" s="97">
        <v>159</v>
      </c>
      <c r="J1374" s="97">
        <v>8</v>
      </c>
      <c r="K1374" s="97">
        <f t="shared" si="21"/>
        <v>1272</v>
      </c>
      <c r="L1374" s="97">
        <f>_xlfn.XLOOKUP(E1374,Emp_Data!$B$2:$B$9,Emp_Data!$A$2:$A$9)</f>
        <v>2</v>
      </c>
    </row>
    <row r="1375" spans="1:12">
      <c r="A1375" s="99">
        <v>750</v>
      </c>
      <c r="B1375" s="101">
        <v>44426</v>
      </c>
      <c r="C1375" s="96">
        <v>20</v>
      </c>
      <c r="D1375" s="104" t="s">
        <v>7</v>
      </c>
      <c r="E1375" s="97" t="s">
        <v>8</v>
      </c>
      <c r="F1375" s="97" t="str">
        <f>VLOOKUP(E1375,Emp_Data!$B$2:$C$9,2,)</f>
        <v>Jeff</v>
      </c>
      <c r="G1375" s="97" t="s">
        <v>9</v>
      </c>
      <c r="H1375" s="97" t="s">
        <v>42</v>
      </c>
      <c r="I1375" s="97">
        <v>159</v>
      </c>
      <c r="J1375" s="97">
        <v>9</v>
      </c>
      <c r="K1375" s="97">
        <f t="shared" si="21"/>
        <v>1431</v>
      </c>
      <c r="L1375" s="97">
        <f>_xlfn.XLOOKUP(E1375,Emp_Data!$B$2:$B$9,Emp_Data!$A$2:$A$9)</f>
        <v>3</v>
      </c>
    </row>
    <row r="1376" spans="1:12">
      <c r="A1376" s="99">
        <v>761</v>
      </c>
      <c r="B1376" s="101">
        <v>44429</v>
      </c>
      <c r="C1376" s="96">
        <v>16</v>
      </c>
      <c r="D1376" s="104" t="s">
        <v>37</v>
      </c>
      <c r="E1376" s="97" t="s">
        <v>8</v>
      </c>
      <c r="F1376" s="97" t="str">
        <f>VLOOKUP(E1376,Emp_Data!$B$2:$C$9,2,)</f>
        <v>Jeff</v>
      </c>
      <c r="G1376" s="97" t="s">
        <v>9</v>
      </c>
      <c r="H1376" s="97" t="s">
        <v>42</v>
      </c>
      <c r="I1376" s="97">
        <v>159</v>
      </c>
      <c r="J1376" s="97">
        <v>6</v>
      </c>
      <c r="K1376" s="97">
        <f t="shared" si="21"/>
        <v>954</v>
      </c>
      <c r="L1376" s="97">
        <f>_xlfn.XLOOKUP(E1376,Emp_Data!$B$2:$B$9,Emp_Data!$A$2:$A$9)</f>
        <v>3</v>
      </c>
    </row>
    <row r="1377" spans="1:12">
      <c r="A1377" s="99">
        <v>765</v>
      </c>
      <c r="B1377" s="101">
        <v>44430</v>
      </c>
      <c r="C1377" s="96">
        <v>19</v>
      </c>
      <c r="D1377" s="104" t="s">
        <v>22</v>
      </c>
      <c r="E1377" s="97" t="s">
        <v>8</v>
      </c>
      <c r="F1377" s="97" t="str">
        <f>VLOOKUP(E1377,Emp_Data!$B$2:$C$9,2,)</f>
        <v>Jeff</v>
      </c>
      <c r="G1377" s="97" t="s">
        <v>9</v>
      </c>
      <c r="H1377" s="97" t="s">
        <v>42</v>
      </c>
      <c r="I1377" s="97">
        <v>159</v>
      </c>
      <c r="J1377" s="97">
        <v>8</v>
      </c>
      <c r="K1377" s="97">
        <f t="shared" si="21"/>
        <v>1272</v>
      </c>
      <c r="L1377" s="97">
        <f>_xlfn.XLOOKUP(E1377,Emp_Data!$B$2:$B$9,Emp_Data!$A$2:$A$9)</f>
        <v>3</v>
      </c>
    </row>
    <row r="1378" spans="1:12">
      <c r="A1378" s="99">
        <v>768</v>
      </c>
      <c r="B1378" s="101">
        <v>44432</v>
      </c>
      <c r="C1378" s="96">
        <v>15</v>
      </c>
      <c r="D1378" s="104" t="s">
        <v>29</v>
      </c>
      <c r="E1378" s="97" t="s">
        <v>24</v>
      </c>
      <c r="F1378" s="97" t="str">
        <f>VLOOKUP(E1378,Emp_Data!$B$2:$C$9,2,)</f>
        <v>Steve</v>
      </c>
      <c r="G1378" s="97" t="s">
        <v>19</v>
      </c>
      <c r="H1378" s="97" t="s">
        <v>42</v>
      </c>
      <c r="I1378" s="97">
        <v>159</v>
      </c>
      <c r="J1378" s="97">
        <v>1</v>
      </c>
      <c r="K1378" s="97">
        <f t="shared" si="21"/>
        <v>159</v>
      </c>
      <c r="L1378" s="97">
        <f>_xlfn.XLOOKUP(E1378,Emp_Data!$B$2:$B$9,Emp_Data!$A$2:$A$9)</f>
        <v>6</v>
      </c>
    </row>
    <row r="1379" spans="1:12">
      <c r="A1379" s="99">
        <v>782</v>
      </c>
      <c r="B1379" s="101">
        <v>44437</v>
      </c>
      <c r="C1379" s="96">
        <v>1</v>
      </c>
      <c r="D1379" s="104" t="s">
        <v>31</v>
      </c>
      <c r="E1379" s="97" t="s">
        <v>14</v>
      </c>
      <c r="F1379" s="97" t="str">
        <f>VLOOKUP(E1379,Emp_Data!$B$2:$C$9,2,)</f>
        <v>Jeff</v>
      </c>
      <c r="G1379" s="97" t="s">
        <v>15</v>
      </c>
      <c r="H1379" s="97" t="s">
        <v>42</v>
      </c>
      <c r="I1379" s="97">
        <v>159</v>
      </c>
      <c r="J1379" s="97">
        <v>9</v>
      </c>
      <c r="K1379" s="97">
        <f t="shared" si="21"/>
        <v>1431</v>
      </c>
      <c r="L1379" s="97">
        <f>_xlfn.XLOOKUP(E1379,Emp_Data!$B$2:$B$9,Emp_Data!$A$2:$A$9)</f>
        <v>2</v>
      </c>
    </row>
    <row r="1380" spans="1:12">
      <c r="A1380" s="99">
        <v>789</v>
      </c>
      <c r="B1380" s="101">
        <v>44438</v>
      </c>
      <c r="C1380" s="96">
        <v>6</v>
      </c>
      <c r="D1380" s="104" t="s">
        <v>10</v>
      </c>
      <c r="E1380" s="97" t="s">
        <v>11</v>
      </c>
      <c r="F1380" s="97" t="str">
        <f>VLOOKUP(E1380,Emp_Data!$B$2:$C$9,2,)</f>
        <v>Steve</v>
      </c>
      <c r="G1380" s="97" t="s">
        <v>12</v>
      </c>
      <c r="H1380" s="97" t="s">
        <v>42</v>
      </c>
      <c r="I1380" s="97">
        <v>159</v>
      </c>
      <c r="J1380" s="97">
        <v>8</v>
      </c>
      <c r="K1380" s="97">
        <f t="shared" si="21"/>
        <v>1272</v>
      </c>
      <c r="L1380" s="97">
        <f>_xlfn.XLOOKUP(E1380,Emp_Data!$B$2:$B$9,Emp_Data!$A$2:$A$9)</f>
        <v>4</v>
      </c>
    </row>
    <row r="1381" spans="1:12">
      <c r="A1381" s="99">
        <v>790</v>
      </c>
      <c r="B1381" s="101">
        <v>44438</v>
      </c>
      <c r="C1381" s="96">
        <v>13</v>
      </c>
      <c r="D1381" s="104" t="s">
        <v>23</v>
      </c>
      <c r="E1381" s="97" t="s">
        <v>24</v>
      </c>
      <c r="F1381" s="97" t="str">
        <f>VLOOKUP(E1381,Emp_Data!$B$2:$C$9,2,)</f>
        <v>Steve</v>
      </c>
      <c r="G1381" s="97" t="s">
        <v>19</v>
      </c>
      <c r="H1381" s="97" t="s">
        <v>42</v>
      </c>
      <c r="I1381" s="97">
        <v>159</v>
      </c>
      <c r="J1381" s="97">
        <v>8</v>
      </c>
      <c r="K1381" s="97">
        <f t="shared" si="21"/>
        <v>1272</v>
      </c>
      <c r="L1381" s="97">
        <f>_xlfn.XLOOKUP(E1381,Emp_Data!$B$2:$B$9,Emp_Data!$A$2:$A$9)</f>
        <v>6</v>
      </c>
    </row>
    <row r="1382" spans="1:12">
      <c r="A1382" s="99">
        <v>792</v>
      </c>
      <c r="B1382" s="101">
        <v>44439</v>
      </c>
      <c r="C1382" s="96">
        <v>16</v>
      </c>
      <c r="D1382" s="104" t="s">
        <v>37</v>
      </c>
      <c r="E1382" s="97" t="s">
        <v>25</v>
      </c>
      <c r="F1382" s="97" t="str">
        <f>VLOOKUP(E1382,Emp_Data!$B$2:$C$9,2,)</f>
        <v>Jeff</v>
      </c>
      <c r="G1382" s="97" t="s">
        <v>9</v>
      </c>
      <c r="H1382" s="97" t="s">
        <v>42</v>
      </c>
      <c r="I1382" s="97">
        <v>159</v>
      </c>
      <c r="J1382" s="97">
        <v>9</v>
      </c>
      <c r="K1382" s="97">
        <f t="shared" si="21"/>
        <v>1431</v>
      </c>
      <c r="L1382" s="97">
        <f>_xlfn.XLOOKUP(E1382,Emp_Data!$B$2:$B$9,Emp_Data!$A$2:$A$9)</f>
        <v>5</v>
      </c>
    </row>
    <row r="1383" spans="1:12">
      <c r="A1383" s="99">
        <v>800</v>
      </c>
      <c r="B1383" s="101">
        <v>44442</v>
      </c>
      <c r="C1383" s="96">
        <v>3</v>
      </c>
      <c r="D1383" s="104" t="s">
        <v>20</v>
      </c>
      <c r="E1383" s="97" t="s">
        <v>21</v>
      </c>
      <c r="F1383" s="97" t="str">
        <f>VLOOKUP(E1383,Emp_Data!$B$2:$C$9,2,)</f>
        <v>Sara</v>
      </c>
      <c r="G1383" s="97" t="s">
        <v>15</v>
      </c>
      <c r="H1383" s="97" t="s">
        <v>42</v>
      </c>
      <c r="I1383" s="97">
        <v>159</v>
      </c>
      <c r="J1383" s="97">
        <v>4</v>
      </c>
      <c r="K1383" s="97">
        <f t="shared" si="21"/>
        <v>636</v>
      </c>
      <c r="L1383" s="97">
        <f>_xlfn.XLOOKUP(E1383,Emp_Data!$B$2:$B$9,Emp_Data!$A$2:$A$9)</f>
        <v>2</v>
      </c>
    </row>
    <row r="1384" spans="1:12">
      <c r="A1384" s="99">
        <v>807</v>
      </c>
      <c r="B1384" s="101">
        <v>44444</v>
      </c>
      <c r="C1384" s="96">
        <v>11</v>
      </c>
      <c r="D1384" s="104" t="s">
        <v>38</v>
      </c>
      <c r="E1384" s="97" t="s">
        <v>18</v>
      </c>
      <c r="F1384" s="97" t="str">
        <f>VLOOKUP(E1384,Emp_Data!$B$2:$C$9,2,)</f>
        <v>Sara</v>
      </c>
      <c r="G1384" s="97" t="s">
        <v>19</v>
      </c>
      <c r="H1384" s="97" t="s">
        <v>42</v>
      </c>
      <c r="I1384" s="97">
        <v>159</v>
      </c>
      <c r="J1384" s="97">
        <v>5</v>
      </c>
      <c r="K1384" s="97">
        <f t="shared" si="21"/>
        <v>795</v>
      </c>
      <c r="L1384" s="97">
        <f>_xlfn.XLOOKUP(E1384,Emp_Data!$B$2:$B$9,Emp_Data!$A$2:$A$9)</f>
        <v>5</v>
      </c>
    </row>
    <row r="1385" spans="1:12">
      <c r="A1385" s="99">
        <v>813</v>
      </c>
      <c r="B1385" s="101">
        <v>44447</v>
      </c>
      <c r="C1385" s="96">
        <v>16</v>
      </c>
      <c r="D1385" s="104" t="s">
        <v>37</v>
      </c>
      <c r="E1385" s="97" t="s">
        <v>8</v>
      </c>
      <c r="F1385" s="97" t="str">
        <f>VLOOKUP(E1385,Emp_Data!$B$2:$C$9,2,)</f>
        <v>Jeff</v>
      </c>
      <c r="G1385" s="97" t="s">
        <v>9</v>
      </c>
      <c r="H1385" s="97" t="s">
        <v>42</v>
      </c>
      <c r="I1385" s="97">
        <v>159</v>
      </c>
      <c r="J1385" s="97">
        <v>8</v>
      </c>
      <c r="K1385" s="97">
        <f t="shared" si="21"/>
        <v>1272</v>
      </c>
      <c r="L1385" s="97">
        <f>_xlfn.XLOOKUP(E1385,Emp_Data!$B$2:$B$9,Emp_Data!$A$2:$A$9)</f>
        <v>3</v>
      </c>
    </row>
    <row r="1386" spans="1:12">
      <c r="A1386" s="99">
        <v>814</v>
      </c>
      <c r="B1386" s="101">
        <v>44447</v>
      </c>
      <c r="C1386" s="96">
        <v>16</v>
      </c>
      <c r="D1386" s="104" t="s">
        <v>37</v>
      </c>
      <c r="E1386" s="97" t="s">
        <v>25</v>
      </c>
      <c r="F1386" s="97" t="str">
        <f>VLOOKUP(E1386,Emp_Data!$B$2:$C$9,2,)</f>
        <v>Jeff</v>
      </c>
      <c r="G1386" s="97" t="s">
        <v>9</v>
      </c>
      <c r="H1386" s="97" t="s">
        <v>42</v>
      </c>
      <c r="I1386" s="97">
        <v>159</v>
      </c>
      <c r="J1386" s="97">
        <v>4</v>
      </c>
      <c r="K1386" s="97">
        <f t="shared" si="21"/>
        <v>636</v>
      </c>
      <c r="L1386" s="97">
        <f>_xlfn.XLOOKUP(E1386,Emp_Data!$B$2:$B$9,Emp_Data!$A$2:$A$9)</f>
        <v>5</v>
      </c>
    </row>
    <row r="1387" spans="1:12">
      <c r="A1387" s="99">
        <v>815</v>
      </c>
      <c r="B1387" s="101">
        <v>44447</v>
      </c>
      <c r="C1387" s="96">
        <v>3</v>
      </c>
      <c r="D1387" s="104" t="s">
        <v>20</v>
      </c>
      <c r="E1387" s="97" t="s">
        <v>14</v>
      </c>
      <c r="F1387" s="97" t="str">
        <f>VLOOKUP(E1387,Emp_Data!$B$2:$C$9,2,)</f>
        <v>Jeff</v>
      </c>
      <c r="G1387" s="97" t="s">
        <v>15</v>
      </c>
      <c r="H1387" s="97" t="s">
        <v>42</v>
      </c>
      <c r="I1387" s="97">
        <v>159</v>
      </c>
      <c r="J1387" s="97">
        <v>8</v>
      </c>
      <c r="K1387" s="97">
        <f t="shared" si="21"/>
        <v>1272</v>
      </c>
      <c r="L1387" s="97">
        <f>_xlfn.XLOOKUP(E1387,Emp_Data!$B$2:$B$9,Emp_Data!$A$2:$A$9)</f>
        <v>2</v>
      </c>
    </row>
    <row r="1388" spans="1:12">
      <c r="A1388" s="99">
        <v>820</v>
      </c>
      <c r="B1388" s="101">
        <v>44449</v>
      </c>
      <c r="C1388" s="96">
        <v>11</v>
      </c>
      <c r="D1388" s="104" t="s">
        <v>38</v>
      </c>
      <c r="E1388" s="97" t="s">
        <v>24</v>
      </c>
      <c r="F1388" s="97" t="str">
        <f>VLOOKUP(E1388,Emp_Data!$B$2:$C$9,2,)</f>
        <v>Steve</v>
      </c>
      <c r="G1388" s="97" t="s">
        <v>19</v>
      </c>
      <c r="H1388" s="97" t="s">
        <v>42</v>
      </c>
      <c r="I1388" s="97">
        <v>159</v>
      </c>
      <c r="J1388" s="97">
        <v>4</v>
      </c>
      <c r="K1388" s="97">
        <f t="shared" si="21"/>
        <v>636</v>
      </c>
      <c r="L1388" s="97">
        <f>_xlfn.XLOOKUP(E1388,Emp_Data!$B$2:$B$9,Emp_Data!$A$2:$A$9)</f>
        <v>6</v>
      </c>
    </row>
    <row r="1389" spans="1:12">
      <c r="A1389" s="99">
        <v>821</v>
      </c>
      <c r="B1389" s="101">
        <v>44449</v>
      </c>
      <c r="C1389" s="96">
        <v>12</v>
      </c>
      <c r="D1389" s="104" t="s">
        <v>17</v>
      </c>
      <c r="E1389" s="97" t="s">
        <v>18</v>
      </c>
      <c r="F1389" s="97" t="str">
        <f>VLOOKUP(E1389,Emp_Data!$B$2:$C$9,2,)</f>
        <v>Sara</v>
      </c>
      <c r="G1389" s="97" t="s">
        <v>19</v>
      </c>
      <c r="H1389" s="97" t="s">
        <v>42</v>
      </c>
      <c r="I1389" s="97">
        <v>159</v>
      </c>
      <c r="J1389" s="97">
        <v>4</v>
      </c>
      <c r="K1389" s="97">
        <f t="shared" si="21"/>
        <v>636</v>
      </c>
      <c r="L1389" s="97">
        <f>_xlfn.XLOOKUP(E1389,Emp_Data!$B$2:$B$9,Emp_Data!$A$2:$A$9)</f>
        <v>5</v>
      </c>
    </row>
    <row r="1390" spans="1:12">
      <c r="A1390" s="99">
        <v>827</v>
      </c>
      <c r="B1390" s="101">
        <v>44450</v>
      </c>
      <c r="C1390" s="96">
        <v>1</v>
      </c>
      <c r="D1390" s="104" t="s">
        <v>31</v>
      </c>
      <c r="E1390" s="97" t="s">
        <v>14</v>
      </c>
      <c r="F1390" s="97" t="str">
        <f>VLOOKUP(E1390,Emp_Data!$B$2:$C$9,2,)</f>
        <v>Jeff</v>
      </c>
      <c r="G1390" s="97" t="s">
        <v>15</v>
      </c>
      <c r="H1390" s="97" t="s">
        <v>42</v>
      </c>
      <c r="I1390" s="97">
        <v>159</v>
      </c>
      <c r="J1390" s="97">
        <v>3</v>
      </c>
      <c r="K1390" s="97">
        <f t="shared" si="21"/>
        <v>477</v>
      </c>
      <c r="L1390" s="97">
        <f>_xlfn.XLOOKUP(E1390,Emp_Data!$B$2:$B$9,Emp_Data!$A$2:$A$9)</f>
        <v>2</v>
      </c>
    </row>
    <row r="1391" spans="1:12">
      <c r="A1391" s="99">
        <v>840</v>
      </c>
      <c r="B1391" s="101">
        <v>44459</v>
      </c>
      <c r="C1391" s="96">
        <v>6</v>
      </c>
      <c r="D1391" s="104" t="s">
        <v>10</v>
      </c>
      <c r="E1391" s="97" t="s">
        <v>11</v>
      </c>
      <c r="F1391" s="97" t="str">
        <f>VLOOKUP(E1391,Emp_Data!$B$2:$C$9,2,)</f>
        <v>Steve</v>
      </c>
      <c r="G1391" s="97" t="s">
        <v>12</v>
      </c>
      <c r="H1391" s="97" t="s">
        <v>42</v>
      </c>
      <c r="I1391" s="97">
        <v>159</v>
      </c>
      <c r="J1391" s="97">
        <v>8</v>
      </c>
      <c r="K1391" s="97">
        <f t="shared" si="21"/>
        <v>1272</v>
      </c>
      <c r="L1391" s="97">
        <f>_xlfn.XLOOKUP(E1391,Emp_Data!$B$2:$B$9,Emp_Data!$A$2:$A$9)</f>
        <v>4</v>
      </c>
    </row>
    <row r="1392" spans="1:12">
      <c r="A1392" s="99">
        <v>845</v>
      </c>
      <c r="B1392" s="101">
        <v>44460</v>
      </c>
      <c r="C1392" s="96">
        <v>8</v>
      </c>
      <c r="D1392" s="104" t="s">
        <v>36</v>
      </c>
      <c r="E1392" s="97" t="s">
        <v>11</v>
      </c>
      <c r="F1392" s="97" t="str">
        <f>VLOOKUP(E1392,Emp_Data!$B$2:$C$9,2,)</f>
        <v>Steve</v>
      </c>
      <c r="G1392" s="97" t="s">
        <v>12</v>
      </c>
      <c r="H1392" s="97" t="s">
        <v>42</v>
      </c>
      <c r="I1392" s="97">
        <v>159</v>
      </c>
      <c r="J1392" s="97">
        <v>7</v>
      </c>
      <c r="K1392" s="97">
        <f t="shared" si="21"/>
        <v>1113</v>
      </c>
      <c r="L1392" s="97">
        <f>_xlfn.XLOOKUP(E1392,Emp_Data!$B$2:$B$9,Emp_Data!$A$2:$A$9)</f>
        <v>4</v>
      </c>
    </row>
    <row r="1393" spans="1:12">
      <c r="A1393" s="99">
        <v>847</v>
      </c>
      <c r="B1393" s="101">
        <v>44461</v>
      </c>
      <c r="C1393" s="96">
        <v>5</v>
      </c>
      <c r="D1393" s="104" t="s">
        <v>16</v>
      </c>
      <c r="E1393" s="97" t="s">
        <v>14</v>
      </c>
      <c r="F1393" s="97" t="str">
        <f>VLOOKUP(E1393,Emp_Data!$B$2:$C$9,2,)</f>
        <v>Jeff</v>
      </c>
      <c r="G1393" s="97" t="s">
        <v>15</v>
      </c>
      <c r="H1393" s="97" t="s">
        <v>42</v>
      </c>
      <c r="I1393" s="97">
        <v>159</v>
      </c>
      <c r="J1393" s="97">
        <v>0</v>
      </c>
      <c r="K1393" s="97">
        <f t="shared" si="21"/>
        <v>0</v>
      </c>
      <c r="L1393" s="97">
        <f>_xlfn.XLOOKUP(E1393,Emp_Data!$B$2:$B$9,Emp_Data!$A$2:$A$9)</f>
        <v>2</v>
      </c>
    </row>
    <row r="1394" spans="1:12">
      <c r="A1394" s="99">
        <v>856</v>
      </c>
      <c r="B1394" s="101">
        <v>44461</v>
      </c>
      <c r="C1394" s="96">
        <v>19</v>
      </c>
      <c r="D1394" s="104" t="s">
        <v>22</v>
      </c>
      <c r="E1394" s="97" t="s">
        <v>8</v>
      </c>
      <c r="F1394" s="97" t="str">
        <f>VLOOKUP(E1394,Emp_Data!$B$2:$C$9,2,)</f>
        <v>Jeff</v>
      </c>
      <c r="G1394" s="97" t="s">
        <v>9</v>
      </c>
      <c r="H1394" s="97" t="s">
        <v>42</v>
      </c>
      <c r="I1394" s="97">
        <v>159</v>
      </c>
      <c r="J1394" s="97">
        <v>3</v>
      </c>
      <c r="K1394" s="97">
        <f t="shared" si="21"/>
        <v>477</v>
      </c>
      <c r="L1394" s="97">
        <f>_xlfn.XLOOKUP(E1394,Emp_Data!$B$2:$B$9,Emp_Data!$A$2:$A$9)</f>
        <v>3</v>
      </c>
    </row>
    <row r="1395" spans="1:12">
      <c r="A1395" s="99">
        <v>870</v>
      </c>
      <c r="B1395" s="101">
        <v>44467</v>
      </c>
      <c r="C1395" s="96">
        <v>3</v>
      </c>
      <c r="D1395" s="104" t="s">
        <v>20</v>
      </c>
      <c r="E1395" s="97" t="s">
        <v>21</v>
      </c>
      <c r="F1395" s="97" t="str">
        <f>VLOOKUP(E1395,Emp_Data!$B$2:$C$9,2,)</f>
        <v>Sara</v>
      </c>
      <c r="G1395" s="97" t="s">
        <v>15</v>
      </c>
      <c r="H1395" s="97" t="s">
        <v>42</v>
      </c>
      <c r="I1395" s="97">
        <v>159</v>
      </c>
      <c r="J1395" s="97">
        <v>5</v>
      </c>
      <c r="K1395" s="97">
        <f t="shared" si="21"/>
        <v>795</v>
      </c>
      <c r="L1395" s="97">
        <f>_xlfn.XLOOKUP(E1395,Emp_Data!$B$2:$B$9,Emp_Data!$A$2:$A$9)</f>
        <v>2</v>
      </c>
    </row>
    <row r="1396" spans="1:12">
      <c r="A1396" s="99">
        <v>872</v>
      </c>
      <c r="B1396" s="101">
        <v>44467</v>
      </c>
      <c r="C1396" s="96">
        <v>1</v>
      </c>
      <c r="D1396" s="104" t="s">
        <v>31</v>
      </c>
      <c r="E1396" s="97" t="s">
        <v>14</v>
      </c>
      <c r="F1396" s="97" t="str">
        <f>VLOOKUP(E1396,Emp_Data!$B$2:$C$9,2,)</f>
        <v>Jeff</v>
      </c>
      <c r="G1396" s="97" t="s">
        <v>15</v>
      </c>
      <c r="H1396" s="97" t="s">
        <v>42</v>
      </c>
      <c r="I1396" s="97">
        <v>159</v>
      </c>
      <c r="J1396" s="97">
        <v>5</v>
      </c>
      <c r="K1396" s="97">
        <f t="shared" si="21"/>
        <v>795</v>
      </c>
      <c r="L1396" s="97">
        <f>_xlfn.XLOOKUP(E1396,Emp_Data!$B$2:$B$9,Emp_Data!$A$2:$A$9)</f>
        <v>2</v>
      </c>
    </row>
    <row r="1397" spans="1:12">
      <c r="A1397" s="99">
        <v>878</v>
      </c>
      <c r="B1397" s="101">
        <v>44469</v>
      </c>
      <c r="C1397" s="96">
        <v>15</v>
      </c>
      <c r="D1397" s="104" t="s">
        <v>29</v>
      </c>
      <c r="E1397" s="97" t="s">
        <v>24</v>
      </c>
      <c r="F1397" s="97" t="str">
        <f>VLOOKUP(E1397,Emp_Data!$B$2:$C$9,2,)</f>
        <v>Steve</v>
      </c>
      <c r="G1397" s="97" t="s">
        <v>19</v>
      </c>
      <c r="H1397" s="97" t="s">
        <v>42</v>
      </c>
      <c r="I1397" s="97">
        <v>159</v>
      </c>
      <c r="J1397" s="97">
        <v>0</v>
      </c>
      <c r="K1397" s="97">
        <f t="shared" si="21"/>
        <v>0</v>
      </c>
      <c r="L1397" s="97">
        <f>_xlfn.XLOOKUP(E1397,Emp_Data!$B$2:$B$9,Emp_Data!$A$2:$A$9)</f>
        <v>6</v>
      </c>
    </row>
    <row r="1398" spans="1:12">
      <c r="A1398" s="99">
        <v>882</v>
      </c>
      <c r="B1398" s="101">
        <v>44470</v>
      </c>
      <c r="C1398" s="96">
        <v>7</v>
      </c>
      <c r="D1398" s="104" t="s">
        <v>28</v>
      </c>
      <c r="E1398" s="97" t="s">
        <v>11</v>
      </c>
      <c r="F1398" s="97" t="str">
        <f>VLOOKUP(E1398,Emp_Data!$B$2:$C$9,2,)</f>
        <v>Steve</v>
      </c>
      <c r="G1398" s="97" t="s">
        <v>12</v>
      </c>
      <c r="H1398" s="97" t="s">
        <v>42</v>
      </c>
      <c r="I1398" s="97">
        <v>159</v>
      </c>
      <c r="J1398" s="97">
        <v>2</v>
      </c>
      <c r="K1398" s="97">
        <f t="shared" si="21"/>
        <v>318</v>
      </c>
      <c r="L1398" s="97">
        <f>_xlfn.XLOOKUP(E1398,Emp_Data!$B$2:$B$9,Emp_Data!$A$2:$A$9)</f>
        <v>4</v>
      </c>
    </row>
    <row r="1399" spans="1:12">
      <c r="A1399" s="99">
        <v>885</v>
      </c>
      <c r="B1399" s="101">
        <v>44471</v>
      </c>
      <c r="C1399" s="96">
        <v>15</v>
      </c>
      <c r="D1399" s="104" t="s">
        <v>29</v>
      </c>
      <c r="E1399" s="97" t="s">
        <v>24</v>
      </c>
      <c r="F1399" s="97" t="str">
        <f>VLOOKUP(E1399,Emp_Data!$B$2:$C$9,2,)</f>
        <v>Steve</v>
      </c>
      <c r="G1399" s="97" t="s">
        <v>19</v>
      </c>
      <c r="H1399" s="97" t="s">
        <v>42</v>
      </c>
      <c r="I1399" s="97">
        <v>159</v>
      </c>
      <c r="J1399" s="97">
        <v>8</v>
      </c>
      <c r="K1399" s="97">
        <f t="shared" si="21"/>
        <v>1272</v>
      </c>
      <c r="L1399" s="97">
        <f>_xlfn.XLOOKUP(E1399,Emp_Data!$B$2:$B$9,Emp_Data!$A$2:$A$9)</f>
        <v>6</v>
      </c>
    </row>
    <row r="1400" spans="1:12">
      <c r="A1400" s="99">
        <v>886</v>
      </c>
      <c r="B1400" s="101">
        <v>44472</v>
      </c>
      <c r="C1400" s="96">
        <v>20</v>
      </c>
      <c r="D1400" s="104" t="s">
        <v>7</v>
      </c>
      <c r="E1400" s="97" t="s">
        <v>25</v>
      </c>
      <c r="F1400" s="97" t="str">
        <f>VLOOKUP(E1400,Emp_Data!$B$2:$C$9,2,)</f>
        <v>Jeff</v>
      </c>
      <c r="G1400" s="97" t="s">
        <v>9</v>
      </c>
      <c r="H1400" s="97" t="s">
        <v>42</v>
      </c>
      <c r="I1400" s="97">
        <v>159</v>
      </c>
      <c r="J1400" s="97">
        <v>1</v>
      </c>
      <c r="K1400" s="97">
        <f t="shared" si="21"/>
        <v>159</v>
      </c>
      <c r="L1400" s="97">
        <f>_xlfn.XLOOKUP(E1400,Emp_Data!$B$2:$B$9,Emp_Data!$A$2:$A$9)</f>
        <v>5</v>
      </c>
    </row>
    <row r="1401" spans="1:12">
      <c r="A1401" s="99">
        <v>892</v>
      </c>
      <c r="B1401" s="101">
        <v>44474</v>
      </c>
      <c r="C1401" s="96">
        <v>16</v>
      </c>
      <c r="D1401" s="104" t="s">
        <v>37</v>
      </c>
      <c r="E1401" s="97" t="s">
        <v>8</v>
      </c>
      <c r="F1401" s="97" t="str">
        <f>VLOOKUP(E1401,Emp_Data!$B$2:$C$9,2,)</f>
        <v>Jeff</v>
      </c>
      <c r="G1401" s="97" t="s">
        <v>9</v>
      </c>
      <c r="H1401" s="97" t="s">
        <v>42</v>
      </c>
      <c r="I1401" s="97">
        <v>159</v>
      </c>
      <c r="J1401" s="97">
        <v>7</v>
      </c>
      <c r="K1401" s="97">
        <f t="shared" si="21"/>
        <v>1113</v>
      </c>
      <c r="L1401" s="97">
        <f>_xlfn.XLOOKUP(E1401,Emp_Data!$B$2:$B$9,Emp_Data!$A$2:$A$9)</f>
        <v>3</v>
      </c>
    </row>
    <row r="1402" spans="1:12">
      <c r="A1402" s="99">
        <v>894</v>
      </c>
      <c r="B1402" s="101">
        <v>44475</v>
      </c>
      <c r="C1402" s="96">
        <v>11</v>
      </c>
      <c r="D1402" s="104" t="s">
        <v>38</v>
      </c>
      <c r="E1402" s="97" t="s">
        <v>24</v>
      </c>
      <c r="F1402" s="97" t="str">
        <f>VLOOKUP(E1402,Emp_Data!$B$2:$C$9,2,)</f>
        <v>Steve</v>
      </c>
      <c r="G1402" s="97" t="s">
        <v>19</v>
      </c>
      <c r="H1402" s="97" t="s">
        <v>42</v>
      </c>
      <c r="I1402" s="97">
        <v>159</v>
      </c>
      <c r="J1402" s="97">
        <v>6</v>
      </c>
      <c r="K1402" s="97">
        <f t="shared" si="21"/>
        <v>954</v>
      </c>
      <c r="L1402" s="97">
        <f>_xlfn.XLOOKUP(E1402,Emp_Data!$B$2:$B$9,Emp_Data!$A$2:$A$9)</f>
        <v>6</v>
      </c>
    </row>
    <row r="1403" spans="1:12">
      <c r="A1403" s="99">
        <v>900</v>
      </c>
      <c r="B1403" s="101">
        <v>44476</v>
      </c>
      <c r="C1403" s="96">
        <v>4</v>
      </c>
      <c r="D1403" s="104" t="s">
        <v>13</v>
      </c>
      <c r="E1403" s="97" t="s">
        <v>14</v>
      </c>
      <c r="F1403" s="97" t="str">
        <f>VLOOKUP(E1403,Emp_Data!$B$2:$C$9,2,)</f>
        <v>Jeff</v>
      </c>
      <c r="G1403" s="97" t="s">
        <v>15</v>
      </c>
      <c r="H1403" s="97" t="s">
        <v>42</v>
      </c>
      <c r="I1403" s="97">
        <v>159</v>
      </c>
      <c r="J1403" s="97">
        <v>5</v>
      </c>
      <c r="K1403" s="97">
        <f t="shared" si="21"/>
        <v>795</v>
      </c>
      <c r="L1403" s="97">
        <f>_xlfn.XLOOKUP(E1403,Emp_Data!$B$2:$B$9,Emp_Data!$A$2:$A$9)</f>
        <v>2</v>
      </c>
    </row>
    <row r="1404" spans="1:12">
      <c r="A1404" s="99">
        <v>909</v>
      </c>
      <c r="B1404" s="101">
        <v>44482</v>
      </c>
      <c r="C1404" s="96">
        <v>7</v>
      </c>
      <c r="D1404" s="104" t="s">
        <v>28</v>
      </c>
      <c r="E1404" s="97" t="s">
        <v>11</v>
      </c>
      <c r="F1404" s="97" t="str">
        <f>VLOOKUP(E1404,Emp_Data!$B$2:$C$9,2,)</f>
        <v>Steve</v>
      </c>
      <c r="G1404" s="97" t="s">
        <v>12</v>
      </c>
      <c r="H1404" s="97" t="s">
        <v>42</v>
      </c>
      <c r="I1404" s="97">
        <v>159</v>
      </c>
      <c r="J1404" s="97">
        <v>8</v>
      </c>
      <c r="K1404" s="97">
        <f t="shared" si="21"/>
        <v>1272</v>
      </c>
      <c r="L1404" s="97">
        <f>_xlfn.XLOOKUP(E1404,Emp_Data!$B$2:$B$9,Emp_Data!$A$2:$A$9)</f>
        <v>4</v>
      </c>
    </row>
    <row r="1405" spans="1:12">
      <c r="A1405" s="99">
        <v>914</v>
      </c>
      <c r="B1405" s="101">
        <v>44482</v>
      </c>
      <c r="C1405" s="96">
        <v>14</v>
      </c>
      <c r="D1405" s="104" t="s">
        <v>33</v>
      </c>
      <c r="E1405" s="97" t="s">
        <v>18</v>
      </c>
      <c r="F1405" s="97" t="str">
        <f>VLOOKUP(E1405,Emp_Data!$B$2:$C$9,2,)</f>
        <v>Sara</v>
      </c>
      <c r="G1405" s="97" t="s">
        <v>19</v>
      </c>
      <c r="H1405" s="97" t="s">
        <v>42</v>
      </c>
      <c r="I1405" s="97">
        <v>159</v>
      </c>
      <c r="J1405" s="97">
        <v>7</v>
      </c>
      <c r="K1405" s="97">
        <f t="shared" si="21"/>
        <v>1113</v>
      </c>
      <c r="L1405" s="97">
        <f>_xlfn.XLOOKUP(E1405,Emp_Data!$B$2:$B$9,Emp_Data!$A$2:$A$9)</f>
        <v>5</v>
      </c>
    </row>
    <row r="1406" spans="1:12">
      <c r="A1406" s="99">
        <v>918</v>
      </c>
      <c r="B1406" s="101">
        <v>44484</v>
      </c>
      <c r="C1406" s="96">
        <v>18</v>
      </c>
      <c r="D1406" s="104" t="s">
        <v>30</v>
      </c>
      <c r="E1406" s="97" t="s">
        <v>8</v>
      </c>
      <c r="F1406" s="97" t="str">
        <f>VLOOKUP(E1406,Emp_Data!$B$2:$C$9,2,)</f>
        <v>Jeff</v>
      </c>
      <c r="G1406" s="97" t="s">
        <v>9</v>
      </c>
      <c r="H1406" s="97" t="s">
        <v>42</v>
      </c>
      <c r="I1406" s="97">
        <v>159</v>
      </c>
      <c r="J1406" s="97">
        <v>5</v>
      </c>
      <c r="K1406" s="97">
        <f t="shared" si="21"/>
        <v>795</v>
      </c>
      <c r="L1406" s="97">
        <f>_xlfn.XLOOKUP(E1406,Emp_Data!$B$2:$B$9,Emp_Data!$A$2:$A$9)</f>
        <v>3</v>
      </c>
    </row>
    <row r="1407" spans="1:12">
      <c r="A1407" s="99">
        <v>923</v>
      </c>
      <c r="B1407" s="101">
        <v>44485</v>
      </c>
      <c r="C1407" s="96">
        <v>15</v>
      </c>
      <c r="D1407" s="104" t="s">
        <v>29</v>
      </c>
      <c r="E1407" s="97" t="s">
        <v>24</v>
      </c>
      <c r="F1407" s="97" t="str">
        <f>VLOOKUP(E1407,Emp_Data!$B$2:$C$9,2,)</f>
        <v>Steve</v>
      </c>
      <c r="G1407" s="97" t="s">
        <v>19</v>
      </c>
      <c r="H1407" s="97" t="s">
        <v>42</v>
      </c>
      <c r="I1407" s="97">
        <v>159</v>
      </c>
      <c r="J1407" s="97">
        <v>3</v>
      </c>
      <c r="K1407" s="97">
        <f t="shared" si="21"/>
        <v>477</v>
      </c>
      <c r="L1407" s="97">
        <f>_xlfn.XLOOKUP(E1407,Emp_Data!$B$2:$B$9,Emp_Data!$A$2:$A$9)</f>
        <v>6</v>
      </c>
    </row>
    <row r="1408" spans="1:12">
      <c r="A1408" s="99">
        <v>928</v>
      </c>
      <c r="B1408" s="101">
        <v>44486</v>
      </c>
      <c r="C1408" s="96">
        <v>20</v>
      </c>
      <c r="D1408" s="104" t="s">
        <v>7</v>
      </c>
      <c r="E1408" s="97" t="s">
        <v>8</v>
      </c>
      <c r="F1408" s="97" t="str">
        <f>VLOOKUP(E1408,Emp_Data!$B$2:$C$9,2,)</f>
        <v>Jeff</v>
      </c>
      <c r="G1408" s="97" t="s">
        <v>9</v>
      </c>
      <c r="H1408" s="97" t="s">
        <v>42</v>
      </c>
      <c r="I1408" s="97">
        <v>159</v>
      </c>
      <c r="J1408" s="97">
        <v>8</v>
      </c>
      <c r="K1408" s="97">
        <f t="shared" si="21"/>
        <v>1272</v>
      </c>
      <c r="L1408" s="97">
        <f>_xlfn.XLOOKUP(E1408,Emp_Data!$B$2:$B$9,Emp_Data!$A$2:$A$9)</f>
        <v>3</v>
      </c>
    </row>
    <row r="1409" spans="1:12">
      <c r="A1409" s="99">
        <v>929</v>
      </c>
      <c r="B1409" s="101">
        <v>44486</v>
      </c>
      <c r="C1409" s="96">
        <v>14</v>
      </c>
      <c r="D1409" s="104" t="s">
        <v>33</v>
      </c>
      <c r="E1409" s="97" t="s">
        <v>24</v>
      </c>
      <c r="F1409" s="97" t="str">
        <f>VLOOKUP(E1409,Emp_Data!$B$2:$C$9,2,)</f>
        <v>Steve</v>
      </c>
      <c r="G1409" s="97" t="s">
        <v>19</v>
      </c>
      <c r="H1409" s="97" t="s">
        <v>42</v>
      </c>
      <c r="I1409" s="97">
        <v>159</v>
      </c>
      <c r="J1409" s="97">
        <v>5</v>
      </c>
      <c r="K1409" s="97">
        <f t="shared" si="21"/>
        <v>795</v>
      </c>
      <c r="L1409" s="97">
        <f>_xlfn.XLOOKUP(E1409,Emp_Data!$B$2:$B$9,Emp_Data!$A$2:$A$9)</f>
        <v>6</v>
      </c>
    </row>
    <row r="1410" spans="1:12">
      <c r="A1410" s="99">
        <v>933</v>
      </c>
      <c r="B1410" s="101">
        <v>44488</v>
      </c>
      <c r="C1410" s="96">
        <v>10</v>
      </c>
      <c r="D1410" s="104" t="s">
        <v>34</v>
      </c>
      <c r="E1410" s="97" t="s">
        <v>11</v>
      </c>
      <c r="F1410" s="97" t="str">
        <f>VLOOKUP(E1410,Emp_Data!$B$2:$C$9,2,)</f>
        <v>Steve</v>
      </c>
      <c r="G1410" s="97" t="s">
        <v>12</v>
      </c>
      <c r="H1410" s="97" t="s">
        <v>42</v>
      </c>
      <c r="I1410" s="97">
        <v>159</v>
      </c>
      <c r="J1410" s="97">
        <v>6</v>
      </c>
      <c r="K1410" s="97">
        <f t="shared" si="21"/>
        <v>954</v>
      </c>
      <c r="L1410" s="97">
        <f>_xlfn.XLOOKUP(E1410,Emp_Data!$B$2:$B$9,Emp_Data!$A$2:$A$9)</f>
        <v>4</v>
      </c>
    </row>
    <row r="1411" spans="1:12">
      <c r="A1411" s="99">
        <v>934</v>
      </c>
      <c r="B1411" s="101">
        <v>44489</v>
      </c>
      <c r="C1411" s="96">
        <v>17</v>
      </c>
      <c r="D1411" s="104" t="s">
        <v>32</v>
      </c>
      <c r="E1411" s="97" t="s">
        <v>8</v>
      </c>
      <c r="F1411" s="97" t="str">
        <f>VLOOKUP(E1411,Emp_Data!$B$2:$C$9,2,)</f>
        <v>Jeff</v>
      </c>
      <c r="G1411" s="97" t="s">
        <v>9</v>
      </c>
      <c r="H1411" s="97" t="s">
        <v>42</v>
      </c>
      <c r="I1411" s="97">
        <v>159</v>
      </c>
      <c r="J1411" s="97">
        <v>1</v>
      </c>
      <c r="K1411" s="97">
        <f t="shared" ref="K1411:K1474" si="22">SUMPRODUCT(I1411,J1411)</f>
        <v>159</v>
      </c>
      <c r="L1411" s="97">
        <f>_xlfn.XLOOKUP(E1411,Emp_Data!$B$2:$B$9,Emp_Data!$A$2:$A$9)</f>
        <v>3</v>
      </c>
    </row>
    <row r="1412" spans="1:12">
      <c r="A1412" s="99">
        <v>941</v>
      </c>
      <c r="B1412" s="101">
        <v>44491</v>
      </c>
      <c r="C1412" s="96">
        <v>20</v>
      </c>
      <c r="D1412" s="104" t="s">
        <v>7</v>
      </c>
      <c r="E1412" s="97" t="s">
        <v>25</v>
      </c>
      <c r="F1412" s="97" t="str">
        <f>VLOOKUP(E1412,Emp_Data!$B$2:$C$9,2,)</f>
        <v>Jeff</v>
      </c>
      <c r="G1412" s="97" t="s">
        <v>9</v>
      </c>
      <c r="H1412" s="97" t="s">
        <v>42</v>
      </c>
      <c r="I1412" s="97">
        <v>159</v>
      </c>
      <c r="J1412" s="97">
        <v>5</v>
      </c>
      <c r="K1412" s="97">
        <f t="shared" si="22"/>
        <v>795</v>
      </c>
      <c r="L1412" s="97">
        <f>_xlfn.XLOOKUP(E1412,Emp_Data!$B$2:$B$9,Emp_Data!$A$2:$A$9)</f>
        <v>5</v>
      </c>
    </row>
    <row r="1413" spans="1:12">
      <c r="A1413" s="99">
        <v>943</v>
      </c>
      <c r="B1413" s="101">
        <v>44491</v>
      </c>
      <c r="C1413" s="96">
        <v>6</v>
      </c>
      <c r="D1413" s="104" t="s">
        <v>10</v>
      </c>
      <c r="E1413" s="97" t="s">
        <v>27</v>
      </c>
      <c r="F1413" s="97" t="str">
        <f>VLOOKUP(E1413,Emp_Data!$B$2:$C$9,2,)</f>
        <v>Philip</v>
      </c>
      <c r="G1413" s="97" t="s">
        <v>12</v>
      </c>
      <c r="H1413" s="97" t="s">
        <v>42</v>
      </c>
      <c r="I1413" s="97">
        <v>159</v>
      </c>
      <c r="J1413" s="97">
        <v>6</v>
      </c>
      <c r="K1413" s="97">
        <f t="shared" si="22"/>
        <v>954</v>
      </c>
      <c r="L1413" s="97">
        <f>_xlfn.XLOOKUP(E1413,Emp_Data!$B$2:$B$9,Emp_Data!$A$2:$A$9)</f>
        <v>8</v>
      </c>
    </row>
    <row r="1414" spans="1:12">
      <c r="A1414" s="99">
        <v>956</v>
      </c>
      <c r="B1414" s="101">
        <v>44498</v>
      </c>
      <c r="C1414" s="96">
        <v>6</v>
      </c>
      <c r="D1414" s="104" t="s">
        <v>10</v>
      </c>
      <c r="E1414" s="97" t="s">
        <v>27</v>
      </c>
      <c r="F1414" s="97" t="str">
        <f>VLOOKUP(E1414,Emp_Data!$B$2:$C$9,2,)</f>
        <v>Philip</v>
      </c>
      <c r="G1414" s="97" t="s">
        <v>12</v>
      </c>
      <c r="H1414" s="97" t="s">
        <v>42</v>
      </c>
      <c r="I1414" s="97">
        <v>159</v>
      </c>
      <c r="J1414" s="97">
        <v>4</v>
      </c>
      <c r="K1414" s="97">
        <f t="shared" si="22"/>
        <v>636</v>
      </c>
      <c r="L1414" s="97">
        <f>_xlfn.XLOOKUP(E1414,Emp_Data!$B$2:$B$9,Emp_Data!$A$2:$A$9)</f>
        <v>8</v>
      </c>
    </row>
    <row r="1415" spans="1:12">
      <c r="A1415" s="99">
        <v>963</v>
      </c>
      <c r="B1415" s="101">
        <v>44498</v>
      </c>
      <c r="C1415" s="96">
        <v>14</v>
      </c>
      <c r="D1415" s="104" t="s">
        <v>33</v>
      </c>
      <c r="E1415" s="97" t="s">
        <v>18</v>
      </c>
      <c r="F1415" s="97" t="str">
        <f>VLOOKUP(E1415,Emp_Data!$B$2:$C$9,2,)</f>
        <v>Sara</v>
      </c>
      <c r="G1415" s="97" t="s">
        <v>19</v>
      </c>
      <c r="H1415" s="97" t="s">
        <v>42</v>
      </c>
      <c r="I1415" s="97">
        <v>159</v>
      </c>
      <c r="J1415" s="97">
        <v>1</v>
      </c>
      <c r="K1415" s="97">
        <f t="shared" si="22"/>
        <v>159</v>
      </c>
      <c r="L1415" s="97">
        <f>_xlfn.XLOOKUP(E1415,Emp_Data!$B$2:$B$9,Emp_Data!$A$2:$A$9)</f>
        <v>5</v>
      </c>
    </row>
    <row r="1416" spans="1:12">
      <c r="A1416" s="99">
        <v>966</v>
      </c>
      <c r="B1416" s="101">
        <v>44498</v>
      </c>
      <c r="C1416" s="96">
        <v>18</v>
      </c>
      <c r="D1416" s="104" t="s">
        <v>30</v>
      </c>
      <c r="E1416" s="97" t="s">
        <v>8</v>
      </c>
      <c r="F1416" s="97" t="str">
        <f>VLOOKUP(E1416,Emp_Data!$B$2:$C$9,2,)</f>
        <v>Jeff</v>
      </c>
      <c r="G1416" s="97" t="s">
        <v>9</v>
      </c>
      <c r="H1416" s="97" t="s">
        <v>42</v>
      </c>
      <c r="I1416" s="97">
        <v>159</v>
      </c>
      <c r="J1416" s="97">
        <v>7</v>
      </c>
      <c r="K1416" s="97">
        <f t="shared" si="22"/>
        <v>1113</v>
      </c>
      <c r="L1416" s="97">
        <f>_xlfn.XLOOKUP(E1416,Emp_Data!$B$2:$B$9,Emp_Data!$A$2:$A$9)</f>
        <v>3</v>
      </c>
    </row>
    <row r="1417" spans="1:12">
      <c r="A1417" s="99">
        <v>969</v>
      </c>
      <c r="B1417" s="101">
        <v>44499</v>
      </c>
      <c r="C1417" s="96">
        <v>7</v>
      </c>
      <c r="D1417" s="104" t="s">
        <v>28</v>
      </c>
      <c r="E1417" s="97" t="s">
        <v>11</v>
      </c>
      <c r="F1417" s="97" t="str">
        <f>VLOOKUP(E1417,Emp_Data!$B$2:$C$9,2,)</f>
        <v>Steve</v>
      </c>
      <c r="G1417" s="97" t="s">
        <v>12</v>
      </c>
      <c r="H1417" s="97" t="s">
        <v>42</v>
      </c>
      <c r="I1417" s="97">
        <v>159</v>
      </c>
      <c r="J1417" s="97">
        <v>1</v>
      </c>
      <c r="K1417" s="97">
        <f t="shared" si="22"/>
        <v>159</v>
      </c>
      <c r="L1417" s="97">
        <f>_xlfn.XLOOKUP(E1417,Emp_Data!$B$2:$B$9,Emp_Data!$A$2:$A$9)</f>
        <v>4</v>
      </c>
    </row>
    <row r="1418" spans="1:12">
      <c r="A1418" s="99">
        <v>972</v>
      </c>
      <c r="B1418" s="101">
        <v>44502</v>
      </c>
      <c r="C1418" s="96">
        <v>19</v>
      </c>
      <c r="D1418" s="104" t="s">
        <v>22</v>
      </c>
      <c r="E1418" s="97" t="s">
        <v>25</v>
      </c>
      <c r="F1418" s="97" t="str">
        <f>VLOOKUP(E1418,Emp_Data!$B$2:$C$9,2,)</f>
        <v>Jeff</v>
      </c>
      <c r="G1418" s="97" t="s">
        <v>9</v>
      </c>
      <c r="H1418" s="97" t="s">
        <v>42</v>
      </c>
      <c r="I1418" s="97">
        <v>159</v>
      </c>
      <c r="J1418" s="97">
        <v>4</v>
      </c>
      <c r="K1418" s="97">
        <f t="shared" si="22"/>
        <v>636</v>
      </c>
      <c r="L1418" s="97">
        <f>_xlfn.XLOOKUP(E1418,Emp_Data!$B$2:$B$9,Emp_Data!$A$2:$A$9)</f>
        <v>5</v>
      </c>
    </row>
    <row r="1419" spans="1:12">
      <c r="A1419" s="99">
        <v>975</v>
      </c>
      <c r="B1419" s="101">
        <v>44504</v>
      </c>
      <c r="C1419" s="96">
        <v>13</v>
      </c>
      <c r="D1419" s="104" t="s">
        <v>23</v>
      </c>
      <c r="E1419" s="97" t="s">
        <v>24</v>
      </c>
      <c r="F1419" s="97" t="str">
        <f>VLOOKUP(E1419,Emp_Data!$B$2:$C$9,2,)</f>
        <v>Steve</v>
      </c>
      <c r="G1419" s="97" t="s">
        <v>19</v>
      </c>
      <c r="H1419" s="97" t="s">
        <v>42</v>
      </c>
      <c r="I1419" s="97">
        <v>159</v>
      </c>
      <c r="J1419" s="97">
        <v>2</v>
      </c>
      <c r="K1419" s="97">
        <f t="shared" si="22"/>
        <v>318</v>
      </c>
      <c r="L1419" s="97">
        <f>_xlfn.XLOOKUP(E1419,Emp_Data!$B$2:$B$9,Emp_Data!$A$2:$A$9)</f>
        <v>6</v>
      </c>
    </row>
    <row r="1420" spans="1:12">
      <c r="A1420" s="99">
        <v>978</v>
      </c>
      <c r="B1420" s="101">
        <v>44506</v>
      </c>
      <c r="C1420" s="96">
        <v>20</v>
      </c>
      <c r="D1420" s="104" t="s">
        <v>7</v>
      </c>
      <c r="E1420" s="97" t="s">
        <v>25</v>
      </c>
      <c r="F1420" s="97" t="str">
        <f>VLOOKUP(E1420,Emp_Data!$B$2:$C$9,2,)</f>
        <v>Jeff</v>
      </c>
      <c r="G1420" s="97" t="s">
        <v>9</v>
      </c>
      <c r="H1420" s="97" t="s">
        <v>42</v>
      </c>
      <c r="I1420" s="97">
        <v>159</v>
      </c>
      <c r="J1420" s="97">
        <v>0</v>
      </c>
      <c r="K1420" s="97">
        <f t="shared" si="22"/>
        <v>0</v>
      </c>
      <c r="L1420" s="97">
        <f>_xlfn.XLOOKUP(E1420,Emp_Data!$B$2:$B$9,Emp_Data!$A$2:$A$9)</f>
        <v>5</v>
      </c>
    </row>
    <row r="1421" spans="1:12">
      <c r="A1421" s="99">
        <v>985</v>
      </c>
      <c r="B1421" s="101">
        <v>44508</v>
      </c>
      <c r="C1421" s="96">
        <v>10</v>
      </c>
      <c r="D1421" s="104" t="s">
        <v>34</v>
      </c>
      <c r="E1421" s="97" t="s">
        <v>27</v>
      </c>
      <c r="F1421" s="97" t="str">
        <f>VLOOKUP(E1421,Emp_Data!$B$2:$C$9,2,)</f>
        <v>Philip</v>
      </c>
      <c r="G1421" s="97" t="s">
        <v>12</v>
      </c>
      <c r="H1421" s="97" t="s">
        <v>42</v>
      </c>
      <c r="I1421" s="97">
        <v>159</v>
      </c>
      <c r="J1421" s="97">
        <v>9</v>
      </c>
      <c r="K1421" s="97">
        <f t="shared" si="22"/>
        <v>1431</v>
      </c>
      <c r="L1421" s="97">
        <f>_xlfn.XLOOKUP(E1421,Emp_Data!$B$2:$B$9,Emp_Data!$A$2:$A$9)</f>
        <v>8</v>
      </c>
    </row>
    <row r="1422" spans="1:12">
      <c r="A1422" s="99">
        <v>986</v>
      </c>
      <c r="B1422" s="101">
        <v>44508</v>
      </c>
      <c r="C1422" s="96">
        <v>9</v>
      </c>
      <c r="D1422" s="104" t="s">
        <v>26</v>
      </c>
      <c r="E1422" s="97" t="s">
        <v>11</v>
      </c>
      <c r="F1422" s="97" t="str">
        <f>VLOOKUP(E1422,Emp_Data!$B$2:$C$9,2,)</f>
        <v>Steve</v>
      </c>
      <c r="G1422" s="97" t="s">
        <v>12</v>
      </c>
      <c r="H1422" s="97" t="s">
        <v>42</v>
      </c>
      <c r="I1422" s="97">
        <v>159</v>
      </c>
      <c r="J1422" s="97">
        <v>7</v>
      </c>
      <c r="K1422" s="97">
        <f t="shared" si="22"/>
        <v>1113</v>
      </c>
      <c r="L1422" s="97">
        <f>_xlfn.XLOOKUP(E1422,Emp_Data!$B$2:$B$9,Emp_Data!$A$2:$A$9)</f>
        <v>4</v>
      </c>
    </row>
    <row r="1423" spans="1:12">
      <c r="A1423" s="99">
        <v>989</v>
      </c>
      <c r="B1423" s="101">
        <v>44509</v>
      </c>
      <c r="C1423" s="96">
        <v>4</v>
      </c>
      <c r="D1423" s="104" t="s">
        <v>13</v>
      </c>
      <c r="E1423" s="97" t="s">
        <v>14</v>
      </c>
      <c r="F1423" s="97" t="str">
        <f>VLOOKUP(E1423,Emp_Data!$B$2:$C$9,2,)</f>
        <v>Jeff</v>
      </c>
      <c r="G1423" s="97" t="s">
        <v>15</v>
      </c>
      <c r="H1423" s="97" t="s">
        <v>42</v>
      </c>
      <c r="I1423" s="97">
        <v>159</v>
      </c>
      <c r="J1423" s="97">
        <v>9</v>
      </c>
      <c r="K1423" s="97">
        <f t="shared" si="22"/>
        <v>1431</v>
      </c>
      <c r="L1423" s="97">
        <f>_xlfn.XLOOKUP(E1423,Emp_Data!$B$2:$B$9,Emp_Data!$A$2:$A$9)</f>
        <v>2</v>
      </c>
    </row>
    <row r="1424" spans="1:12">
      <c r="A1424" s="99">
        <v>994</v>
      </c>
      <c r="B1424" s="101">
        <v>44510</v>
      </c>
      <c r="C1424" s="96">
        <v>5</v>
      </c>
      <c r="D1424" s="104" t="s">
        <v>16</v>
      </c>
      <c r="E1424" s="97" t="s">
        <v>14</v>
      </c>
      <c r="F1424" s="97" t="str">
        <f>VLOOKUP(E1424,Emp_Data!$B$2:$C$9,2,)</f>
        <v>Jeff</v>
      </c>
      <c r="G1424" s="97" t="s">
        <v>15</v>
      </c>
      <c r="H1424" s="97" t="s">
        <v>42</v>
      </c>
      <c r="I1424" s="97">
        <v>159</v>
      </c>
      <c r="J1424" s="97">
        <v>4</v>
      </c>
      <c r="K1424" s="97">
        <f t="shared" si="22"/>
        <v>636</v>
      </c>
      <c r="L1424" s="97">
        <f>_xlfn.XLOOKUP(E1424,Emp_Data!$B$2:$B$9,Emp_Data!$A$2:$A$9)</f>
        <v>2</v>
      </c>
    </row>
    <row r="1425" spans="1:12">
      <c r="A1425" s="99">
        <v>1003</v>
      </c>
      <c r="B1425" s="101">
        <v>44515</v>
      </c>
      <c r="C1425" s="96">
        <v>10</v>
      </c>
      <c r="D1425" s="104" t="s">
        <v>34</v>
      </c>
      <c r="E1425" s="97" t="s">
        <v>11</v>
      </c>
      <c r="F1425" s="97" t="str">
        <f>VLOOKUP(E1425,Emp_Data!$B$2:$C$9,2,)</f>
        <v>Steve</v>
      </c>
      <c r="G1425" s="97" t="s">
        <v>12</v>
      </c>
      <c r="H1425" s="97" t="s">
        <v>42</v>
      </c>
      <c r="I1425" s="97">
        <v>159</v>
      </c>
      <c r="J1425" s="97">
        <v>4</v>
      </c>
      <c r="K1425" s="97">
        <f t="shared" si="22"/>
        <v>636</v>
      </c>
      <c r="L1425" s="97">
        <f>_xlfn.XLOOKUP(E1425,Emp_Data!$B$2:$B$9,Emp_Data!$A$2:$A$9)</f>
        <v>4</v>
      </c>
    </row>
    <row r="1426" spans="1:12">
      <c r="A1426" s="99">
        <v>1006</v>
      </c>
      <c r="B1426" s="101">
        <v>44515</v>
      </c>
      <c r="C1426" s="96">
        <v>19</v>
      </c>
      <c r="D1426" s="104" t="s">
        <v>22</v>
      </c>
      <c r="E1426" s="97" t="s">
        <v>25</v>
      </c>
      <c r="F1426" s="97" t="str">
        <f>VLOOKUP(E1426,Emp_Data!$B$2:$C$9,2,)</f>
        <v>Jeff</v>
      </c>
      <c r="G1426" s="97" t="s">
        <v>9</v>
      </c>
      <c r="H1426" s="97" t="s">
        <v>42</v>
      </c>
      <c r="I1426" s="97">
        <v>159</v>
      </c>
      <c r="J1426" s="97">
        <v>2</v>
      </c>
      <c r="K1426" s="97">
        <f t="shared" si="22"/>
        <v>318</v>
      </c>
      <c r="L1426" s="97">
        <f>_xlfn.XLOOKUP(E1426,Emp_Data!$B$2:$B$9,Emp_Data!$A$2:$A$9)</f>
        <v>5</v>
      </c>
    </row>
    <row r="1427" spans="1:12">
      <c r="A1427" s="99">
        <v>1022</v>
      </c>
      <c r="B1427" s="101">
        <v>44522</v>
      </c>
      <c r="C1427" s="96">
        <v>1</v>
      </c>
      <c r="D1427" s="104" t="s">
        <v>31</v>
      </c>
      <c r="E1427" s="97" t="s">
        <v>21</v>
      </c>
      <c r="F1427" s="97" t="str">
        <f>VLOOKUP(E1427,Emp_Data!$B$2:$C$9,2,)</f>
        <v>Sara</v>
      </c>
      <c r="G1427" s="97" t="s">
        <v>15</v>
      </c>
      <c r="H1427" s="97" t="s">
        <v>42</v>
      </c>
      <c r="I1427" s="97">
        <v>159</v>
      </c>
      <c r="J1427" s="97">
        <v>6</v>
      </c>
      <c r="K1427" s="97">
        <f t="shared" si="22"/>
        <v>954</v>
      </c>
      <c r="L1427" s="97">
        <f>_xlfn.XLOOKUP(E1427,Emp_Data!$B$2:$B$9,Emp_Data!$A$2:$A$9)</f>
        <v>2</v>
      </c>
    </row>
    <row r="1428" spans="1:12">
      <c r="A1428" s="99">
        <v>1026</v>
      </c>
      <c r="B1428" s="101">
        <v>44522</v>
      </c>
      <c r="C1428" s="96">
        <v>8</v>
      </c>
      <c r="D1428" s="104" t="s">
        <v>36</v>
      </c>
      <c r="E1428" s="97" t="s">
        <v>27</v>
      </c>
      <c r="F1428" s="97" t="str">
        <f>VLOOKUP(E1428,Emp_Data!$B$2:$C$9,2,)</f>
        <v>Philip</v>
      </c>
      <c r="G1428" s="97" t="s">
        <v>12</v>
      </c>
      <c r="H1428" s="97" t="s">
        <v>42</v>
      </c>
      <c r="I1428" s="97">
        <v>159</v>
      </c>
      <c r="J1428" s="97">
        <v>6</v>
      </c>
      <c r="K1428" s="97">
        <f t="shared" si="22"/>
        <v>954</v>
      </c>
      <c r="L1428" s="97">
        <f>_xlfn.XLOOKUP(E1428,Emp_Data!$B$2:$B$9,Emp_Data!$A$2:$A$9)</f>
        <v>8</v>
      </c>
    </row>
    <row r="1429" spans="1:12">
      <c r="A1429" s="99">
        <v>1028</v>
      </c>
      <c r="B1429" s="101">
        <v>44522</v>
      </c>
      <c r="C1429" s="96">
        <v>20</v>
      </c>
      <c r="D1429" s="104" t="s">
        <v>7</v>
      </c>
      <c r="E1429" s="97" t="s">
        <v>25</v>
      </c>
      <c r="F1429" s="97" t="str">
        <f>VLOOKUP(E1429,Emp_Data!$B$2:$C$9,2,)</f>
        <v>Jeff</v>
      </c>
      <c r="G1429" s="97" t="s">
        <v>9</v>
      </c>
      <c r="H1429" s="97" t="s">
        <v>42</v>
      </c>
      <c r="I1429" s="97">
        <v>159</v>
      </c>
      <c r="J1429" s="97">
        <v>0</v>
      </c>
      <c r="K1429" s="97">
        <f t="shared" si="22"/>
        <v>0</v>
      </c>
      <c r="L1429" s="97">
        <f>_xlfn.XLOOKUP(E1429,Emp_Data!$B$2:$B$9,Emp_Data!$A$2:$A$9)</f>
        <v>5</v>
      </c>
    </row>
    <row r="1430" spans="1:12">
      <c r="A1430" s="99">
        <v>1041</v>
      </c>
      <c r="B1430" s="101">
        <v>44524</v>
      </c>
      <c r="C1430" s="96">
        <v>18</v>
      </c>
      <c r="D1430" s="104" t="s">
        <v>30</v>
      </c>
      <c r="E1430" s="97" t="s">
        <v>8</v>
      </c>
      <c r="F1430" s="97" t="str">
        <f>VLOOKUP(E1430,Emp_Data!$B$2:$C$9,2,)</f>
        <v>Jeff</v>
      </c>
      <c r="G1430" s="97" t="s">
        <v>9</v>
      </c>
      <c r="H1430" s="97" t="s">
        <v>42</v>
      </c>
      <c r="I1430" s="97">
        <v>159</v>
      </c>
      <c r="J1430" s="97">
        <v>2</v>
      </c>
      <c r="K1430" s="97">
        <f t="shared" si="22"/>
        <v>318</v>
      </c>
      <c r="L1430" s="97">
        <f>_xlfn.XLOOKUP(E1430,Emp_Data!$B$2:$B$9,Emp_Data!$A$2:$A$9)</f>
        <v>3</v>
      </c>
    </row>
    <row r="1431" spans="1:12">
      <c r="A1431" s="99">
        <v>1054</v>
      </c>
      <c r="B1431" s="101">
        <v>44528</v>
      </c>
      <c r="C1431" s="96">
        <v>6</v>
      </c>
      <c r="D1431" s="104" t="s">
        <v>10</v>
      </c>
      <c r="E1431" s="97" t="s">
        <v>11</v>
      </c>
      <c r="F1431" s="97" t="str">
        <f>VLOOKUP(E1431,Emp_Data!$B$2:$C$9,2,)</f>
        <v>Steve</v>
      </c>
      <c r="G1431" s="97" t="s">
        <v>12</v>
      </c>
      <c r="H1431" s="97" t="s">
        <v>42</v>
      </c>
      <c r="I1431" s="97">
        <v>159</v>
      </c>
      <c r="J1431" s="97">
        <v>2</v>
      </c>
      <c r="K1431" s="97">
        <f t="shared" si="22"/>
        <v>318</v>
      </c>
      <c r="L1431" s="97">
        <f>_xlfn.XLOOKUP(E1431,Emp_Data!$B$2:$B$9,Emp_Data!$A$2:$A$9)</f>
        <v>4</v>
      </c>
    </row>
    <row r="1432" spans="1:12">
      <c r="A1432" s="99">
        <v>1060</v>
      </c>
      <c r="B1432" s="101">
        <v>44530</v>
      </c>
      <c r="C1432" s="96">
        <v>2</v>
      </c>
      <c r="D1432" s="104" t="s">
        <v>35</v>
      </c>
      <c r="E1432" s="97" t="s">
        <v>14</v>
      </c>
      <c r="F1432" s="97" t="str">
        <f>VLOOKUP(E1432,Emp_Data!$B$2:$C$9,2,)</f>
        <v>Jeff</v>
      </c>
      <c r="G1432" s="97" t="s">
        <v>15</v>
      </c>
      <c r="H1432" s="97" t="s">
        <v>42</v>
      </c>
      <c r="I1432" s="97">
        <v>159</v>
      </c>
      <c r="J1432" s="97">
        <v>1</v>
      </c>
      <c r="K1432" s="97">
        <f t="shared" si="22"/>
        <v>159</v>
      </c>
      <c r="L1432" s="97">
        <f>_xlfn.XLOOKUP(E1432,Emp_Data!$B$2:$B$9,Emp_Data!$A$2:$A$9)</f>
        <v>2</v>
      </c>
    </row>
    <row r="1433" spans="1:12">
      <c r="A1433" s="99">
        <v>1082</v>
      </c>
      <c r="B1433" s="101">
        <v>44543</v>
      </c>
      <c r="C1433" s="96">
        <v>16</v>
      </c>
      <c r="D1433" s="104" t="s">
        <v>37</v>
      </c>
      <c r="E1433" s="97" t="s">
        <v>25</v>
      </c>
      <c r="F1433" s="97" t="str">
        <f>VLOOKUP(E1433,Emp_Data!$B$2:$C$9,2,)</f>
        <v>Jeff</v>
      </c>
      <c r="G1433" s="97" t="s">
        <v>9</v>
      </c>
      <c r="H1433" s="97" t="s">
        <v>42</v>
      </c>
      <c r="I1433" s="97">
        <v>159</v>
      </c>
      <c r="J1433" s="97">
        <v>0</v>
      </c>
      <c r="K1433" s="97">
        <f t="shared" si="22"/>
        <v>0</v>
      </c>
      <c r="L1433" s="97">
        <f>_xlfn.XLOOKUP(E1433,Emp_Data!$B$2:$B$9,Emp_Data!$A$2:$A$9)</f>
        <v>5</v>
      </c>
    </row>
    <row r="1434" spans="1:12">
      <c r="A1434" s="99">
        <v>1088</v>
      </c>
      <c r="B1434" s="101">
        <v>44543</v>
      </c>
      <c r="C1434" s="96">
        <v>11</v>
      </c>
      <c r="D1434" s="104" t="s">
        <v>38</v>
      </c>
      <c r="E1434" s="97" t="s">
        <v>24</v>
      </c>
      <c r="F1434" s="97" t="str">
        <f>VLOOKUP(E1434,Emp_Data!$B$2:$C$9,2,)</f>
        <v>Steve</v>
      </c>
      <c r="G1434" s="97" t="s">
        <v>19</v>
      </c>
      <c r="H1434" s="97" t="s">
        <v>42</v>
      </c>
      <c r="I1434" s="97">
        <v>159</v>
      </c>
      <c r="J1434" s="97">
        <v>3</v>
      </c>
      <c r="K1434" s="97">
        <f t="shared" si="22"/>
        <v>477</v>
      </c>
      <c r="L1434" s="97">
        <f>_xlfn.XLOOKUP(E1434,Emp_Data!$B$2:$B$9,Emp_Data!$A$2:$A$9)</f>
        <v>6</v>
      </c>
    </row>
    <row r="1435" spans="1:12">
      <c r="A1435" s="99">
        <v>1093</v>
      </c>
      <c r="B1435" s="101">
        <v>44546</v>
      </c>
      <c r="C1435" s="96">
        <v>18</v>
      </c>
      <c r="D1435" s="104" t="s">
        <v>30</v>
      </c>
      <c r="E1435" s="97" t="s">
        <v>25</v>
      </c>
      <c r="F1435" s="97" t="str">
        <f>VLOOKUP(E1435,Emp_Data!$B$2:$C$9,2,)</f>
        <v>Jeff</v>
      </c>
      <c r="G1435" s="97" t="s">
        <v>9</v>
      </c>
      <c r="H1435" s="97" t="s">
        <v>42</v>
      </c>
      <c r="I1435" s="97">
        <v>159</v>
      </c>
      <c r="J1435" s="97">
        <v>4</v>
      </c>
      <c r="K1435" s="97">
        <f t="shared" si="22"/>
        <v>636</v>
      </c>
      <c r="L1435" s="97">
        <f>_xlfn.XLOOKUP(E1435,Emp_Data!$B$2:$B$9,Emp_Data!$A$2:$A$9)</f>
        <v>5</v>
      </c>
    </row>
    <row r="1436" spans="1:12">
      <c r="A1436" s="99">
        <v>1100</v>
      </c>
      <c r="B1436" s="101">
        <v>44548</v>
      </c>
      <c r="C1436" s="96">
        <v>8</v>
      </c>
      <c r="D1436" s="104" t="s">
        <v>36</v>
      </c>
      <c r="E1436" s="97" t="s">
        <v>11</v>
      </c>
      <c r="F1436" s="97" t="str">
        <f>VLOOKUP(E1436,Emp_Data!$B$2:$C$9,2,)</f>
        <v>Steve</v>
      </c>
      <c r="G1436" s="97" t="s">
        <v>12</v>
      </c>
      <c r="H1436" s="97" t="s">
        <v>42</v>
      </c>
      <c r="I1436" s="97">
        <v>159</v>
      </c>
      <c r="J1436" s="97">
        <v>3</v>
      </c>
      <c r="K1436" s="97">
        <f t="shared" si="22"/>
        <v>477</v>
      </c>
      <c r="L1436" s="97">
        <f>_xlfn.XLOOKUP(E1436,Emp_Data!$B$2:$B$9,Emp_Data!$A$2:$A$9)</f>
        <v>4</v>
      </c>
    </row>
    <row r="1437" spans="1:12">
      <c r="A1437" s="99">
        <v>1105</v>
      </c>
      <c r="B1437" s="101">
        <v>44548</v>
      </c>
      <c r="C1437" s="96">
        <v>12</v>
      </c>
      <c r="D1437" s="104" t="s">
        <v>17</v>
      </c>
      <c r="E1437" s="97" t="s">
        <v>18</v>
      </c>
      <c r="F1437" s="97" t="str">
        <f>VLOOKUP(E1437,Emp_Data!$B$2:$C$9,2,)</f>
        <v>Sara</v>
      </c>
      <c r="G1437" s="97" t="s">
        <v>19</v>
      </c>
      <c r="H1437" s="97" t="s">
        <v>42</v>
      </c>
      <c r="I1437" s="97">
        <v>159</v>
      </c>
      <c r="J1437" s="97">
        <v>7</v>
      </c>
      <c r="K1437" s="97">
        <f t="shared" si="22"/>
        <v>1113</v>
      </c>
      <c r="L1437" s="97">
        <f>_xlfn.XLOOKUP(E1437,Emp_Data!$B$2:$B$9,Emp_Data!$A$2:$A$9)</f>
        <v>5</v>
      </c>
    </row>
    <row r="1438" spans="1:12">
      <c r="A1438" s="99">
        <v>1109</v>
      </c>
      <c r="B1438" s="101">
        <v>44549</v>
      </c>
      <c r="C1438" s="96">
        <v>11</v>
      </c>
      <c r="D1438" s="104" t="s">
        <v>38</v>
      </c>
      <c r="E1438" s="97" t="s">
        <v>18</v>
      </c>
      <c r="F1438" s="97" t="str">
        <f>VLOOKUP(E1438,Emp_Data!$B$2:$C$9,2,)</f>
        <v>Sara</v>
      </c>
      <c r="G1438" s="97" t="s">
        <v>19</v>
      </c>
      <c r="H1438" s="97" t="s">
        <v>42</v>
      </c>
      <c r="I1438" s="97">
        <v>159</v>
      </c>
      <c r="J1438" s="97">
        <v>2</v>
      </c>
      <c r="K1438" s="97">
        <f t="shared" si="22"/>
        <v>318</v>
      </c>
      <c r="L1438" s="97">
        <f>_xlfn.XLOOKUP(E1438,Emp_Data!$B$2:$B$9,Emp_Data!$A$2:$A$9)</f>
        <v>5</v>
      </c>
    </row>
    <row r="1439" spans="1:12">
      <c r="A1439" s="99">
        <v>1110</v>
      </c>
      <c r="B1439" s="101">
        <v>44549</v>
      </c>
      <c r="C1439" s="96">
        <v>10</v>
      </c>
      <c r="D1439" s="104" t="s">
        <v>34</v>
      </c>
      <c r="E1439" s="97" t="s">
        <v>11</v>
      </c>
      <c r="F1439" s="97" t="str">
        <f>VLOOKUP(E1439,Emp_Data!$B$2:$C$9,2,)</f>
        <v>Steve</v>
      </c>
      <c r="G1439" s="97" t="s">
        <v>12</v>
      </c>
      <c r="H1439" s="97" t="s">
        <v>42</v>
      </c>
      <c r="I1439" s="97">
        <v>159</v>
      </c>
      <c r="J1439" s="97">
        <v>9</v>
      </c>
      <c r="K1439" s="97">
        <f t="shared" si="22"/>
        <v>1431</v>
      </c>
      <c r="L1439" s="97">
        <f>_xlfn.XLOOKUP(E1439,Emp_Data!$B$2:$B$9,Emp_Data!$A$2:$A$9)</f>
        <v>4</v>
      </c>
    </row>
    <row r="1440" spans="1:12">
      <c r="A1440" s="99">
        <v>1116</v>
      </c>
      <c r="B1440" s="101">
        <v>44550</v>
      </c>
      <c r="C1440" s="96">
        <v>14</v>
      </c>
      <c r="D1440" s="104" t="s">
        <v>33</v>
      </c>
      <c r="E1440" s="97" t="s">
        <v>18</v>
      </c>
      <c r="F1440" s="97" t="str">
        <f>VLOOKUP(E1440,Emp_Data!$B$2:$C$9,2,)</f>
        <v>Sara</v>
      </c>
      <c r="G1440" s="97" t="s">
        <v>19</v>
      </c>
      <c r="H1440" s="97" t="s">
        <v>42</v>
      </c>
      <c r="I1440" s="97">
        <v>159</v>
      </c>
      <c r="J1440" s="97">
        <v>9</v>
      </c>
      <c r="K1440" s="97">
        <f t="shared" si="22"/>
        <v>1431</v>
      </c>
      <c r="L1440" s="97">
        <f>_xlfn.XLOOKUP(E1440,Emp_Data!$B$2:$B$9,Emp_Data!$A$2:$A$9)</f>
        <v>5</v>
      </c>
    </row>
    <row r="1441" spans="1:12">
      <c r="A1441" s="99">
        <v>1120</v>
      </c>
      <c r="B1441" s="101">
        <v>44551</v>
      </c>
      <c r="C1441" s="96">
        <v>1</v>
      </c>
      <c r="D1441" s="104" t="s">
        <v>31</v>
      </c>
      <c r="E1441" s="97" t="s">
        <v>21</v>
      </c>
      <c r="F1441" s="97" t="str">
        <f>VLOOKUP(E1441,Emp_Data!$B$2:$C$9,2,)</f>
        <v>Sara</v>
      </c>
      <c r="G1441" s="97" t="s">
        <v>15</v>
      </c>
      <c r="H1441" s="97" t="s">
        <v>42</v>
      </c>
      <c r="I1441" s="97">
        <v>159</v>
      </c>
      <c r="J1441" s="97">
        <v>8</v>
      </c>
      <c r="K1441" s="97">
        <f t="shared" si="22"/>
        <v>1272</v>
      </c>
      <c r="L1441" s="97">
        <f>_xlfn.XLOOKUP(E1441,Emp_Data!$B$2:$B$9,Emp_Data!$A$2:$A$9)</f>
        <v>2</v>
      </c>
    </row>
    <row r="1442" spans="1:12">
      <c r="A1442" s="99">
        <v>1122</v>
      </c>
      <c r="B1442" s="101">
        <v>44553</v>
      </c>
      <c r="C1442" s="96">
        <v>6</v>
      </c>
      <c r="D1442" s="104" t="s">
        <v>10</v>
      </c>
      <c r="E1442" s="97" t="s">
        <v>11</v>
      </c>
      <c r="F1442" s="97" t="str">
        <f>VLOOKUP(E1442,Emp_Data!$B$2:$C$9,2,)</f>
        <v>Steve</v>
      </c>
      <c r="G1442" s="97" t="s">
        <v>12</v>
      </c>
      <c r="H1442" s="97" t="s">
        <v>42</v>
      </c>
      <c r="I1442" s="97">
        <v>159</v>
      </c>
      <c r="J1442" s="97">
        <v>2</v>
      </c>
      <c r="K1442" s="97">
        <f t="shared" si="22"/>
        <v>318</v>
      </c>
      <c r="L1442" s="97">
        <f>_xlfn.XLOOKUP(E1442,Emp_Data!$B$2:$B$9,Emp_Data!$A$2:$A$9)</f>
        <v>4</v>
      </c>
    </row>
    <row r="1443" spans="1:12">
      <c r="A1443" s="99">
        <v>1123</v>
      </c>
      <c r="B1443" s="101">
        <v>44553</v>
      </c>
      <c r="C1443" s="96">
        <v>9</v>
      </c>
      <c r="D1443" s="104" t="s">
        <v>26</v>
      </c>
      <c r="E1443" s="97" t="s">
        <v>27</v>
      </c>
      <c r="F1443" s="97" t="str">
        <f>VLOOKUP(E1443,Emp_Data!$B$2:$C$9,2,)</f>
        <v>Philip</v>
      </c>
      <c r="G1443" s="97" t="s">
        <v>12</v>
      </c>
      <c r="H1443" s="97" t="s">
        <v>42</v>
      </c>
      <c r="I1443" s="97">
        <v>159</v>
      </c>
      <c r="J1443" s="97">
        <v>9</v>
      </c>
      <c r="K1443" s="97">
        <f t="shared" si="22"/>
        <v>1431</v>
      </c>
      <c r="L1443" s="97">
        <f>_xlfn.XLOOKUP(E1443,Emp_Data!$B$2:$B$9,Emp_Data!$A$2:$A$9)</f>
        <v>8</v>
      </c>
    </row>
    <row r="1444" spans="1:12">
      <c r="A1444" s="99">
        <v>1124</v>
      </c>
      <c r="B1444" s="101">
        <v>44553</v>
      </c>
      <c r="C1444" s="96">
        <v>14</v>
      </c>
      <c r="D1444" s="104" t="s">
        <v>33</v>
      </c>
      <c r="E1444" s="97" t="s">
        <v>18</v>
      </c>
      <c r="F1444" s="97" t="str">
        <f>VLOOKUP(E1444,Emp_Data!$B$2:$C$9,2,)</f>
        <v>Sara</v>
      </c>
      <c r="G1444" s="97" t="s">
        <v>19</v>
      </c>
      <c r="H1444" s="97" t="s">
        <v>42</v>
      </c>
      <c r="I1444" s="97">
        <v>159</v>
      </c>
      <c r="J1444" s="97">
        <v>2</v>
      </c>
      <c r="K1444" s="97">
        <f t="shared" si="22"/>
        <v>318</v>
      </c>
      <c r="L1444" s="97">
        <f>_xlfn.XLOOKUP(E1444,Emp_Data!$B$2:$B$9,Emp_Data!$A$2:$A$9)</f>
        <v>5</v>
      </c>
    </row>
    <row r="1445" spans="1:12">
      <c r="A1445" s="99">
        <v>1129</v>
      </c>
      <c r="B1445" s="101">
        <v>44554</v>
      </c>
      <c r="C1445" s="96">
        <v>13</v>
      </c>
      <c r="D1445" s="104" t="s">
        <v>23</v>
      </c>
      <c r="E1445" s="97" t="s">
        <v>18</v>
      </c>
      <c r="F1445" s="97" t="str">
        <f>VLOOKUP(E1445,Emp_Data!$B$2:$C$9,2,)</f>
        <v>Sara</v>
      </c>
      <c r="G1445" s="97" t="s">
        <v>19</v>
      </c>
      <c r="H1445" s="97" t="s">
        <v>42</v>
      </c>
      <c r="I1445" s="97">
        <v>159</v>
      </c>
      <c r="J1445" s="97">
        <v>2</v>
      </c>
      <c r="K1445" s="97">
        <f t="shared" si="22"/>
        <v>318</v>
      </c>
      <c r="L1445" s="97">
        <f>_xlfn.XLOOKUP(E1445,Emp_Data!$B$2:$B$9,Emp_Data!$A$2:$A$9)</f>
        <v>5</v>
      </c>
    </row>
    <row r="1446" spans="1:12">
      <c r="A1446" s="99">
        <v>1134</v>
      </c>
      <c r="B1446" s="101">
        <v>44555</v>
      </c>
      <c r="C1446" s="96">
        <v>12</v>
      </c>
      <c r="D1446" s="104" t="s">
        <v>17</v>
      </c>
      <c r="E1446" s="97" t="s">
        <v>24</v>
      </c>
      <c r="F1446" s="97" t="str">
        <f>VLOOKUP(E1446,Emp_Data!$B$2:$C$9,2,)</f>
        <v>Steve</v>
      </c>
      <c r="G1446" s="97" t="s">
        <v>19</v>
      </c>
      <c r="H1446" s="97" t="s">
        <v>42</v>
      </c>
      <c r="I1446" s="97">
        <v>159</v>
      </c>
      <c r="J1446" s="97">
        <v>5</v>
      </c>
      <c r="K1446" s="97">
        <f t="shared" si="22"/>
        <v>795</v>
      </c>
      <c r="L1446" s="97">
        <f>_xlfn.XLOOKUP(E1446,Emp_Data!$B$2:$B$9,Emp_Data!$A$2:$A$9)</f>
        <v>6</v>
      </c>
    </row>
    <row r="1447" spans="1:12">
      <c r="A1447" s="99">
        <v>1136</v>
      </c>
      <c r="B1447" s="101">
        <v>44555</v>
      </c>
      <c r="C1447" s="96">
        <v>16</v>
      </c>
      <c r="D1447" s="104" t="s">
        <v>37</v>
      </c>
      <c r="E1447" s="97" t="s">
        <v>25</v>
      </c>
      <c r="F1447" s="97" t="str">
        <f>VLOOKUP(E1447,Emp_Data!$B$2:$C$9,2,)</f>
        <v>Jeff</v>
      </c>
      <c r="G1447" s="97" t="s">
        <v>9</v>
      </c>
      <c r="H1447" s="97" t="s">
        <v>42</v>
      </c>
      <c r="I1447" s="97">
        <v>159</v>
      </c>
      <c r="J1447" s="97">
        <v>4</v>
      </c>
      <c r="K1447" s="97">
        <f t="shared" si="22"/>
        <v>636</v>
      </c>
      <c r="L1447" s="97">
        <f>_xlfn.XLOOKUP(E1447,Emp_Data!$B$2:$B$9,Emp_Data!$A$2:$A$9)</f>
        <v>5</v>
      </c>
    </row>
    <row r="1448" spans="1:12">
      <c r="A1448" s="99">
        <v>1138</v>
      </c>
      <c r="B1448" s="101">
        <v>44555</v>
      </c>
      <c r="C1448" s="96">
        <v>14</v>
      </c>
      <c r="D1448" s="104" t="s">
        <v>33</v>
      </c>
      <c r="E1448" s="97" t="s">
        <v>18</v>
      </c>
      <c r="F1448" s="97" t="str">
        <f>VLOOKUP(E1448,Emp_Data!$B$2:$C$9,2,)</f>
        <v>Sara</v>
      </c>
      <c r="G1448" s="97" t="s">
        <v>19</v>
      </c>
      <c r="H1448" s="97" t="s">
        <v>42</v>
      </c>
      <c r="I1448" s="97">
        <v>159</v>
      </c>
      <c r="J1448" s="97">
        <v>0</v>
      </c>
      <c r="K1448" s="97">
        <f t="shared" si="22"/>
        <v>0</v>
      </c>
      <c r="L1448" s="97">
        <f>_xlfn.XLOOKUP(E1448,Emp_Data!$B$2:$B$9,Emp_Data!$A$2:$A$9)</f>
        <v>5</v>
      </c>
    </row>
    <row r="1449" spans="1:12">
      <c r="A1449" s="99">
        <v>1140</v>
      </c>
      <c r="B1449" s="101">
        <v>44557</v>
      </c>
      <c r="C1449" s="96">
        <v>6</v>
      </c>
      <c r="D1449" s="104" t="s">
        <v>10</v>
      </c>
      <c r="E1449" s="97" t="s">
        <v>11</v>
      </c>
      <c r="F1449" s="97" t="str">
        <f>VLOOKUP(E1449,Emp_Data!$B$2:$C$9,2,)</f>
        <v>Steve</v>
      </c>
      <c r="G1449" s="97" t="s">
        <v>12</v>
      </c>
      <c r="H1449" s="97" t="s">
        <v>42</v>
      </c>
      <c r="I1449" s="97">
        <v>159</v>
      </c>
      <c r="J1449" s="97">
        <v>1</v>
      </c>
      <c r="K1449" s="97">
        <f t="shared" si="22"/>
        <v>159</v>
      </c>
      <c r="L1449" s="97">
        <f>_xlfn.XLOOKUP(E1449,Emp_Data!$B$2:$B$9,Emp_Data!$A$2:$A$9)</f>
        <v>4</v>
      </c>
    </row>
    <row r="1450" spans="1:12">
      <c r="A1450" s="99">
        <v>1141</v>
      </c>
      <c r="B1450" s="101">
        <v>44557</v>
      </c>
      <c r="C1450" s="96">
        <v>15</v>
      </c>
      <c r="D1450" s="104" t="s">
        <v>29</v>
      </c>
      <c r="E1450" s="97" t="s">
        <v>18</v>
      </c>
      <c r="F1450" s="97" t="str">
        <f>VLOOKUP(E1450,Emp_Data!$B$2:$C$9,2,)</f>
        <v>Sara</v>
      </c>
      <c r="G1450" s="97" t="s">
        <v>19</v>
      </c>
      <c r="H1450" s="97" t="s">
        <v>42</v>
      </c>
      <c r="I1450" s="97">
        <v>159</v>
      </c>
      <c r="J1450" s="97">
        <v>0</v>
      </c>
      <c r="K1450" s="97">
        <f t="shared" si="22"/>
        <v>0</v>
      </c>
      <c r="L1450" s="97">
        <f>_xlfn.XLOOKUP(E1450,Emp_Data!$B$2:$B$9,Emp_Data!$A$2:$A$9)</f>
        <v>5</v>
      </c>
    </row>
    <row r="1451" spans="1:12">
      <c r="A1451" s="99">
        <v>1149</v>
      </c>
      <c r="B1451" s="101">
        <v>44563</v>
      </c>
      <c r="C1451" s="96">
        <v>10</v>
      </c>
      <c r="D1451" s="104" t="s">
        <v>34</v>
      </c>
      <c r="E1451" s="97" t="s">
        <v>27</v>
      </c>
      <c r="F1451" s="97" t="str">
        <f>VLOOKUP(E1451,Emp_Data!$B$2:$C$9,2,)</f>
        <v>Philip</v>
      </c>
      <c r="G1451" s="97" t="s">
        <v>12</v>
      </c>
      <c r="H1451" s="97" t="s">
        <v>42</v>
      </c>
      <c r="I1451" s="97">
        <v>159</v>
      </c>
      <c r="J1451" s="97">
        <v>7</v>
      </c>
      <c r="K1451" s="97">
        <f t="shared" si="22"/>
        <v>1113</v>
      </c>
      <c r="L1451" s="97">
        <f>_xlfn.XLOOKUP(E1451,Emp_Data!$B$2:$B$9,Emp_Data!$A$2:$A$9)</f>
        <v>8</v>
      </c>
    </row>
    <row r="1452" spans="1:12">
      <c r="A1452" s="99">
        <v>1150</v>
      </c>
      <c r="B1452" s="101">
        <v>44563</v>
      </c>
      <c r="C1452" s="96">
        <v>5</v>
      </c>
      <c r="D1452" s="104" t="s">
        <v>16</v>
      </c>
      <c r="E1452" s="97" t="s">
        <v>21</v>
      </c>
      <c r="F1452" s="97" t="str">
        <f>VLOOKUP(E1452,Emp_Data!$B$2:$C$9,2,)</f>
        <v>Sara</v>
      </c>
      <c r="G1452" s="97" t="s">
        <v>15</v>
      </c>
      <c r="H1452" s="97" t="s">
        <v>42</v>
      </c>
      <c r="I1452" s="97">
        <v>159</v>
      </c>
      <c r="J1452" s="97">
        <v>0</v>
      </c>
      <c r="K1452" s="97">
        <f t="shared" si="22"/>
        <v>0</v>
      </c>
      <c r="L1452" s="97">
        <f>_xlfn.XLOOKUP(E1452,Emp_Data!$B$2:$B$9,Emp_Data!$A$2:$A$9)</f>
        <v>2</v>
      </c>
    </row>
    <row r="1453" spans="1:12">
      <c r="A1453" s="99">
        <v>1153</v>
      </c>
      <c r="B1453" s="101">
        <v>44565</v>
      </c>
      <c r="C1453" s="96">
        <v>20</v>
      </c>
      <c r="D1453" s="104" t="s">
        <v>7</v>
      </c>
      <c r="E1453" s="97" t="s">
        <v>8</v>
      </c>
      <c r="F1453" s="97" t="str">
        <f>VLOOKUP(E1453,Emp_Data!$B$2:$C$9,2,)</f>
        <v>Jeff</v>
      </c>
      <c r="G1453" s="97" t="s">
        <v>9</v>
      </c>
      <c r="H1453" s="97" t="s">
        <v>42</v>
      </c>
      <c r="I1453" s="97">
        <v>159</v>
      </c>
      <c r="J1453" s="97">
        <v>2</v>
      </c>
      <c r="K1453" s="97">
        <f t="shared" si="22"/>
        <v>318</v>
      </c>
      <c r="L1453" s="97">
        <f>_xlfn.XLOOKUP(E1453,Emp_Data!$B$2:$B$9,Emp_Data!$A$2:$A$9)</f>
        <v>3</v>
      </c>
    </row>
    <row r="1454" spans="1:12">
      <c r="A1454" s="99">
        <v>1159</v>
      </c>
      <c r="B1454" s="101">
        <v>44567</v>
      </c>
      <c r="C1454" s="96">
        <v>7</v>
      </c>
      <c r="D1454" s="104" t="s">
        <v>28</v>
      </c>
      <c r="E1454" s="97" t="s">
        <v>11</v>
      </c>
      <c r="F1454" s="97" t="str">
        <f>VLOOKUP(E1454,Emp_Data!$B$2:$C$9,2,)</f>
        <v>Steve</v>
      </c>
      <c r="G1454" s="97" t="s">
        <v>12</v>
      </c>
      <c r="H1454" s="97" t="s">
        <v>42</v>
      </c>
      <c r="I1454" s="97">
        <v>159</v>
      </c>
      <c r="J1454" s="97">
        <v>1</v>
      </c>
      <c r="K1454" s="97">
        <f t="shared" si="22"/>
        <v>159</v>
      </c>
      <c r="L1454" s="97">
        <f>_xlfn.XLOOKUP(E1454,Emp_Data!$B$2:$B$9,Emp_Data!$A$2:$A$9)</f>
        <v>4</v>
      </c>
    </row>
    <row r="1455" spans="1:12">
      <c r="A1455" s="99">
        <v>1168</v>
      </c>
      <c r="B1455" s="101">
        <v>44569</v>
      </c>
      <c r="C1455" s="96">
        <v>3</v>
      </c>
      <c r="D1455" s="104" t="s">
        <v>20</v>
      </c>
      <c r="E1455" s="97" t="s">
        <v>21</v>
      </c>
      <c r="F1455" s="97" t="str">
        <f>VLOOKUP(E1455,Emp_Data!$B$2:$C$9,2,)</f>
        <v>Sara</v>
      </c>
      <c r="G1455" s="97" t="s">
        <v>15</v>
      </c>
      <c r="H1455" s="97" t="s">
        <v>42</v>
      </c>
      <c r="I1455" s="97">
        <v>159</v>
      </c>
      <c r="J1455" s="97">
        <v>6</v>
      </c>
      <c r="K1455" s="97">
        <f t="shared" si="22"/>
        <v>954</v>
      </c>
      <c r="L1455" s="97">
        <f>_xlfn.XLOOKUP(E1455,Emp_Data!$B$2:$B$9,Emp_Data!$A$2:$A$9)</f>
        <v>2</v>
      </c>
    </row>
    <row r="1456" spans="1:12">
      <c r="A1456" s="99">
        <v>1170</v>
      </c>
      <c r="B1456" s="101">
        <v>44570</v>
      </c>
      <c r="C1456" s="96">
        <v>3</v>
      </c>
      <c r="D1456" s="104" t="s">
        <v>20</v>
      </c>
      <c r="E1456" s="97" t="s">
        <v>21</v>
      </c>
      <c r="F1456" s="97" t="str">
        <f>VLOOKUP(E1456,Emp_Data!$B$2:$C$9,2,)</f>
        <v>Sara</v>
      </c>
      <c r="G1456" s="97" t="s">
        <v>15</v>
      </c>
      <c r="H1456" s="97" t="s">
        <v>42</v>
      </c>
      <c r="I1456" s="97">
        <v>159</v>
      </c>
      <c r="J1456" s="97">
        <v>0</v>
      </c>
      <c r="K1456" s="97">
        <f t="shared" si="22"/>
        <v>0</v>
      </c>
      <c r="L1456" s="97">
        <f>_xlfn.XLOOKUP(E1456,Emp_Data!$B$2:$B$9,Emp_Data!$A$2:$A$9)</f>
        <v>2</v>
      </c>
    </row>
    <row r="1457" spans="1:12">
      <c r="A1457" s="99">
        <v>1172</v>
      </c>
      <c r="B1457" s="101">
        <v>44571</v>
      </c>
      <c r="C1457" s="96">
        <v>11</v>
      </c>
      <c r="D1457" s="104" t="s">
        <v>38</v>
      </c>
      <c r="E1457" s="97" t="s">
        <v>24</v>
      </c>
      <c r="F1457" s="97" t="str">
        <f>VLOOKUP(E1457,Emp_Data!$B$2:$C$9,2,)</f>
        <v>Steve</v>
      </c>
      <c r="G1457" s="97" t="s">
        <v>19</v>
      </c>
      <c r="H1457" s="97" t="s">
        <v>42</v>
      </c>
      <c r="I1457" s="97">
        <v>159</v>
      </c>
      <c r="J1457" s="97">
        <v>4</v>
      </c>
      <c r="K1457" s="97">
        <f t="shared" si="22"/>
        <v>636</v>
      </c>
      <c r="L1457" s="97">
        <f>_xlfn.XLOOKUP(E1457,Emp_Data!$B$2:$B$9,Emp_Data!$A$2:$A$9)</f>
        <v>6</v>
      </c>
    </row>
    <row r="1458" spans="1:12">
      <c r="A1458" s="99">
        <v>1185</v>
      </c>
      <c r="B1458" s="101">
        <v>44574</v>
      </c>
      <c r="C1458" s="96">
        <v>13</v>
      </c>
      <c r="D1458" s="104" t="s">
        <v>23</v>
      </c>
      <c r="E1458" s="97" t="s">
        <v>18</v>
      </c>
      <c r="F1458" s="97" t="str">
        <f>VLOOKUP(E1458,Emp_Data!$B$2:$C$9,2,)</f>
        <v>Sara</v>
      </c>
      <c r="G1458" s="97" t="s">
        <v>19</v>
      </c>
      <c r="H1458" s="97" t="s">
        <v>42</v>
      </c>
      <c r="I1458" s="97">
        <v>159</v>
      </c>
      <c r="J1458" s="97">
        <v>0</v>
      </c>
      <c r="K1458" s="97">
        <f t="shared" si="22"/>
        <v>0</v>
      </c>
      <c r="L1458" s="97">
        <f>_xlfn.XLOOKUP(E1458,Emp_Data!$B$2:$B$9,Emp_Data!$A$2:$A$9)</f>
        <v>5</v>
      </c>
    </row>
    <row r="1459" spans="1:12">
      <c r="A1459" s="99">
        <v>1186</v>
      </c>
      <c r="B1459" s="101">
        <v>44574</v>
      </c>
      <c r="C1459" s="96">
        <v>3</v>
      </c>
      <c r="D1459" s="104" t="s">
        <v>20</v>
      </c>
      <c r="E1459" s="97" t="s">
        <v>21</v>
      </c>
      <c r="F1459" s="97" t="str">
        <f>VLOOKUP(E1459,Emp_Data!$B$2:$C$9,2,)</f>
        <v>Sara</v>
      </c>
      <c r="G1459" s="97" t="s">
        <v>15</v>
      </c>
      <c r="H1459" s="97" t="s">
        <v>42</v>
      </c>
      <c r="I1459" s="97">
        <v>159</v>
      </c>
      <c r="J1459" s="97">
        <v>4</v>
      </c>
      <c r="K1459" s="97">
        <f t="shared" si="22"/>
        <v>636</v>
      </c>
      <c r="L1459" s="97">
        <f>_xlfn.XLOOKUP(E1459,Emp_Data!$B$2:$B$9,Emp_Data!$A$2:$A$9)</f>
        <v>2</v>
      </c>
    </row>
    <row r="1460" spans="1:12">
      <c r="A1460" s="99">
        <v>1188</v>
      </c>
      <c r="B1460" s="101">
        <v>44574</v>
      </c>
      <c r="C1460" s="96">
        <v>8</v>
      </c>
      <c r="D1460" s="104" t="s">
        <v>36</v>
      </c>
      <c r="E1460" s="97" t="s">
        <v>27</v>
      </c>
      <c r="F1460" s="97" t="str">
        <f>VLOOKUP(E1460,Emp_Data!$B$2:$C$9,2,)</f>
        <v>Philip</v>
      </c>
      <c r="G1460" s="97" t="s">
        <v>12</v>
      </c>
      <c r="H1460" s="97" t="s">
        <v>42</v>
      </c>
      <c r="I1460" s="97">
        <v>159</v>
      </c>
      <c r="J1460" s="97">
        <v>6</v>
      </c>
      <c r="K1460" s="97">
        <f t="shared" si="22"/>
        <v>954</v>
      </c>
      <c r="L1460" s="97">
        <f>_xlfn.XLOOKUP(E1460,Emp_Data!$B$2:$B$9,Emp_Data!$A$2:$A$9)</f>
        <v>8</v>
      </c>
    </row>
    <row r="1461" spans="1:12">
      <c r="A1461" s="99">
        <v>1192</v>
      </c>
      <c r="B1461" s="101">
        <v>44575</v>
      </c>
      <c r="C1461" s="96">
        <v>10</v>
      </c>
      <c r="D1461" s="104" t="s">
        <v>34</v>
      </c>
      <c r="E1461" s="97" t="s">
        <v>11</v>
      </c>
      <c r="F1461" s="97" t="str">
        <f>VLOOKUP(E1461,Emp_Data!$B$2:$C$9,2,)</f>
        <v>Steve</v>
      </c>
      <c r="G1461" s="97" t="s">
        <v>12</v>
      </c>
      <c r="H1461" s="97" t="s">
        <v>42</v>
      </c>
      <c r="I1461" s="97">
        <v>159</v>
      </c>
      <c r="J1461" s="97">
        <v>3</v>
      </c>
      <c r="K1461" s="97">
        <f t="shared" si="22"/>
        <v>477</v>
      </c>
      <c r="L1461" s="97">
        <f>_xlfn.XLOOKUP(E1461,Emp_Data!$B$2:$B$9,Emp_Data!$A$2:$A$9)</f>
        <v>4</v>
      </c>
    </row>
    <row r="1462" spans="1:12">
      <c r="A1462" s="99">
        <v>1207</v>
      </c>
      <c r="B1462" s="101">
        <v>44578</v>
      </c>
      <c r="C1462" s="96">
        <v>10</v>
      </c>
      <c r="D1462" s="104" t="s">
        <v>34</v>
      </c>
      <c r="E1462" s="97" t="s">
        <v>11</v>
      </c>
      <c r="F1462" s="97" t="str">
        <f>VLOOKUP(E1462,Emp_Data!$B$2:$C$9,2,)</f>
        <v>Steve</v>
      </c>
      <c r="G1462" s="97" t="s">
        <v>12</v>
      </c>
      <c r="H1462" s="97" t="s">
        <v>42</v>
      </c>
      <c r="I1462" s="97">
        <v>159</v>
      </c>
      <c r="J1462" s="97">
        <v>3</v>
      </c>
      <c r="K1462" s="97">
        <f t="shared" si="22"/>
        <v>477</v>
      </c>
      <c r="L1462" s="97">
        <f>_xlfn.XLOOKUP(E1462,Emp_Data!$B$2:$B$9,Emp_Data!$A$2:$A$9)</f>
        <v>4</v>
      </c>
    </row>
    <row r="1463" spans="1:12">
      <c r="A1463" s="99">
        <v>1211</v>
      </c>
      <c r="B1463" s="101">
        <v>44580</v>
      </c>
      <c r="C1463" s="96">
        <v>9</v>
      </c>
      <c r="D1463" s="104" t="s">
        <v>26</v>
      </c>
      <c r="E1463" s="97" t="s">
        <v>11</v>
      </c>
      <c r="F1463" s="97" t="str">
        <f>VLOOKUP(E1463,Emp_Data!$B$2:$C$9,2,)</f>
        <v>Steve</v>
      </c>
      <c r="G1463" s="97" t="s">
        <v>12</v>
      </c>
      <c r="H1463" s="97" t="s">
        <v>42</v>
      </c>
      <c r="I1463" s="97">
        <v>159</v>
      </c>
      <c r="J1463" s="97">
        <v>7</v>
      </c>
      <c r="K1463" s="97">
        <f t="shared" si="22"/>
        <v>1113</v>
      </c>
      <c r="L1463" s="97">
        <f>_xlfn.XLOOKUP(E1463,Emp_Data!$B$2:$B$9,Emp_Data!$A$2:$A$9)</f>
        <v>4</v>
      </c>
    </row>
    <row r="1464" spans="1:12">
      <c r="A1464" s="99">
        <v>1212</v>
      </c>
      <c r="B1464" s="101">
        <v>44581</v>
      </c>
      <c r="C1464" s="96">
        <v>14</v>
      </c>
      <c r="D1464" s="104" t="s">
        <v>33</v>
      </c>
      <c r="E1464" s="97" t="s">
        <v>18</v>
      </c>
      <c r="F1464" s="97" t="str">
        <f>VLOOKUP(E1464,Emp_Data!$B$2:$C$9,2,)</f>
        <v>Sara</v>
      </c>
      <c r="G1464" s="97" t="s">
        <v>19</v>
      </c>
      <c r="H1464" s="97" t="s">
        <v>42</v>
      </c>
      <c r="I1464" s="97">
        <v>159</v>
      </c>
      <c r="J1464" s="97">
        <v>1</v>
      </c>
      <c r="K1464" s="97">
        <f t="shared" si="22"/>
        <v>159</v>
      </c>
      <c r="L1464" s="97">
        <f>_xlfn.XLOOKUP(E1464,Emp_Data!$B$2:$B$9,Emp_Data!$A$2:$A$9)</f>
        <v>5</v>
      </c>
    </row>
    <row r="1465" spans="1:12">
      <c r="A1465" s="99">
        <v>1216</v>
      </c>
      <c r="B1465" s="101">
        <v>44582</v>
      </c>
      <c r="C1465" s="96">
        <v>10</v>
      </c>
      <c r="D1465" s="104" t="s">
        <v>34</v>
      </c>
      <c r="E1465" s="97" t="s">
        <v>11</v>
      </c>
      <c r="F1465" s="97" t="str">
        <f>VLOOKUP(E1465,Emp_Data!$B$2:$C$9,2,)</f>
        <v>Steve</v>
      </c>
      <c r="G1465" s="97" t="s">
        <v>12</v>
      </c>
      <c r="H1465" s="97" t="s">
        <v>42</v>
      </c>
      <c r="I1465" s="97">
        <v>159</v>
      </c>
      <c r="J1465" s="97">
        <v>1</v>
      </c>
      <c r="K1465" s="97">
        <f t="shared" si="22"/>
        <v>159</v>
      </c>
      <c r="L1465" s="97">
        <f>_xlfn.XLOOKUP(E1465,Emp_Data!$B$2:$B$9,Emp_Data!$A$2:$A$9)</f>
        <v>4</v>
      </c>
    </row>
    <row r="1466" spans="1:12">
      <c r="A1466" s="99">
        <v>1217</v>
      </c>
      <c r="B1466" s="101">
        <v>44582</v>
      </c>
      <c r="C1466" s="96">
        <v>4</v>
      </c>
      <c r="D1466" s="104" t="s">
        <v>13</v>
      </c>
      <c r="E1466" s="97" t="s">
        <v>21</v>
      </c>
      <c r="F1466" s="97" t="str">
        <f>VLOOKUP(E1466,Emp_Data!$B$2:$C$9,2,)</f>
        <v>Sara</v>
      </c>
      <c r="G1466" s="97" t="s">
        <v>15</v>
      </c>
      <c r="H1466" s="97" t="s">
        <v>42</v>
      </c>
      <c r="I1466" s="97">
        <v>159</v>
      </c>
      <c r="J1466" s="97">
        <v>4</v>
      </c>
      <c r="K1466" s="97">
        <f t="shared" si="22"/>
        <v>636</v>
      </c>
      <c r="L1466" s="97">
        <f>_xlfn.XLOOKUP(E1466,Emp_Data!$B$2:$B$9,Emp_Data!$A$2:$A$9)</f>
        <v>2</v>
      </c>
    </row>
    <row r="1467" spans="1:12">
      <c r="A1467" s="99">
        <v>1221</v>
      </c>
      <c r="B1467" s="101">
        <v>44584</v>
      </c>
      <c r="C1467" s="96">
        <v>10</v>
      </c>
      <c r="D1467" s="104" t="s">
        <v>34</v>
      </c>
      <c r="E1467" s="97" t="s">
        <v>11</v>
      </c>
      <c r="F1467" s="97" t="str">
        <f>VLOOKUP(E1467,Emp_Data!$B$2:$C$9,2,)</f>
        <v>Steve</v>
      </c>
      <c r="G1467" s="97" t="s">
        <v>12</v>
      </c>
      <c r="H1467" s="97" t="s">
        <v>42</v>
      </c>
      <c r="I1467" s="97">
        <v>159</v>
      </c>
      <c r="J1467" s="97">
        <v>6</v>
      </c>
      <c r="K1467" s="97">
        <f t="shared" si="22"/>
        <v>954</v>
      </c>
      <c r="L1467" s="97">
        <f>_xlfn.XLOOKUP(E1467,Emp_Data!$B$2:$B$9,Emp_Data!$A$2:$A$9)</f>
        <v>4</v>
      </c>
    </row>
    <row r="1468" spans="1:12">
      <c r="A1468" s="99">
        <v>1222</v>
      </c>
      <c r="B1468" s="101">
        <v>44585</v>
      </c>
      <c r="C1468" s="96">
        <v>8</v>
      </c>
      <c r="D1468" s="104" t="s">
        <v>36</v>
      </c>
      <c r="E1468" s="97" t="s">
        <v>27</v>
      </c>
      <c r="F1468" s="97" t="str">
        <f>VLOOKUP(E1468,Emp_Data!$B$2:$C$9,2,)</f>
        <v>Philip</v>
      </c>
      <c r="G1468" s="97" t="s">
        <v>12</v>
      </c>
      <c r="H1468" s="97" t="s">
        <v>42</v>
      </c>
      <c r="I1468" s="97">
        <v>159</v>
      </c>
      <c r="J1468" s="97">
        <v>4</v>
      </c>
      <c r="K1468" s="97">
        <f t="shared" si="22"/>
        <v>636</v>
      </c>
      <c r="L1468" s="97">
        <f>_xlfn.XLOOKUP(E1468,Emp_Data!$B$2:$B$9,Emp_Data!$A$2:$A$9)</f>
        <v>8</v>
      </c>
    </row>
    <row r="1469" spans="1:12">
      <c r="A1469" s="99">
        <v>1232</v>
      </c>
      <c r="B1469" s="101">
        <v>44589</v>
      </c>
      <c r="C1469" s="96">
        <v>4</v>
      </c>
      <c r="D1469" s="104" t="s">
        <v>13</v>
      </c>
      <c r="E1469" s="97" t="s">
        <v>14</v>
      </c>
      <c r="F1469" s="97" t="str">
        <f>VLOOKUP(E1469,Emp_Data!$B$2:$C$9,2,)</f>
        <v>Jeff</v>
      </c>
      <c r="G1469" s="97" t="s">
        <v>15</v>
      </c>
      <c r="H1469" s="97" t="s">
        <v>42</v>
      </c>
      <c r="I1469" s="97">
        <v>159</v>
      </c>
      <c r="J1469" s="97">
        <v>7</v>
      </c>
      <c r="K1469" s="97">
        <f t="shared" si="22"/>
        <v>1113</v>
      </c>
      <c r="L1469" s="97">
        <f>_xlfn.XLOOKUP(E1469,Emp_Data!$B$2:$B$9,Emp_Data!$A$2:$A$9)</f>
        <v>2</v>
      </c>
    </row>
    <row r="1470" spans="1:12">
      <c r="A1470" s="99">
        <v>1234</v>
      </c>
      <c r="B1470" s="101">
        <v>44590</v>
      </c>
      <c r="C1470" s="96">
        <v>9</v>
      </c>
      <c r="D1470" s="104" t="s">
        <v>26</v>
      </c>
      <c r="E1470" s="97" t="s">
        <v>11</v>
      </c>
      <c r="F1470" s="97" t="str">
        <f>VLOOKUP(E1470,Emp_Data!$B$2:$C$9,2,)</f>
        <v>Steve</v>
      </c>
      <c r="G1470" s="97" t="s">
        <v>12</v>
      </c>
      <c r="H1470" s="97" t="s">
        <v>42</v>
      </c>
      <c r="I1470" s="97">
        <v>159</v>
      </c>
      <c r="J1470" s="97">
        <v>3</v>
      </c>
      <c r="K1470" s="97">
        <f t="shared" si="22"/>
        <v>477</v>
      </c>
      <c r="L1470" s="97">
        <f>_xlfn.XLOOKUP(E1470,Emp_Data!$B$2:$B$9,Emp_Data!$A$2:$A$9)</f>
        <v>4</v>
      </c>
    </row>
    <row r="1471" spans="1:12">
      <c r="A1471" s="99">
        <v>1236</v>
      </c>
      <c r="B1471" s="101">
        <v>44591</v>
      </c>
      <c r="C1471" s="96">
        <v>3</v>
      </c>
      <c r="D1471" s="104" t="s">
        <v>20</v>
      </c>
      <c r="E1471" s="97" t="s">
        <v>21</v>
      </c>
      <c r="F1471" s="97" t="str">
        <f>VLOOKUP(E1471,Emp_Data!$B$2:$C$9,2,)</f>
        <v>Sara</v>
      </c>
      <c r="G1471" s="97" t="s">
        <v>15</v>
      </c>
      <c r="H1471" s="97" t="s">
        <v>42</v>
      </c>
      <c r="I1471" s="97">
        <v>159</v>
      </c>
      <c r="J1471" s="97">
        <v>9</v>
      </c>
      <c r="K1471" s="97">
        <f t="shared" si="22"/>
        <v>1431</v>
      </c>
      <c r="L1471" s="97">
        <f>_xlfn.XLOOKUP(E1471,Emp_Data!$B$2:$B$9,Emp_Data!$A$2:$A$9)</f>
        <v>2</v>
      </c>
    </row>
    <row r="1472" spans="1:12">
      <c r="A1472" s="99">
        <v>1247</v>
      </c>
      <c r="B1472" s="101">
        <v>44597</v>
      </c>
      <c r="C1472" s="96">
        <v>12</v>
      </c>
      <c r="D1472" s="104" t="s">
        <v>17</v>
      </c>
      <c r="E1472" s="97" t="s">
        <v>18</v>
      </c>
      <c r="F1472" s="97" t="str">
        <f>VLOOKUP(E1472,Emp_Data!$B$2:$C$9,2,)</f>
        <v>Sara</v>
      </c>
      <c r="G1472" s="97" t="s">
        <v>19</v>
      </c>
      <c r="H1472" s="97" t="s">
        <v>42</v>
      </c>
      <c r="I1472" s="97">
        <v>159</v>
      </c>
      <c r="J1472" s="97">
        <v>2</v>
      </c>
      <c r="K1472" s="97">
        <f t="shared" si="22"/>
        <v>318</v>
      </c>
      <c r="L1472" s="97">
        <f>_xlfn.XLOOKUP(E1472,Emp_Data!$B$2:$B$9,Emp_Data!$A$2:$A$9)</f>
        <v>5</v>
      </c>
    </row>
    <row r="1473" spans="1:12">
      <c r="A1473" s="99">
        <v>1253</v>
      </c>
      <c r="B1473" s="101">
        <v>44598</v>
      </c>
      <c r="C1473" s="96">
        <v>12</v>
      </c>
      <c r="D1473" s="104" t="s">
        <v>17</v>
      </c>
      <c r="E1473" s="97" t="s">
        <v>24</v>
      </c>
      <c r="F1473" s="97" t="str">
        <f>VLOOKUP(E1473,Emp_Data!$B$2:$C$9,2,)</f>
        <v>Steve</v>
      </c>
      <c r="G1473" s="97" t="s">
        <v>19</v>
      </c>
      <c r="H1473" s="97" t="s">
        <v>42</v>
      </c>
      <c r="I1473" s="97">
        <v>159</v>
      </c>
      <c r="J1473" s="97">
        <v>2</v>
      </c>
      <c r="K1473" s="97">
        <f t="shared" si="22"/>
        <v>318</v>
      </c>
      <c r="L1473" s="97">
        <f>_xlfn.XLOOKUP(E1473,Emp_Data!$B$2:$B$9,Emp_Data!$A$2:$A$9)</f>
        <v>6</v>
      </c>
    </row>
    <row r="1474" spans="1:12">
      <c r="A1474" s="99">
        <v>1257</v>
      </c>
      <c r="B1474" s="101">
        <v>44600</v>
      </c>
      <c r="C1474" s="96">
        <v>14</v>
      </c>
      <c r="D1474" s="104" t="s">
        <v>33</v>
      </c>
      <c r="E1474" s="97" t="s">
        <v>24</v>
      </c>
      <c r="F1474" s="97" t="str">
        <f>VLOOKUP(E1474,Emp_Data!$B$2:$C$9,2,)</f>
        <v>Steve</v>
      </c>
      <c r="G1474" s="97" t="s">
        <v>19</v>
      </c>
      <c r="H1474" s="97" t="s">
        <v>42</v>
      </c>
      <c r="I1474" s="97">
        <v>159</v>
      </c>
      <c r="J1474" s="97">
        <v>8</v>
      </c>
      <c r="K1474" s="97">
        <f t="shared" si="22"/>
        <v>1272</v>
      </c>
      <c r="L1474" s="97">
        <f>_xlfn.XLOOKUP(E1474,Emp_Data!$B$2:$B$9,Emp_Data!$A$2:$A$9)</f>
        <v>6</v>
      </c>
    </row>
    <row r="1475" spans="1:12">
      <c r="A1475" s="99">
        <v>1262</v>
      </c>
      <c r="B1475" s="101">
        <v>44602</v>
      </c>
      <c r="C1475" s="96">
        <v>13</v>
      </c>
      <c r="D1475" s="104" t="s">
        <v>23</v>
      </c>
      <c r="E1475" s="97" t="s">
        <v>24</v>
      </c>
      <c r="F1475" s="97" t="str">
        <f>VLOOKUP(E1475,Emp_Data!$B$2:$C$9,2,)</f>
        <v>Steve</v>
      </c>
      <c r="G1475" s="97" t="s">
        <v>19</v>
      </c>
      <c r="H1475" s="97" t="s">
        <v>42</v>
      </c>
      <c r="I1475" s="97">
        <v>159</v>
      </c>
      <c r="J1475" s="97">
        <v>8</v>
      </c>
      <c r="K1475" s="97">
        <f t="shared" ref="K1475:K1538" si="23">SUMPRODUCT(I1475,J1475)</f>
        <v>1272</v>
      </c>
      <c r="L1475" s="97">
        <f>_xlfn.XLOOKUP(E1475,Emp_Data!$B$2:$B$9,Emp_Data!$A$2:$A$9)</f>
        <v>6</v>
      </c>
    </row>
    <row r="1476" spans="1:12">
      <c r="A1476" s="99">
        <v>1265</v>
      </c>
      <c r="B1476" s="101">
        <v>44605</v>
      </c>
      <c r="C1476" s="96">
        <v>13</v>
      </c>
      <c r="D1476" s="104" t="s">
        <v>23</v>
      </c>
      <c r="E1476" s="97" t="s">
        <v>18</v>
      </c>
      <c r="F1476" s="97" t="str">
        <f>VLOOKUP(E1476,Emp_Data!$B$2:$C$9,2,)</f>
        <v>Sara</v>
      </c>
      <c r="G1476" s="97" t="s">
        <v>19</v>
      </c>
      <c r="H1476" s="97" t="s">
        <v>42</v>
      </c>
      <c r="I1476" s="97">
        <v>159</v>
      </c>
      <c r="J1476" s="97">
        <v>3</v>
      </c>
      <c r="K1476" s="97">
        <f t="shared" si="23"/>
        <v>477</v>
      </c>
      <c r="L1476" s="97">
        <f>_xlfn.XLOOKUP(E1476,Emp_Data!$B$2:$B$9,Emp_Data!$A$2:$A$9)</f>
        <v>5</v>
      </c>
    </row>
    <row r="1477" spans="1:12">
      <c r="A1477" s="99">
        <v>1293</v>
      </c>
      <c r="B1477" s="101">
        <v>44612</v>
      </c>
      <c r="C1477" s="96">
        <v>9</v>
      </c>
      <c r="D1477" s="104" t="s">
        <v>26</v>
      </c>
      <c r="E1477" s="97" t="s">
        <v>11</v>
      </c>
      <c r="F1477" s="97" t="str">
        <f>VLOOKUP(E1477,Emp_Data!$B$2:$C$9,2,)</f>
        <v>Steve</v>
      </c>
      <c r="G1477" s="97" t="s">
        <v>12</v>
      </c>
      <c r="H1477" s="97" t="s">
        <v>42</v>
      </c>
      <c r="I1477" s="97">
        <v>159</v>
      </c>
      <c r="J1477" s="97">
        <v>2</v>
      </c>
      <c r="K1477" s="97">
        <f t="shared" si="23"/>
        <v>318</v>
      </c>
      <c r="L1477" s="97">
        <f>_xlfn.XLOOKUP(E1477,Emp_Data!$B$2:$B$9,Emp_Data!$A$2:$A$9)</f>
        <v>4</v>
      </c>
    </row>
    <row r="1478" spans="1:12">
      <c r="A1478" s="99">
        <v>1312</v>
      </c>
      <c r="B1478" s="101">
        <v>44618</v>
      </c>
      <c r="C1478" s="96">
        <v>13</v>
      </c>
      <c r="D1478" s="104" t="s">
        <v>23</v>
      </c>
      <c r="E1478" s="97" t="s">
        <v>24</v>
      </c>
      <c r="F1478" s="97" t="str">
        <f>VLOOKUP(E1478,Emp_Data!$B$2:$C$9,2,)</f>
        <v>Steve</v>
      </c>
      <c r="G1478" s="97" t="s">
        <v>19</v>
      </c>
      <c r="H1478" s="97" t="s">
        <v>42</v>
      </c>
      <c r="I1478" s="97">
        <v>159</v>
      </c>
      <c r="J1478" s="97">
        <v>5</v>
      </c>
      <c r="K1478" s="97">
        <f t="shared" si="23"/>
        <v>795</v>
      </c>
      <c r="L1478" s="97">
        <f>_xlfn.XLOOKUP(E1478,Emp_Data!$B$2:$B$9,Emp_Data!$A$2:$A$9)</f>
        <v>6</v>
      </c>
    </row>
    <row r="1479" spans="1:12">
      <c r="A1479" s="99">
        <v>1313</v>
      </c>
      <c r="B1479" s="101">
        <v>44618</v>
      </c>
      <c r="C1479" s="96">
        <v>8</v>
      </c>
      <c r="D1479" s="104" t="s">
        <v>36</v>
      </c>
      <c r="E1479" s="97" t="s">
        <v>27</v>
      </c>
      <c r="F1479" s="97" t="str">
        <f>VLOOKUP(E1479,Emp_Data!$B$2:$C$9,2,)</f>
        <v>Philip</v>
      </c>
      <c r="G1479" s="97" t="s">
        <v>12</v>
      </c>
      <c r="H1479" s="97" t="s">
        <v>42</v>
      </c>
      <c r="I1479" s="97">
        <v>159</v>
      </c>
      <c r="J1479" s="97">
        <v>8</v>
      </c>
      <c r="K1479" s="97">
        <f t="shared" si="23"/>
        <v>1272</v>
      </c>
      <c r="L1479" s="97">
        <f>_xlfn.XLOOKUP(E1479,Emp_Data!$B$2:$B$9,Emp_Data!$A$2:$A$9)</f>
        <v>8</v>
      </c>
    </row>
    <row r="1480" spans="1:12">
      <c r="A1480" s="99">
        <v>1324</v>
      </c>
      <c r="B1480" s="101">
        <v>44621</v>
      </c>
      <c r="C1480" s="96">
        <v>17</v>
      </c>
      <c r="D1480" s="104" t="s">
        <v>32</v>
      </c>
      <c r="E1480" s="97" t="s">
        <v>8</v>
      </c>
      <c r="F1480" s="97" t="str">
        <f>VLOOKUP(E1480,Emp_Data!$B$2:$C$9,2,)</f>
        <v>Jeff</v>
      </c>
      <c r="G1480" s="97" t="s">
        <v>9</v>
      </c>
      <c r="H1480" s="97" t="s">
        <v>42</v>
      </c>
      <c r="I1480" s="97">
        <v>159</v>
      </c>
      <c r="J1480" s="97">
        <v>9</v>
      </c>
      <c r="K1480" s="97">
        <f t="shared" si="23"/>
        <v>1431</v>
      </c>
      <c r="L1480" s="97">
        <f>_xlfn.XLOOKUP(E1480,Emp_Data!$B$2:$B$9,Emp_Data!$A$2:$A$9)</f>
        <v>3</v>
      </c>
    </row>
    <row r="1481" spans="1:12">
      <c r="A1481" s="99">
        <v>1326</v>
      </c>
      <c r="B1481" s="101">
        <v>44621</v>
      </c>
      <c r="C1481" s="96">
        <v>8</v>
      </c>
      <c r="D1481" s="104" t="s">
        <v>36</v>
      </c>
      <c r="E1481" s="97" t="s">
        <v>11</v>
      </c>
      <c r="F1481" s="97" t="str">
        <f>VLOOKUP(E1481,Emp_Data!$B$2:$C$9,2,)</f>
        <v>Steve</v>
      </c>
      <c r="G1481" s="97" t="s">
        <v>12</v>
      </c>
      <c r="H1481" s="97" t="s">
        <v>42</v>
      </c>
      <c r="I1481" s="97">
        <v>159</v>
      </c>
      <c r="J1481" s="97">
        <v>5</v>
      </c>
      <c r="K1481" s="97">
        <f t="shared" si="23"/>
        <v>795</v>
      </c>
      <c r="L1481" s="97">
        <f>_xlfn.XLOOKUP(E1481,Emp_Data!$B$2:$B$9,Emp_Data!$A$2:$A$9)</f>
        <v>4</v>
      </c>
    </row>
    <row r="1482" spans="1:12">
      <c r="A1482" s="99">
        <v>1328</v>
      </c>
      <c r="B1482" s="101">
        <v>44622</v>
      </c>
      <c r="C1482" s="96">
        <v>1</v>
      </c>
      <c r="D1482" s="104" t="s">
        <v>31</v>
      </c>
      <c r="E1482" s="97" t="s">
        <v>21</v>
      </c>
      <c r="F1482" s="97" t="str">
        <f>VLOOKUP(E1482,Emp_Data!$B$2:$C$9,2,)</f>
        <v>Sara</v>
      </c>
      <c r="G1482" s="97" t="s">
        <v>15</v>
      </c>
      <c r="H1482" s="97" t="s">
        <v>42</v>
      </c>
      <c r="I1482" s="97">
        <v>159</v>
      </c>
      <c r="J1482" s="97">
        <v>6</v>
      </c>
      <c r="K1482" s="97">
        <f t="shared" si="23"/>
        <v>954</v>
      </c>
      <c r="L1482" s="97">
        <f>_xlfn.XLOOKUP(E1482,Emp_Data!$B$2:$B$9,Emp_Data!$A$2:$A$9)</f>
        <v>2</v>
      </c>
    </row>
    <row r="1483" spans="1:12">
      <c r="A1483" s="99">
        <v>1336</v>
      </c>
      <c r="B1483" s="101">
        <v>44626</v>
      </c>
      <c r="C1483" s="96">
        <v>8</v>
      </c>
      <c r="D1483" s="104" t="s">
        <v>36</v>
      </c>
      <c r="E1483" s="97" t="s">
        <v>11</v>
      </c>
      <c r="F1483" s="97" t="str">
        <f>VLOOKUP(E1483,Emp_Data!$B$2:$C$9,2,)</f>
        <v>Steve</v>
      </c>
      <c r="G1483" s="97" t="s">
        <v>12</v>
      </c>
      <c r="H1483" s="97" t="s">
        <v>42</v>
      </c>
      <c r="I1483" s="97">
        <v>159</v>
      </c>
      <c r="J1483" s="97">
        <v>8</v>
      </c>
      <c r="K1483" s="97">
        <f t="shared" si="23"/>
        <v>1272</v>
      </c>
      <c r="L1483" s="97">
        <f>_xlfn.XLOOKUP(E1483,Emp_Data!$B$2:$B$9,Emp_Data!$A$2:$A$9)</f>
        <v>4</v>
      </c>
    </row>
    <row r="1484" spans="1:12">
      <c r="A1484" s="99">
        <v>1337</v>
      </c>
      <c r="B1484" s="101">
        <v>44626</v>
      </c>
      <c r="C1484" s="96">
        <v>19</v>
      </c>
      <c r="D1484" s="104" t="s">
        <v>22</v>
      </c>
      <c r="E1484" s="97" t="s">
        <v>25</v>
      </c>
      <c r="F1484" s="97" t="str">
        <f>VLOOKUP(E1484,Emp_Data!$B$2:$C$9,2,)</f>
        <v>Jeff</v>
      </c>
      <c r="G1484" s="97" t="s">
        <v>9</v>
      </c>
      <c r="H1484" s="97" t="s">
        <v>42</v>
      </c>
      <c r="I1484" s="97">
        <v>159</v>
      </c>
      <c r="J1484" s="97">
        <v>5</v>
      </c>
      <c r="K1484" s="97">
        <f t="shared" si="23"/>
        <v>795</v>
      </c>
      <c r="L1484" s="97">
        <f>_xlfn.XLOOKUP(E1484,Emp_Data!$B$2:$B$9,Emp_Data!$A$2:$A$9)</f>
        <v>5</v>
      </c>
    </row>
    <row r="1485" spans="1:12">
      <c r="A1485" s="99">
        <v>1341</v>
      </c>
      <c r="B1485" s="101">
        <v>44627</v>
      </c>
      <c r="C1485" s="96">
        <v>12</v>
      </c>
      <c r="D1485" s="104" t="s">
        <v>17</v>
      </c>
      <c r="E1485" s="97" t="s">
        <v>18</v>
      </c>
      <c r="F1485" s="97" t="str">
        <f>VLOOKUP(E1485,Emp_Data!$B$2:$C$9,2,)</f>
        <v>Sara</v>
      </c>
      <c r="G1485" s="97" t="s">
        <v>19</v>
      </c>
      <c r="H1485" s="97" t="s">
        <v>42</v>
      </c>
      <c r="I1485" s="97">
        <v>159</v>
      </c>
      <c r="J1485" s="97">
        <v>0</v>
      </c>
      <c r="K1485" s="97">
        <f t="shared" si="23"/>
        <v>0</v>
      </c>
      <c r="L1485" s="97">
        <f>_xlfn.XLOOKUP(E1485,Emp_Data!$B$2:$B$9,Emp_Data!$A$2:$A$9)</f>
        <v>5</v>
      </c>
    </row>
    <row r="1486" spans="1:12">
      <c r="A1486" s="99">
        <v>1345</v>
      </c>
      <c r="B1486" s="101">
        <v>44627</v>
      </c>
      <c r="C1486" s="96">
        <v>8</v>
      </c>
      <c r="D1486" s="104" t="s">
        <v>36</v>
      </c>
      <c r="E1486" s="97" t="s">
        <v>11</v>
      </c>
      <c r="F1486" s="97" t="str">
        <f>VLOOKUP(E1486,Emp_Data!$B$2:$C$9,2,)</f>
        <v>Steve</v>
      </c>
      <c r="G1486" s="97" t="s">
        <v>12</v>
      </c>
      <c r="H1486" s="97" t="s">
        <v>42</v>
      </c>
      <c r="I1486" s="97">
        <v>159</v>
      </c>
      <c r="J1486" s="97">
        <v>2</v>
      </c>
      <c r="K1486" s="97">
        <f t="shared" si="23"/>
        <v>318</v>
      </c>
      <c r="L1486" s="97">
        <f>_xlfn.XLOOKUP(E1486,Emp_Data!$B$2:$B$9,Emp_Data!$A$2:$A$9)</f>
        <v>4</v>
      </c>
    </row>
    <row r="1487" spans="1:12">
      <c r="A1487" s="99">
        <v>1347</v>
      </c>
      <c r="B1487" s="101">
        <v>44629</v>
      </c>
      <c r="C1487" s="96">
        <v>14</v>
      </c>
      <c r="D1487" s="104" t="s">
        <v>33</v>
      </c>
      <c r="E1487" s="97" t="s">
        <v>18</v>
      </c>
      <c r="F1487" s="97" t="str">
        <f>VLOOKUP(E1487,Emp_Data!$B$2:$C$9,2,)</f>
        <v>Sara</v>
      </c>
      <c r="G1487" s="97" t="s">
        <v>19</v>
      </c>
      <c r="H1487" s="97" t="s">
        <v>42</v>
      </c>
      <c r="I1487" s="97">
        <v>159</v>
      </c>
      <c r="J1487" s="97">
        <v>1</v>
      </c>
      <c r="K1487" s="97">
        <f t="shared" si="23"/>
        <v>159</v>
      </c>
      <c r="L1487" s="97">
        <f>_xlfn.XLOOKUP(E1487,Emp_Data!$B$2:$B$9,Emp_Data!$A$2:$A$9)</f>
        <v>5</v>
      </c>
    </row>
    <row r="1488" spans="1:12">
      <c r="A1488" s="99">
        <v>1364</v>
      </c>
      <c r="B1488" s="101">
        <v>44631</v>
      </c>
      <c r="C1488" s="96">
        <v>15</v>
      </c>
      <c r="D1488" s="104" t="s">
        <v>29</v>
      </c>
      <c r="E1488" s="97" t="s">
        <v>18</v>
      </c>
      <c r="F1488" s="97" t="str">
        <f>VLOOKUP(E1488,Emp_Data!$B$2:$C$9,2,)</f>
        <v>Sara</v>
      </c>
      <c r="G1488" s="97" t="s">
        <v>19</v>
      </c>
      <c r="H1488" s="97" t="s">
        <v>42</v>
      </c>
      <c r="I1488" s="97">
        <v>159</v>
      </c>
      <c r="J1488" s="97">
        <v>9</v>
      </c>
      <c r="K1488" s="97">
        <f t="shared" si="23"/>
        <v>1431</v>
      </c>
      <c r="L1488" s="97">
        <f>_xlfn.XLOOKUP(E1488,Emp_Data!$B$2:$B$9,Emp_Data!$A$2:$A$9)</f>
        <v>5</v>
      </c>
    </row>
    <row r="1489" spans="1:12">
      <c r="A1489" s="99">
        <v>1366</v>
      </c>
      <c r="B1489" s="101">
        <v>44631</v>
      </c>
      <c r="C1489" s="96">
        <v>18</v>
      </c>
      <c r="D1489" s="104" t="s">
        <v>30</v>
      </c>
      <c r="E1489" s="97" t="s">
        <v>8</v>
      </c>
      <c r="F1489" s="97" t="str">
        <f>VLOOKUP(E1489,Emp_Data!$B$2:$C$9,2,)</f>
        <v>Jeff</v>
      </c>
      <c r="G1489" s="97" t="s">
        <v>9</v>
      </c>
      <c r="H1489" s="97" t="s">
        <v>42</v>
      </c>
      <c r="I1489" s="97">
        <v>159</v>
      </c>
      <c r="J1489" s="97">
        <v>1</v>
      </c>
      <c r="K1489" s="97">
        <f t="shared" si="23"/>
        <v>159</v>
      </c>
      <c r="L1489" s="97">
        <f>_xlfn.XLOOKUP(E1489,Emp_Data!$B$2:$B$9,Emp_Data!$A$2:$A$9)</f>
        <v>3</v>
      </c>
    </row>
    <row r="1490" spans="1:12">
      <c r="A1490" s="99">
        <v>1372</v>
      </c>
      <c r="B1490" s="101">
        <v>44634</v>
      </c>
      <c r="C1490" s="96">
        <v>4</v>
      </c>
      <c r="D1490" s="104" t="s">
        <v>13</v>
      </c>
      <c r="E1490" s="97" t="s">
        <v>14</v>
      </c>
      <c r="F1490" s="97" t="str">
        <f>VLOOKUP(E1490,Emp_Data!$B$2:$C$9,2,)</f>
        <v>Jeff</v>
      </c>
      <c r="G1490" s="97" t="s">
        <v>15</v>
      </c>
      <c r="H1490" s="97" t="s">
        <v>42</v>
      </c>
      <c r="I1490" s="97">
        <v>159</v>
      </c>
      <c r="J1490" s="97">
        <v>2</v>
      </c>
      <c r="K1490" s="97">
        <f t="shared" si="23"/>
        <v>318</v>
      </c>
      <c r="L1490" s="97">
        <f>_xlfn.XLOOKUP(E1490,Emp_Data!$B$2:$B$9,Emp_Data!$A$2:$A$9)</f>
        <v>2</v>
      </c>
    </row>
    <row r="1491" spans="1:12">
      <c r="A1491" s="99">
        <v>1375</v>
      </c>
      <c r="B1491" s="101">
        <v>44637</v>
      </c>
      <c r="C1491" s="96">
        <v>4</v>
      </c>
      <c r="D1491" s="104" t="s">
        <v>13</v>
      </c>
      <c r="E1491" s="97" t="s">
        <v>21</v>
      </c>
      <c r="F1491" s="97" t="str">
        <f>VLOOKUP(E1491,Emp_Data!$B$2:$C$9,2,)</f>
        <v>Sara</v>
      </c>
      <c r="G1491" s="97" t="s">
        <v>15</v>
      </c>
      <c r="H1491" s="97" t="s">
        <v>42</v>
      </c>
      <c r="I1491" s="97">
        <v>159</v>
      </c>
      <c r="J1491" s="97">
        <v>5</v>
      </c>
      <c r="K1491" s="97">
        <f t="shared" si="23"/>
        <v>795</v>
      </c>
      <c r="L1491" s="97">
        <f>_xlfn.XLOOKUP(E1491,Emp_Data!$B$2:$B$9,Emp_Data!$A$2:$A$9)</f>
        <v>2</v>
      </c>
    </row>
    <row r="1492" spans="1:12">
      <c r="A1492" s="99">
        <v>1377</v>
      </c>
      <c r="B1492" s="101">
        <v>44637</v>
      </c>
      <c r="C1492" s="96">
        <v>14</v>
      </c>
      <c r="D1492" s="104" t="s">
        <v>33</v>
      </c>
      <c r="E1492" s="97" t="s">
        <v>18</v>
      </c>
      <c r="F1492" s="97" t="str">
        <f>VLOOKUP(E1492,Emp_Data!$B$2:$C$9,2,)</f>
        <v>Sara</v>
      </c>
      <c r="G1492" s="97" t="s">
        <v>19</v>
      </c>
      <c r="H1492" s="97" t="s">
        <v>42</v>
      </c>
      <c r="I1492" s="97">
        <v>159</v>
      </c>
      <c r="J1492" s="97">
        <v>6</v>
      </c>
      <c r="K1492" s="97">
        <f t="shared" si="23"/>
        <v>954</v>
      </c>
      <c r="L1492" s="97">
        <f>_xlfn.XLOOKUP(E1492,Emp_Data!$B$2:$B$9,Emp_Data!$A$2:$A$9)</f>
        <v>5</v>
      </c>
    </row>
    <row r="1493" spans="1:12">
      <c r="A1493" s="99">
        <v>1380</v>
      </c>
      <c r="B1493" s="101">
        <v>44637</v>
      </c>
      <c r="C1493" s="96">
        <v>11</v>
      </c>
      <c r="D1493" s="104" t="s">
        <v>38</v>
      </c>
      <c r="E1493" s="97" t="s">
        <v>24</v>
      </c>
      <c r="F1493" s="97" t="str">
        <f>VLOOKUP(E1493,Emp_Data!$B$2:$C$9,2,)</f>
        <v>Steve</v>
      </c>
      <c r="G1493" s="97" t="s">
        <v>19</v>
      </c>
      <c r="H1493" s="97" t="s">
        <v>42</v>
      </c>
      <c r="I1493" s="97">
        <v>159</v>
      </c>
      <c r="J1493" s="97">
        <v>4</v>
      </c>
      <c r="K1493" s="97">
        <f t="shared" si="23"/>
        <v>636</v>
      </c>
      <c r="L1493" s="97">
        <f>_xlfn.XLOOKUP(E1493,Emp_Data!$B$2:$B$9,Emp_Data!$A$2:$A$9)</f>
        <v>6</v>
      </c>
    </row>
    <row r="1494" spans="1:12">
      <c r="A1494" s="99">
        <v>1381</v>
      </c>
      <c r="B1494" s="101">
        <v>44638</v>
      </c>
      <c r="C1494" s="96">
        <v>11</v>
      </c>
      <c r="D1494" s="104" t="s">
        <v>38</v>
      </c>
      <c r="E1494" s="97" t="s">
        <v>24</v>
      </c>
      <c r="F1494" s="97" t="str">
        <f>VLOOKUP(E1494,Emp_Data!$B$2:$C$9,2,)</f>
        <v>Steve</v>
      </c>
      <c r="G1494" s="97" t="s">
        <v>19</v>
      </c>
      <c r="H1494" s="97" t="s">
        <v>42</v>
      </c>
      <c r="I1494" s="97">
        <v>159</v>
      </c>
      <c r="J1494" s="97">
        <v>9</v>
      </c>
      <c r="K1494" s="97">
        <f t="shared" si="23"/>
        <v>1431</v>
      </c>
      <c r="L1494" s="97">
        <f>_xlfn.XLOOKUP(E1494,Emp_Data!$B$2:$B$9,Emp_Data!$A$2:$A$9)</f>
        <v>6</v>
      </c>
    </row>
    <row r="1495" spans="1:12">
      <c r="A1495" s="99">
        <v>1387</v>
      </c>
      <c r="B1495" s="101">
        <v>44639</v>
      </c>
      <c r="C1495" s="96">
        <v>18</v>
      </c>
      <c r="D1495" s="104" t="s">
        <v>30</v>
      </c>
      <c r="E1495" s="97" t="s">
        <v>25</v>
      </c>
      <c r="F1495" s="97" t="str">
        <f>VLOOKUP(E1495,Emp_Data!$B$2:$C$9,2,)</f>
        <v>Jeff</v>
      </c>
      <c r="G1495" s="97" t="s">
        <v>9</v>
      </c>
      <c r="H1495" s="97" t="s">
        <v>42</v>
      </c>
      <c r="I1495" s="97">
        <v>159</v>
      </c>
      <c r="J1495" s="97">
        <v>8</v>
      </c>
      <c r="K1495" s="97">
        <f t="shared" si="23"/>
        <v>1272</v>
      </c>
      <c r="L1495" s="97">
        <f>_xlfn.XLOOKUP(E1495,Emp_Data!$B$2:$B$9,Emp_Data!$A$2:$A$9)</f>
        <v>5</v>
      </c>
    </row>
    <row r="1496" spans="1:12">
      <c r="A1496" s="99">
        <v>1390</v>
      </c>
      <c r="B1496" s="101">
        <v>44639</v>
      </c>
      <c r="C1496" s="96">
        <v>4</v>
      </c>
      <c r="D1496" s="104" t="s">
        <v>13</v>
      </c>
      <c r="E1496" s="97" t="s">
        <v>14</v>
      </c>
      <c r="F1496" s="97" t="str">
        <f>VLOOKUP(E1496,Emp_Data!$B$2:$C$9,2,)</f>
        <v>Jeff</v>
      </c>
      <c r="G1496" s="97" t="s">
        <v>15</v>
      </c>
      <c r="H1496" s="97" t="s">
        <v>42</v>
      </c>
      <c r="I1496" s="97">
        <v>159</v>
      </c>
      <c r="J1496" s="97">
        <v>3</v>
      </c>
      <c r="K1496" s="97">
        <f t="shared" si="23"/>
        <v>477</v>
      </c>
      <c r="L1496" s="97">
        <f>_xlfn.XLOOKUP(E1496,Emp_Data!$B$2:$B$9,Emp_Data!$A$2:$A$9)</f>
        <v>2</v>
      </c>
    </row>
    <row r="1497" spans="1:12">
      <c r="A1497" s="99">
        <v>1392</v>
      </c>
      <c r="B1497" s="101">
        <v>44640</v>
      </c>
      <c r="C1497" s="96">
        <v>15</v>
      </c>
      <c r="D1497" s="104" t="s">
        <v>29</v>
      </c>
      <c r="E1497" s="97" t="s">
        <v>24</v>
      </c>
      <c r="F1497" s="97" t="str">
        <f>VLOOKUP(E1497,Emp_Data!$B$2:$C$9,2,)</f>
        <v>Steve</v>
      </c>
      <c r="G1497" s="97" t="s">
        <v>19</v>
      </c>
      <c r="H1497" s="97" t="s">
        <v>42</v>
      </c>
      <c r="I1497" s="97">
        <v>159</v>
      </c>
      <c r="J1497" s="97">
        <v>5</v>
      </c>
      <c r="K1497" s="97">
        <f t="shared" si="23"/>
        <v>795</v>
      </c>
      <c r="L1497" s="97">
        <f>_xlfn.XLOOKUP(E1497,Emp_Data!$B$2:$B$9,Emp_Data!$A$2:$A$9)</f>
        <v>6</v>
      </c>
    </row>
    <row r="1498" spans="1:12">
      <c r="A1498" s="99">
        <v>1397</v>
      </c>
      <c r="B1498" s="101">
        <v>44643</v>
      </c>
      <c r="C1498" s="96">
        <v>2</v>
      </c>
      <c r="D1498" s="104" t="s">
        <v>35</v>
      </c>
      <c r="E1498" s="97" t="s">
        <v>14</v>
      </c>
      <c r="F1498" s="97" t="str">
        <f>VLOOKUP(E1498,Emp_Data!$B$2:$C$9,2,)</f>
        <v>Jeff</v>
      </c>
      <c r="G1498" s="97" t="s">
        <v>15</v>
      </c>
      <c r="H1498" s="97" t="s">
        <v>42</v>
      </c>
      <c r="I1498" s="97">
        <v>159</v>
      </c>
      <c r="J1498" s="97">
        <v>5</v>
      </c>
      <c r="K1498" s="97">
        <f t="shared" si="23"/>
        <v>795</v>
      </c>
      <c r="L1498" s="97">
        <f>_xlfn.XLOOKUP(E1498,Emp_Data!$B$2:$B$9,Emp_Data!$A$2:$A$9)</f>
        <v>2</v>
      </c>
    </row>
    <row r="1499" spans="1:12">
      <c r="A1499" s="99">
        <v>1406</v>
      </c>
      <c r="B1499" s="101">
        <v>44643</v>
      </c>
      <c r="C1499" s="96">
        <v>15</v>
      </c>
      <c r="D1499" s="104" t="s">
        <v>29</v>
      </c>
      <c r="E1499" s="97" t="s">
        <v>24</v>
      </c>
      <c r="F1499" s="97" t="str">
        <f>VLOOKUP(E1499,Emp_Data!$B$2:$C$9,2,)</f>
        <v>Steve</v>
      </c>
      <c r="G1499" s="97" t="s">
        <v>19</v>
      </c>
      <c r="H1499" s="97" t="s">
        <v>42</v>
      </c>
      <c r="I1499" s="97">
        <v>159</v>
      </c>
      <c r="J1499" s="97">
        <v>7</v>
      </c>
      <c r="K1499" s="97">
        <f t="shared" si="23"/>
        <v>1113</v>
      </c>
      <c r="L1499" s="97">
        <f>_xlfn.XLOOKUP(E1499,Emp_Data!$B$2:$B$9,Emp_Data!$A$2:$A$9)</f>
        <v>6</v>
      </c>
    </row>
    <row r="1500" spans="1:12">
      <c r="A1500" s="99">
        <v>1415</v>
      </c>
      <c r="B1500" s="101">
        <v>44647</v>
      </c>
      <c r="C1500" s="96">
        <v>17</v>
      </c>
      <c r="D1500" s="104" t="s">
        <v>32</v>
      </c>
      <c r="E1500" s="97" t="s">
        <v>8</v>
      </c>
      <c r="F1500" s="97" t="str">
        <f>VLOOKUP(E1500,Emp_Data!$B$2:$C$9,2,)</f>
        <v>Jeff</v>
      </c>
      <c r="G1500" s="97" t="s">
        <v>9</v>
      </c>
      <c r="H1500" s="97" t="s">
        <v>42</v>
      </c>
      <c r="I1500" s="97">
        <v>159</v>
      </c>
      <c r="J1500" s="97">
        <v>7</v>
      </c>
      <c r="K1500" s="97">
        <f t="shared" si="23"/>
        <v>1113</v>
      </c>
      <c r="L1500" s="97">
        <f>_xlfn.XLOOKUP(E1500,Emp_Data!$B$2:$B$9,Emp_Data!$A$2:$A$9)</f>
        <v>3</v>
      </c>
    </row>
    <row r="1501" spans="1:12">
      <c r="A1501" s="99">
        <v>1419</v>
      </c>
      <c r="B1501" s="101">
        <v>44649</v>
      </c>
      <c r="C1501" s="96">
        <v>18</v>
      </c>
      <c r="D1501" s="104" t="s">
        <v>30</v>
      </c>
      <c r="E1501" s="97" t="s">
        <v>8</v>
      </c>
      <c r="F1501" s="97" t="str">
        <f>VLOOKUP(E1501,Emp_Data!$B$2:$C$9,2,)</f>
        <v>Jeff</v>
      </c>
      <c r="G1501" s="97" t="s">
        <v>9</v>
      </c>
      <c r="H1501" s="97" t="s">
        <v>42</v>
      </c>
      <c r="I1501" s="97">
        <v>159</v>
      </c>
      <c r="J1501" s="97">
        <v>0</v>
      </c>
      <c r="K1501" s="97">
        <f t="shared" si="23"/>
        <v>0</v>
      </c>
      <c r="L1501" s="97">
        <f>_xlfn.XLOOKUP(E1501,Emp_Data!$B$2:$B$9,Emp_Data!$A$2:$A$9)</f>
        <v>3</v>
      </c>
    </row>
    <row r="1502" spans="1:12">
      <c r="A1502" s="99">
        <v>1425</v>
      </c>
      <c r="B1502" s="101">
        <v>44651</v>
      </c>
      <c r="C1502" s="96">
        <v>19</v>
      </c>
      <c r="D1502" s="104" t="s">
        <v>22</v>
      </c>
      <c r="E1502" s="97" t="s">
        <v>8</v>
      </c>
      <c r="F1502" s="97" t="str">
        <f>VLOOKUP(E1502,Emp_Data!$B$2:$C$9,2,)</f>
        <v>Jeff</v>
      </c>
      <c r="G1502" s="97" t="s">
        <v>9</v>
      </c>
      <c r="H1502" s="97" t="s">
        <v>42</v>
      </c>
      <c r="I1502" s="97">
        <v>159</v>
      </c>
      <c r="J1502" s="97">
        <v>6</v>
      </c>
      <c r="K1502" s="97">
        <f t="shared" si="23"/>
        <v>954</v>
      </c>
      <c r="L1502" s="97">
        <f>_xlfn.XLOOKUP(E1502,Emp_Data!$B$2:$B$9,Emp_Data!$A$2:$A$9)</f>
        <v>3</v>
      </c>
    </row>
    <row r="1503" spans="1:12">
      <c r="A1503" s="99">
        <v>1432</v>
      </c>
      <c r="B1503" s="101">
        <v>44654</v>
      </c>
      <c r="C1503" s="96">
        <v>12</v>
      </c>
      <c r="D1503" s="104" t="s">
        <v>17</v>
      </c>
      <c r="E1503" s="97" t="s">
        <v>18</v>
      </c>
      <c r="F1503" s="97" t="str">
        <f>VLOOKUP(E1503,Emp_Data!$B$2:$C$9,2,)</f>
        <v>Sara</v>
      </c>
      <c r="G1503" s="97" t="s">
        <v>19</v>
      </c>
      <c r="H1503" s="97" t="s">
        <v>42</v>
      </c>
      <c r="I1503" s="97">
        <v>159</v>
      </c>
      <c r="J1503" s="97">
        <v>8</v>
      </c>
      <c r="K1503" s="97">
        <f t="shared" si="23"/>
        <v>1272</v>
      </c>
      <c r="L1503" s="97">
        <f>_xlfn.XLOOKUP(E1503,Emp_Data!$B$2:$B$9,Emp_Data!$A$2:$A$9)</f>
        <v>5</v>
      </c>
    </row>
    <row r="1504" spans="1:12">
      <c r="A1504" s="99">
        <v>1434</v>
      </c>
      <c r="B1504" s="101">
        <v>44655</v>
      </c>
      <c r="C1504" s="96">
        <v>8</v>
      </c>
      <c r="D1504" s="104" t="s">
        <v>36</v>
      </c>
      <c r="E1504" s="97" t="s">
        <v>27</v>
      </c>
      <c r="F1504" s="97" t="str">
        <f>VLOOKUP(E1504,Emp_Data!$B$2:$C$9,2,)</f>
        <v>Philip</v>
      </c>
      <c r="G1504" s="97" t="s">
        <v>12</v>
      </c>
      <c r="H1504" s="97" t="s">
        <v>42</v>
      </c>
      <c r="I1504" s="97">
        <v>159</v>
      </c>
      <c r="J1504" s="97">
        <v>4</v>
      </c>
      <c r="K1504" s="97">
        <f t="shared" si="23"/>
        <v>636</v>
      </c>
      <c r="L1504" s="97">
        <f>_xlfn.XLOOKUP(E1504,Emp_Data!$B$2:$B$9,Emp_Data!$A$2:$A$9)</f>
        <v>8</v>
      </c>
    </row>
    <row r="1505" spans="1:12">
      <c r="A1505" s="99">
        <v>1448</v>
      </c>
      <c r="B1505" s="101">
        <v>44658</v>
      </c>
      <c r="C1505" s="96">
        <v>15</v>
      </c>
      <c r="D1505" s="104" t="s">
        <v>29</v>
      </c>
      <c r="E1505" s="97" t="s">
        <v>18</v>
      </c>
      <c r="F1505" s="97" t="str">
        <f>VLOOKUP(E1505,Emp_Data!$B$2:$C$9,2,)</f>
        <v>Sara</v>
      </c>
      <c r="G1505" s="97" t="s">
        <v>19</v>
      </c>
      <c r="H1505" s="97" t="s">
        <v>42</v>
      </c>
      <c r="I1505" s="97">
        <v>159</v>
      </c>
      <c r="J1505" s="97">
        <v>7</v>
      </c>
      <c r="K1505" s="97">
        <f t="shared" si="23"/>
        <v>1113</v>
      </c>
      <c r="L1505" s="97">
        <f>_xlfn.XLOOKUP(E1505,Emp_Data!$B$2:$B$9,Emp_Data!$A$2:$A$9)</f>
        <v>5</v>
      </c>
    </row>
    <row r="1506" spans="1:12">
      <c r="A1506" s="99">
        <v>1449</v>
      </c>
      <c r="B1506" s="101">
        <v>44658</v>
      </c>
      <c r="C1506" s="96">
        <v>20</v>
      </c>
      <c r="D1506" s="104" t="s">
        <v>7</v>
      </c>
      <c r="E1506" s="97" t="s">
        <v>8</v>
      </c>
      <c r="F1506" s="97" t="str">
        <f>VLOOKUP(E1506,Emp_Data!$B$2:$C$9,2,)</f>
        <v>Jeff</v>
      </c>
      <c r="G1506" s="97" t="s">
        <v>9</v>
      </c>
      <c r="H1506" s="97" t="s">
        <v>42</v>
      </c>
      <c r="I1506" s="97">
        <v>159</v>
      </c>
      <c r="J1506" s="97">
        <v>9</v>
      </c>
      <c r="K1506" s="97">
        <f t="shared" si="23"/>
        <v>1431</v>
      </c>
      <c r="L1506" s="97">
        <f>_xlfn.XLOOKUP(E1506,Emp_Data!$B$2:$B$9,Emp_Data!$A$2:$A$9)</f>
        <v>3</v>
      </c>
    </row>
    <row r="1507" spans="1:12">
      <c r="A1507" s="99">
        <v>1451</v>
      </c>
      <c r="B1507" s="101">
        <v>44659</v>
      </c>
      <c r="C1507" s="96">
        <v>12</v>
      </c>
      <c r="D1507" s="104" t="s">
        <v>17</v>
      </c>
      <c r="E1507" s="97" t="s">
        <v>18</v>
      </c>
      <c r="F1507" s="97" t="str">
        <f>VLOOKUP(E1507,Emp_Data!$B$2:$C$9,2,)</f>
        <v>Sara</v>
      </c>
      <c r="G1507" s="97" t="s">
        <v>19</v>
      </c>
      <c r="H1507" s="97" t="s">
        <v>42</v>
      </c>
      <c r="I1507" s="97">
        <v>159</v>
      </c>
      <c r="J1507" s="97">
        <v>9</v>
      </c>
      <c r="K1507" s="97">
        <f t="shared" si="23"/>
        <v>1431</v>
      </c>
      <c r="L1507" s="97">
        <f>_xlfn.XLOOKUP(E1507,Emp_Data!$B$2:$B$9,Emp_Data!$A$2:$A$9)</f>
        <v>5</v>
      </c>
    </row>
    <row r="1508" spans="1:12">
      <c r="A1508" s="99">
        <v>1455</v>
      </c>
      <c r="B1508" s="101">
        <v>44660</v>
      </c>
      <c r="C1508" s="96">
        <v>5</v>
      </c>
      <c r="D1508" s="104" t="s">
        <v>16</v>
      </c>
      <c r="E1508" s="97" t="s">
        <v>14</v>
      </c>
      <c r="F1508" s="97" t="str">
        <f>VLOOKUP(E1508,Emp_Data!$B$2:$C$9,2,)</f>
        <v>Jeff</v>
      </c>
      <c r="G1508" s="97" t="s">
        <v>15</v>
      </c>
      <c r="H1508" s="97" t="s">
        <v>42</v>
      </c>
      <c r="I1508" s="97">
        <v>159</v>
      </c>
      <c r="J1508" s="97">
        <v>7</v>
      </c>
      <c r="K1508" s="97">
        <f t="shared" si="23"/>
        <v>1113</v>
      </c>
      <c r="L1508" s="97">
        <f>_xlfn.XLOOKUP(E1508,Emp_Data!$B$2:$B$9,Emp_Data!$A$2:$A$9)</f>
        <v>2</v>
      </c>
    </row>
    <row r="1509" spans="1:12">
      <c r="A1509" s="99">
        <v>1461</v>
      </c>
      <c r="B1509" s="101">
        <v>44662</v>
      </c>
      <c r="C1509" s="96">
        <v>16</v>
      </c>
      <c r="D1509" s="104" t="s">
        <v>37</v>
      </c>
      <c r="E1509" s="97" t="s">
        <v>25</v>
      </c>
      <c r="F1509" s="97" t="str">
        <f>VLOOKUP(E1509,Emp_Data!$B$2:$C$9,2,)</f>
        <v>Jeff</v>
      </c>
      <c r="G1509" s="97" t="s">
        <v>9</v>
      </c>
      <c r="H1509" s="97" t="s">
        <v>42</v>
      </c>
      <c r="I1509" s="97">
        <v>159</v>
      </c>
      <c r="J1509" s="97">
        <v>8</v>
      </c>
      <c r="K1509" s="97">
        <f t="shared" si="23"/>
        <v>1272</v>
      </c>
      <c r="L1509" s="97">
        <f>_xlfn.XLOOKUP(E1509,Emp_Data!$B$2:$B$9,Emp_Data!$A$2:$A$9)</f>
        <v>5</v>
      </c>
    </row>
    <row r="1510" spans="1:12">
      <c r="A1510" s="99">
        <v>1474</v>
      </c>
      <c r="B1510" s="101">
        <v>44669</v>
      </c>
      <c r="C1510" s="96">
        <v>15</v>
      </c>
      <c r="D1510" s="104" t="s">
        <v>29</v>
      </c>
      <c r="E1510" s="97" t="s">
        <v>18</v>
      </c>
      <c r="F1510" s="97" t="str">
        <f>VLOOKUP(E1510,Emp_Data!$B$2:$C$9,2,)</f>
        <v>Sara</v>
      </c>
      <c r="G1510" s="97" t="s">
        <v>19</v>
      </c>
      <c r="H1510" s="97" t="s">
        <v>42</v>
      </c>
      <c r="I1510" s="97">
        <v>159</v>
      </c>
      <c r="J1510" s="97">
        <v>8</v>
      </c>
      <c r="K1510" s="97">
        <f t="shared" si="23"/>
        <v>1272</v>
      </c>
      <c r="L1510" s="97">
        <f>_xlfn.XLOOKUP(E1510,Emp_Data!$B$2:$B$9,Emp_Data!$A$2:$A$9)</f>
        <v>5</v>
      </c>
    </row>
    <row r="1511" spans="1:12">
      <c r="A1511" s="99">
        <v>1476</v>
      </c>
      <c r="B1511" s="101">
        <v>44670</v>
      </c>
      <c r="C1511" s="96">
        <v>19</v>
      </c>
      <c r="D1511" s="104" t="s">
        <v>22</v>
      </c>
      <c r="E1511" s="97" t="s">
        <v>25</v>
      </c>
      <c r="F1511" s="97" t="str">
        <f>VLOOKUP(E1511,Emp_Data!$B$2:$C$9,2,)</f>
        <v>Jeff</v>
      </c>
      <c r="G1511" s="97" t="s">
        <v>9</v>
      </c>
      <c r="H1511" s="97" t="s">
        <v>42</v>
      </c>
      <c r="I1511" s="97">
        <v>159</v>
      </c>
      <c r="J1511" s="97">
        <v>9</v>
      </c>
      <c r="K1511" s="97">
        <f t="shared" si="23"/>
        <v>1431</v>
      </c>
      <c r="L1511" s="97">
        <f>_xlfn.XLOOKUP(E1511,Emp_Data!$B$2:$B$9,Emp_Data!$A$2:$A$9)</f>
        <v>5</v>
      </c>
    </row>
    <row r="1512" spans="1:12">
      <c r="A1512" s="99">
        <v>1481</v>
      </c>
      <c r="B1512" s="101">
        <v>44671</v>
      </c>
      <c r="C1512" s="96">
        <v>18</v>
      </c>
      <c r="D1512" s="104" t="s">
        <v>30</v>
      </c>
      <c r="E1512" s="97" t="s">
        <v>8</v>
      </c>
      <c r="F1512" s="97" t="str">
        <f>VLOOKUP(E1512,Emp_Data!$B$2:$C$9,2,)</f>
        <v>Jeff</v>
      </c>
      <c r="G1512" s="97" t="s">
        <v>9</v>
      </c>
      <c r="H1512" s="97" t="s">
        <v>42</v>
      </c>
      <c r="I1512" s="97">
        <v>159</v>
      </c>
      <c r="J1512" s="97">
        <v>8</v>
      </c>
      <c r="K1512" s="97">
        <f t="shared" si="23"/>
        <v>1272</v>
      </c>
      <c r="L1512" s="97">
        <f>_xlfn.XLOOKUP(E1512,Emp_Data!$B$2:$B$9,Emp_Data!$A$2:$A$9)</f>
        <v>3</v>
      </c>
    </row>
    <row r="1513" spans="1:12">
      <c r="A1513" s="99">
        <v>1487</v>
      </c>
      <c r="B1513" s="101">
        <v>44673</v>
      </c>
      <c r="C1513" s="96">
        <v>11</v>
      </c>
      <c r="D1513" s="104" t="s">
        <v>38</v>
      </c>
      <c r="E1513" s="97" t="s">
        <v>24</v>
      </c>
      <c r="F1513" s="97" t="str">
        <f>VLOOKUP(E1513,Emp_Data!$B$2:$C$9,2,)</f>
        <v>Steve</v>
      </c>
      <c r="G1513" s="97" t="s">
        <v>19</v>
      </c>
      <c r="H1513" s="97" t="s">
        <v>42</v>
      </c>
      <c r="I1513" s="97">
        <v>159</v>
      </c>
      <c r="J1513" s="97">
        <v>6</v>
      </c>
      <c r="K1513" s="97">
        <f t="shared" si="23"/>
        <v>954</v>
      </c>
      <c r="L1513" s="97">
        <f>_xlfn.XLOOKUP(E1513,Emp_Data!$B$2:$B$9,Emp_Data!$A$2:$A$9)</f>
        <v>6</v>
      </c>
    </row>
    <row r="1514" spans="1:12">
      <c r="A1514" s="99">
        <v>1495</v>
      </c>
      <c r="B1514" s="101">
        <v>44676</v>
      </c>
      <c r="C1514" s="96">
        <v>7</v>
      </c>
      <c r="D1514" s="104" t="s">
        <v>28</v>
      </c>
      <c r="E1514" s="97" t="s">
        <v>11</v>
      </c>
      <c r="F1514" s="97" t="str">
        <f>VLOOKUP(E1514,Emp_Data!$B$2:$C$9,2,)</f>
        <v>Steve</v>
      </c>
      <c r="G1514" s="97" t="s">
        <v>12</v>
      </c>
      <c r="H1514" s="97" t="s">
        <v>42</v>
      </c>
      <c r="I1514" s="97">
        <v>159</v>
      </c>
      <c r="J1514" s="97">
        <v>5</v>
      </c>
      <c r="K1514" s="97">
        <f t="shared" si="23"/>
        <v>795</v>
      </c>
      <c r="L1514" s="97">
        <f>_xlfn.XLOOKUP(E1514,Emp_Data!$B$2:$B$9,Emp_Data!$A$2:$A$9)</f>
        <v>4</v>
      </c>
    </row>
    <row r="1515" spans="1:12">
      <c r="A1515" s="99">
        <v>1499</v>
      </c>
      <c r="B1515" s="101">
        <v>44678</v>
      </c>
      <c r="C1515" s="96">
        <v>18</v>
      </c>
      <c r="D1515" s="104" t="s">
        <v>30</v>
      </c>
      <c r="E1515" s="97" t="s">
        <v>8</v>
      </c>
      <c r="F1515" s="97" t="str">
        <f>VLOOKUP(E1515,Emp_Data!$B$2:$C$9,2,)</f>
        <v>Jeff</v>
      </c>
      <c r="G1515" s="97" t="s">
        <v>9</v>
      </c>
      <c r="H1515" s="97" t="s">
        <v>42</v>
      </c>
      <c r="I1515" s="97">
        <v>159</v>
      </c>
      <c r="J1515" s="97">
        <v>1</v>
      </c>
      <c r="K1515" s="97">
        <f t="shared" si="23"/>
        <v>159</v>
      </c>
      <c r="L1515" s="97">
        <f>_xlfn.XLOOKUP(E1515,Emp_Data!$B$2:$B$9,Emp_Data!$A$2:$A$9)</f>
        <v>3</v>
      </c>
    </row>
    <row r="1516" spans="1:12">
      <c r="A1516" s="99">
        <v>1502</v>
      </c>
      <c r="B1516" s="101">
        <v>44680</v>
      </c>
      <c r="C1516" s="96">
        <v>7</v>
      </c>
      <c r="D1516" s="104" t="s">
        <v>28</v>
      </c>
      <c r="E1516" s="97" t="s">
        <v>27</v>
      </c>
      <c r="F1516" s="97" t="str">
        <f>VLOOKUP(E1516,Emp_Data!$B$2:$C$9,2,)</f>
        <v>Philip</v>
      </c>
      <c r="G1516" s="97" t="s">
        <v>12</v>
      </c>
      <c r="H1516" s="97" t="s">
        <v>42</v>
      </c>
      <c r="I1516" s="97">
        <v>159</v>
      </c>
      <c r="J1516" s="97">
        <v>7</v>
      </c>
      <c r="K1516" s="97">
        <f t="shared" si="23"/>
        <v>1113</v>
      </c>
      <c r="L1516" s="97">
        <f>_xlfn.XLOOKUP(E1516,Emp_Data!$B$2:$B$9,Emp_Data!$A$2:$A$9)</f>
        <v>8</v>
      </c>
    </row>
    <row r="1517" spans="1:12">
      <c r="A1517" s="99">
        <v>1513</v>
      </c>
      <c r="B1517" s="101">
        <v>44684</v>
      </c>
      <c r="C1517" s="96">
        <v>4</v>
      </c>
      <c r="D1517" s="104" t="s">
        <v>13</v>
      </c>
      <c r="E1517" s="97" t="s">
        <v>14</v>
      </c>
      <c r="F1517" s="97" t="str">
        <f>VLOOKUP(E1517,Emp_Data!$B$2:$C$9,2,)</f>
        <v>Jeff</v>
      </c>
      <c r="G1517" s="97" t="s">
        <v>15</v>
      </c>
      <c r="H1517" s="97" t="s">
        <v>42</v>
      </c>
      <c r="I1517" s="97">
        <v>159</v>
      </c>
      <c r="J1517" s="97">
        <v>3</v>
      </c>
      <c r="K1517" s="97">
        <f t="shared" si="23"/>
        <v>477</v>
      </c>
      <c r="L1517" s="97">
        <f>_xlfn.XLOOKUP(E1517,Emp_Data!$B$2:$B$9,Emp_Data!$A$2:$A$9)</f>
        <v>2</v>
      </c>
    </row>
    <row r="1518" spans="1:12">
      <c r="A1518" s="99">
        <v>1516</v>
      </c>
      <c r="B1518" s="101">
        <v>44684</v>
      </c>
      <c r="C1518" s="96">
        <v>1</v>
      </c>
      <c r="D1518" s="104" t="s">
        <v>31</v>
      </c>
      <c r="E1518" s="97" t="s">
        <v>14</v>
      </c>
      <c r="F1518" s="97" t="str">
        <f>VLOOKUP(E1518,Emp_Data!$B$2:$C$9,2,)</f>
        <v>Jeff</v>
      </c>
      <c r="G1518" s="97" t="s">
        <v>15</v>
      </c>
      <c r="H1518" s="97" t="s">
        <v>42</v>
      </c>
      <c r="I1518" s="97">
        <v>159</v>
      </c>
      <c r="J1518" s="97">
        <v>0</v>
      </c>
      <c r="K1518" s="97">
        <f t="shared" si="23"/>
        <v>0</v>
      </c>
      <c r="L1518" s="97">
        <f>_xlfn.XLOOKUP(E1518,Emp_Data!$B$2:$B$9,Emp_Data!$A$2:$A$9)</f>
        <v>2</v>
      </c>
    </row>
    <row r="1519" spans="1:12">
      <c r="A1519" s="99">
        <v>1520</v>
      </c>
      <c r="B1519" s="101">
        <v>44686</v>
      </c>
      <c r="C1519" s="96">
        <v>12</v>
      </c>
      <c r="D1519" s="104" t="s">
        <v>17</v>
      </c>
      <c r="E1519" s="97" t="s">
        <v>24</v>
      </c>
      <c r="F1519" s="97" t="str">
        <f>VLOOKUP(E1519,Emp_Data!$B$2:$C$9,2,)</f>
        <v>Steve</v>
      </c>
      <c r="G1519" s="97" t="s">
        <v>19</v>
      </c>
      <c r="H1519" s="97" t="s">
        <v>42</v>
      </c>
      <c r="I1519" s="97">
        <v>159</v>
      </c>
      <c r="J1519" s="97">
        <v>4</v>
      </c>
      <c r="K1519" s="97">
        <f t="shared" si="23"/>
        <v>636</v>
      </c>
      <c r="L1519" s="97">
        <f>_xlfn.XLOOKUP(E1519,Emp_Data!$B$2:$B$9,Emp_Data!$A$2:$A$9)</f>
        <v>6</v>
      </c>
    </row>
    <row r="1520" spans="1:12">
      <c r="A1520" s="99">
        <v>1523</v>
      </c>
      <c r="B1520" s="101">
        <v>44688</v>
      </c>
      <c r="C1520" s="96">
        <v>11</v>
      </c>
      <c r="D1520" s="104" t="s">
        <v>38</v>
      </c>
      <c r="E1520" s="97" t="s">
        <v>18</v>
      </c>
      <c r="F1520" s="97" t="str">
        <f>VLOOKUP(E1520,Emp_Data!$B$2:$C$9,2,)</f>
        <v>Sara</v>
      </c>
      <c r="G1520" s="97" t="s">
        <v>19</v>
      </c>
      <c r="H1520" s="97" t="s">
        <v>42</v>
      </c>
      <c r="I1520" s="97">
        <v>159</v>
      </c>
      <c r="J1520" s="97">
        <v>3</v>
      </c>
      <c r="K1520" s="97">
        <f t="shared" si="23"/>
        <v>477</v>
      </c>
      <c r="L1520" s="97">
        <f>_xlfn.XLOOKUP(E1520,Emp_Data!$B$2:$B$9,Emp_Data!$A$2:$A$9)</f>
        <v>5</v>
      </c>
    </row>
    <row r="1521" spans="1:12">
      <c r="A1521" s="99">
        <v>1524</v>
      </c>
      <c r="B1521" s="101">
        <v>44688</v>
      </c>
      <c r="C1521" s="96">
        <v>14</v>
      </c>
      <c r="D1521" s="104" t="s">
        <v>33</v>
      </c>
      <c r="E1521" s="97" t="s">
        <v>24</v>
      </c>
      <c r="F1521" s="97" t="str">
        <f>VLOOKUP(E1521,Emp_Data!$B$2:$C$9,2,)</f>
        <v>Steve</v>
      </c>
      <c r="G1521" s="97" t="s">
        <v>19</v>
      </c>
      <c r="H1521" s="97" t="s">
        <v>42</v>
      </c>
      <c r="I1521" s="97">
        <v>159</v>
      </c>
      <c r="J1521" s="97">
        <v>1</v>
      </c>
      <c r="K1521" s="97">
        <f t="shared" si="23"/>
        <v>159</v>
      </c>
      <c r="L1521" s="97">
        <f>_xlfn.XLOOKUP(E1521,Emp_Data!$B$2:$B$9,Emp_Data!$A$2:$A$9)</f>
        <v>6</v>
      </c>
    </row>
    <row r="1522" spans="1:12">
      <c r="A1522" s="99">
        <v>1527</v>
      </c>
      <c r="B1522" s="101">
        <v>44688</v>
      </c>
      <c r="C1522" s="96">
        <v>16</v>
      </c>
      <c r="D1522" s="104" t="s">
        <v>37</v>
      </c>
      <c r="E1522" s="97" t="s">
        <v>25</v>
      </c>
      <c r="F1522" s="97" t="str">
        <f>VLOOKUP(E1522,Emp_Data!$B$2:$C$9,2,)</f>
        <v>Jeff</v>
      </c>
      <c r="G1522" s="97" t="s">
        <v>9</v>
      </c>
      <c r="H1522" s="97" t="s">
        <v>42</v>
      </c>
      <c r="I1522" s="97">
        <v>159</v>
      </c>
      <c r="J1522" s="97">
        <v>7</v>
      </c>
      <c r="K1522" s="97">
        <f t="shared" si="23"/>
        <v>1113</v>
      </c>
      <c r="L1522" s="97">
        <f>_xlfn.XLOOKUP(E1522,Emp_Data!$B$2:$B$9,Emp_Data!$A$2:$A$9)</f>
        <v>5</v>
      </c>
    </row>
    <row r="1523" spans="1:12">
      <c r="A1523" s="99">
        <v>1528</v>
      </c>
      <c r="B1523" s="101">
        <v>44688</v>
      </c>
      <c r="C1523" s="96">
        <v>13</v>
      </c>
      <c r="D1523" s="104" t="s">
        <v>23</v>
      </c>
      <c r="E1523" s="97" t="s">
        <v>24</v>
      </c>
      <c r="F1523" s="97" t="str">
        <f>VLOOKUP(E1523,Emp_Data!$B$2:$C$9,2,)</f>
        <v>Steve</v>
      </c>
      <c r="G1523" s="97" t="s">
        <v>19</v>
      </c>
      <c r="H1523" s="97" t="s">
        <v>42</v>
      </c>
      <c r="I1523" s="97">
        <v>159</v>
      </c>
      <c r="J1523" s="97">
        <v>3</v>
      </c>
      <c r="K1523" s="97">
        <f t="shared" si="23"/>
        <v>477</v>
      </c>
      <c r="L1523" s="97">
        <f>_xlfn.XLOOKUP(E1523,Emp_Data!$B$2:$B$9,Emp_Data!$A$2:$A$9)</f>
        <v>6</v>
      </c>
    </row>
    <row r="1524" spans="1:12">
      <c r="A1524" s="99">
        <v>1536</v>
      </c>
      <c r="B1524" s="101">
        <v>44691</v>
      </c>
      <c r="C1524" s="96">
        <v>19</v>
      </c>
      <c r="D1524" s="104" t="s">
        <v>22</v>
      </c>
      <c r="E1524" s="97" t="s">
        <v>25</v>
      </c>
      <c r="F1524" s="97" t="str">
        <f>VLOOKUP(E1524,Emp_Data!$B$2:$C$9,2,)</f>
        <v>Jeff</v>
      </c>
      <c r="G1524" s="97" t="s">
        <v>9</v>
      </c>
      <c r="H1524" s="97" t="s">
        <v>42</v>
      </c>
      <c r="I1524" s="97">
        <v>159</v>
      </c>
      <c r="J1524" s="97">
        <v>3</v>
      </c>
      <c r="K1524" s="97">
        <f t="shared" si="23"/>
        <v>477</v>
      </c>
      <c r="L1524" s="97">
        <f>_xlfn.XLOOKUP(E1524,Emp_Data!$B$2:$B$9,Emp_Data!$A$2:$A$9)</f>
        <v>5</v>
      </c>
    </row>
    <row r="1525" spans="1:12">
      <c r="A1525" s="99">
        <v>1540</v>
      </c>
      <c r="B1525" s="101">
        <v>44693</v>
      </c>
      <c r="C1525" s="96">
        <v>9</v>
      </c>
      <c r="D1525" s="104" t="s">
        <v>26</v>
      </c>
      <c r="E1525" s="97" t="s">
        <v>11</v>
      </c>
      <c r="F1525" s="97" t="str">
        <f>VLOOKUP(E1525,Emp_Data!$B$2:$C$9,2,)</f>
        <v>Steve</v>
      </c>
      <c r="G1525" s="97" t="s">
        <v>12</v>
      </c>
      <c r="H1525" s="97" t="s">
        <v>42</v>
      </c>
      <c r="I1525" s="97">
        <v>159</v>
      </c>
      <c r="J1525" s="97">
        <v>6</v>
      </c>
      <c r="K1525" s="97">
        <f t="shared" si="23"/>
        <v>954</v>
      </c>
      <c r="L1525" s="97">
        <f>_xlfn.XLOOKUP(E1525,Emp_Data!$B$2:$B$9,Emp_Data!$A$2:$A$9)</f>
        <v>4</v>
      </c>
    </row>
    <row r="1526" spans="1:12">
      <c r="A1526" s="99">
        <v>1547</v>
      </c>
      <c r="B1526" s="101">
        <v>44696</v>
      </c>
      <c r="C1526" s="96">
        <v>6</v>
      </c>
      <c r="D1526" s="104" t="s">
        <v>10</v>
      </c>
      <c r="E1526" s="97" t="s">
        <v>27</v>
      </c>
      <c r="F1526" s="97" t="str">
        <f>VLOOKUP(E1526,Emp_Data!$B$2:$C$9,2,)</f>
        <v>Philip</v>
      </c>
      <c r="G1526" s="97" t="s">
        <v>12</v>
      </c>
      <c r="H1526" s="97" t="s">
        <v>42</v>
      </c>
      <c r="I1526" s="97">
        <v>159</v>
      </c>
      <c r="J1526" s="97">
        <v>5</v>
      </c>
      <c r="K1526" s="97">
        <f t="shared" si="23"/>
        <v>795</v>
      </c>
      <c r="L1526" s="97">
        <f>_xlfn.XLOOKUP(E1526,Emp_Data!$B$2:$B$9,Emp_Data!$A$2:$A$9)</f>
        <v>8</v>
      </c>
    </row>
    <row r="1527" spans="1:12">
      <c r="A1527" s="99">
        <v>1548</v>
      </c>
      <c r="B1527" s="101">
        <v>44696</v>
      </c>
      <c r="C1527" s="96">
        <v>14</v>
      </c>
      <c r="D1527" s="104" t="s">
        <v>33</v>
      </c>
      <c r="E1527" s="97" t="s">
        <v>18</v>
      </c>
      <c r="F1527" s="97" t="str">
        <f>VLOOKUP(E1527,Emp_Data!$B$2:$C$9,2,)</f>
        <v>Sara</v>
      </c>
      <c r="G1527" s="97" t="s">
        <v>19</v>
      </c>
      <c r="H1527" s="97" t="s">
        <v>42</v>
      </c>
      <c r="I1527" s="97">
        <v>159</v>
      </c>
      <c r="J1527" s="97">
        <v>8</v>
      </c>
      <c r="K1527" s="97">
        <f t="shared" si="23"/>
        <v>1272</v>
      </c>
      <c r="L1527" s="97">
        <f>_xlfn.XLOOKUP(E1527,Emp_Data!$B$2:$B$9,Emp_Data!$A$2:$A$9)</f>
        <v>5</v>
      </c>
    </row>
    <row r="1528" spans="1:12">
      <c r="A1528" s="99">
        <v>1562</v>
      </c>
      <c r="B1528" s="101">
        <v>44701</v>
      </c>
      <c r="C1528" s="96">
        <v>1</v>
      </c>
      <c r="D1528" s="104" t="s">
        <v>31</v>
      </c>
      <c r="E1528" s="97" t="s">
        <v>14</v>
      </c>
      <c r="F1528" s="97" t="str">
        <f>VLOOKUP(E1528,Emp_Data!$B$2:$C$9,2,)</f>
        <v>Jeff</v>
      </c>
      <c r="G1528" s="97" t="s">
        <v>15</v>
      </c>
      <c r="H1528" s="97" t="s">
        <v>42</v>
      </c>
      <c r="I1528" s="97">
        <v>159</v>
      </c>
      <c r="J1528" s="97">
        <v>4</v>
      </c>
      <c r="K1528" s="97">
        <f t="shared" si="23"/>
        <v>636</v>
      </c>
      <c r="L1528" s="97">
        <f>_xlfn.XLOOKUP(E1528,Emp_Data!$B$2:$B$9,Emp_Data!$A$2:$A$9)</f>
        <v>2</v>
      </c>
    </row>
    <row r="1529" spans="1:12">
      <c r="A1529" s="99">
        <v>1571</v>
      </c>
      <c r="B1529" s="101">
        <v>44704</v>
      </c>
      <c r="C1529" s="96">
        <v>15</v>
      </c>
      <c r="D1529" s="104" t="s">
        <v>29</v>
      </c>
      <c r="E1529" s="97" t="s">
        <v>24</v>
      </c>
      <c r="F1529" s="97" t="str">
        <f>VLOOKUP(E1529,Emp_Data!$B$2:$C$9,2,)</f>
        <v>Steve</v>
      </c>
      <c r="G1529" s="97" t="s">
        <v>19</v>
      </c>
      <c r="H1529" s="97" t="s">
        <v>42</v>
      </c>
      <c r="I1529" s="97">
        <v>159</v>
      </c>
      <c r="J1529" s="97">
        <v>2</v>
      </c>
      <c r="K1529" s="97">
        <f t="shared" si="23"/>
        <v>318</v>
      </c>
      <c r="L1529" s="97">
        <f>_xlfn.XLOOKUP(E1529,Emp_Data!$B$2:$B$9,Emp_Data!$A$2:$A$9)</f>
        <v>6</v>
      </c>
    </row>
    <row r="1530" spans="1:12">
      <c r="A1530" s="99">
        <v>1573</v>
      </c>
      <c r="B1530" s="101">
        <v>44706</v>
      </c>
      <c r="C1530" s="96">
        <v>5</v>
      </c>
      <c r="D1530" s="104" t="s">
        <v>16</v>
      </c>
      <c r="E1530" s="97" t="s">
        <v>14</v>
      </c>
      <c r="F1530" s="97" t="str">
        <f>VLOOKUP(E1530,Emp_Data!$B$2:$C$9,2,)</f>
        <v>Jeff</v>
      </c>
      <c r="G1530" s="97" t="s">
        <v>15</v>
      </c>
      <c r="H1530" s="97" t="s">
        <v>42</v>
      </c>
      <c r="I1530" s="97">
        <v>159</v>
      </c>
      <c r="J1530" s="97">
        <v>3</v>
      </c>
      <c r="K1530" s="97">
        <f t="shared" si="23"/>
        <v>477</v>
      </c>
      <c r="L1530" s="97">
        <f>_xlfn.XLOOKUP(E1530,Emp_Data!$B$2:$B$9,Emp_Data!$A$2:$A$9)</f>
        <v>2</v>
      </c>
    </row>
    <row r="1531" spans="1:12">
      <c r="A1531" s="99">
        <v>1575</v>
      </c>
      <c r="B1531" s="101">
        <v>44706</v>
      </c>
      <c r="C1531" s="96">
        <v>5</v>
      </c>
      <c r="D1531" s="104" t="s">
        <v>16</v>
      </c>
      <c r="E1531" s="97" t="s">
        <v>21</v>
      </c>
      <c r="F1531" s="97" t="str">
        <f>VLOOKUP(E1531,Emp_Data!$B$2:$C$9,2,)</f>
        <v>Sara</v>
      </c>
      <c r="G1531" s="97" t="s">
        <v>15</v>
      </c>
      <c r="H1531" s="97" t="s">
        <v>42</v>
      </c>
      <c r="I1531" s="97">
        <v>159</v>
      </c>
      <c r="J1531" s="97">
        <v>2</v>
      </c>
      <c r="K1531" s="97">
        <f t="shared" si="23"/>
        <v>318</v>
      </c>
      <c r="L1531" s="97">
        <f>_xlfn.XLOOKUP(E1531,Emp_Data!$B$2:$B$9,Emp_Data!$A$2:$A$9)</f>
        <v>2</v>
      </c>
    </row>
    <row r="1532" spans="1:12">
      <c r="A1532" s="99">
        <v>1585</v>
      </c>
      <c r="B1532" s="101">
        <v>44707</v>
      </c>
      <c r="C1532" s="96">
        <v>10</v>
      </c>
      <c r="D1532" s="104" t="s">
        <v>34</v>
      </c>
      <c r="E1532" s="97" t="s">
        <v>27</v>
      </c>
      <c r="F1532" s="97" t="str">
        <f>VLOOKUP(E1532,Emp_Data!$B$2:$C$9,2,)</f>
        <v>Philip</v>
      </c>
      <c r="G1532" s="97" t="s">
        <v>12</v>
      </c>
      <c r="H1532" s="97" t="s">
        <v>42</v>
      </c>
      <c r="I1532" s="97">
        <v>159</v>
      </c>
      <c r="J1532" s="97">
        <v>6</v>
      </c>
      <c r="K1532" s="97">
        <f t="shared" si="23"/>
        <v>954</v>
      </c>
      <c r="L1532" s="97">
        <f>_xlfn.XLOOKUP(E1532,Emp_Data!$B$2:$B$9,Emp_Data!$A$2:$A$9)</f>
        <v>8</v>
      </c>
    </row>
    <row r="1533" spans="1:12">
      <c r="A1533" s="99">
        <v>1588</v>
      </c>
      <c r="B1533" s="101">
        <v>44707</v>
      </c>
      <c r="C1533" s="96">
        <v>17</v>
      </c>
      <c r="D1533" s="104" t="s">
        <v>32</v>
      </c>
      <c r="E1533" s="97" t="s">
        <v>8</v>
      </c>
      <c r="F1533" s="97" t="str">
        <f>VLOOKUP(E1533,Emp_Data!$B$2:$C$9,2,)</f>
        <v>Jeff</v>
      </c>
      <c r="G1533" s="97" t="s">
        <v>9</v>
      </c>
      <c r="H1533" s="97" t="s">
        <v>42</v>
      </c>
      <c r="I1533" s="97">
        <v>159</v>
      </c>
      <c r="J1533" s="97">
        <v>9</v>
      </c>
      <c r="K1533" s="97">
        <f t="shared" si="23"/>
        <v>1431</v>
      </c>
      <c r="L1533" s="97">
        <f>_xlfn.XLOOKUP(E1533,Emp_Data!$B$2:$B$9,Emp_Data!$A$2:$A$9)</f>
        <v>3</v>
      </c>
    </row>
    <row r="1534" spans="1:12">
      <c r="A1534" s="99">
        <v>1590</v>
      </c>
      <c r="B1534" s="101">
        <v>44707</v>
      </c>
      <c r="C1534" s="96">
        <v>17</v>
      </c>
      <c r="D1534" s="104" t="s">
        <v>32</v>
      </c>
      <c r="E1534" s="97" t="s">
        <v>8</v>
      </c>
      <c r="F1534" s="97" t="str">
        <f>VLOOKUP(E1534,Emp_Data!$B$2:$C$9,2,)</f>
        <v>Jeff</v>
      </c>
      <c r="G1534" s="97" t="s">
        <v>9</v>
      </c>
      <c r="H1534" s="97" t="s">
        <v>42</v>
      </c>
      <c r="I1534" s="97">
        <v>159</v>
      </c>
      <c r="J1534" s="97">
        <v>2</v>
      </c>
      <c r="K1534" s="97">
        <f t="shared" si="23"/>
        <v>318</v>
      </c>
      <c r="L1534" s="97">
        <f>_xlfn.XLOOKUP(E1534,Emp_Data!$B$2:$B$9,Emp_Data!$A$2:$A$9)</f>
        <v>3</v>
      </c>
    </row>
    <row r="1535" spans="1:12">
      <c r="A1535" s="99">
        <v>1592</v>
      </c>
      <c r="B1535" s="101">
        <v>44707</v>
      </c>
      <c r="C1535" s="96">
        <v>16</v>
      </c>
      <c r="D1535" s="104" t="s">
        <v>37</v>
      </c>
      <c r="E1535" s="97" t="s">
        <v>25</v>
      </c>
      <c r="F1535" s="97" t="str">
        <f>VLOOKUP(E1535,Emp_Data!$B$2:$C$9,2,)</f>
        <v>Jeff</v>
      </c>
      <c r="G1535" s="97" t="s">
        <v>9</v>
      </c>
      <c r="H1535" s="97" t="s">
        <v>42</v>
      </c>
      <c r="I1535" s="97">
        <v>159</v>
      </c>
      <c r="J1535" s="97">
        <v>7</v>
      </c>
      <c r="K1535" s="97">
        <f t="shared" si="23"/>
        <v>1113</v>
      </c>
      <c r="L1535" s="97">
        <f>_xlfn.XLOOKUP(E1535,Emp_Data!$B$2:$B$9,Emp_Data!$A$2:$A$9)</f>
        <v>5</v>
      </c>
    </row>
    <row r="1536" spans="1:12">
      <c r="A1536" s="99">
        <v>1596</v>
      </c>
      <c r="B1536" s="101">
        <v>44709</v>
      </c>
      <c r="C1536" s="96">
        <v>5</v>
      </c>
      <c r="D1536" s="104" t="s">
        <v>16</v>
      </c>
      <c r="E1536" s="97" t="s">
        <v>14</v>
      </c>
      <c r="F1536" s="97" t="str">
        <f>VLOOKUP(E1536,Emp_Data!$B$2:$C$9,2,)</f>
        <v>Jeff</v>
      </c>
      <c r="G1536" s="97" t="s">
        <v>15</v>
      </c>
      <c r="H1536" s="97" t="s">
        <v>42</v>
      </c>
      <c r="I1536" s="97">
        <v>159</v>
      </c>
      <c r="J1536" s="97">
        <v>2</v>
      </c>
      <c r="K1536" s="97">
        <f t="shared" si="23"/>
        <v>318</v>
      </c>
      <c r="L1536" s="97">
        <f>_xlfn.XLOOKUP(E1536,Emp_Data!$B$2:$B$9,Emp_Data!$A$2:$A$9)</f>
        <v>2</v>
      </c>
    </row>
    <row r="1537" spans="1:12">
      <c r="A1537" s="99">
        <v>1598</v>
      </c>
      <c r="B1537" s="101">
        <v>44709</v>
      </c>
      <c r="C1537" s="96">
        <v>19</v>
      </c>
      <c r="D1537" s="104" t="s">
        <v>22</v>
      </c>
      <c r="E1537" s="97" t="s">
        <v>8</v>
      </c>
      <c r="F1537" s="97" t="str">
        <f>VLOOKUP(E1537,Emp_Data!$B$2:$C$9,2,)</f>
        <v>Jeff</v>
      </c>
      <c r="G1537" s="97" t="s">
        <v>9</v>
      </c>
      <c r="H1537" s="97" t="s">
        <v>42</v>
      </c>
      <c r="I1537" s="97">
        <v>159</v>
      </c>
      <c r="J1537" s="97">
        <v>3</v>
      </c>
      <c r="K1537" s="97">
        <f t="shared" si="23"/>
        <v>477</v>
      </c>
      <c r="L1537" s="97">
        <f>_xlfn.XLOOKUP(E1537,Emp_Data!$B$2:$B$9,Emp_Data!$A$2:$A$9)</f>
        <v>3</v>
      </c>
    </row>
    <row r="1538" spans="1:12">
      <c r="A1538" s="99">
        <v>1599</v>
      </c>
      <c r="B1538" s="101">
        <v>44709</v>
      </c>
      <c r="C1538" s="96">
        <v>5</v>
      </c>
      <c r="D1538" s="104" t="s">
        <v>16</v>
      </c>
      <c r="E1538" s="97" t="s">
        <v>21</v>
      </c>
      <c r="F1538" s="97" t="str">
        <f>VLOOKUP(E1538,Emp_Data!$B$2:$C$9,2,)</f>
        <v>Sara</v>
      </c>
      <c r="G1538" s="97" t="s">
        <v>15</v>
      </c>
      <c r="H1538" s="97" t="s">
        <v>42</v>
      </c>
      <c r="I1538" s="97">
        <v>159</v>
      </c>
      <c r="J1538" s="97">
        <v>9</v>
      </c>
      <c r="K1538" s="97">
        <f t="shared" si="23"/>
        <v>1431</v>
      </c>
      <c r="L1538" s="97">
        <f>_xlfn.XLOOKUP(E1538,Emp_Data!$B$2:$B$9,Emp_Data!$A$2:$A$9)</f>
        <v>2</v>
      </c>
    </row>
    <row r="1539" spans="1:12">
      <c r="A1539" s="99">
        <v>1605</v>
      </c>
      <c r="B1539" s="101">
        <v>44710</v>
      </c>
      <c r="C1539" s="96">
        <v>6</v>
      </c>
      <c r="D1539" s="104" t="s">
        <v>10</v>
      </c>
      <c r="E1539" s="97" t="s">
        <v>11</v>
      </c>
      <c r="F1539" s="97" t="str">
        <f>VLOOKUP(E1539,Emp_Data!$B$2:$C$9,2,)</f>
        <v>Steve</v>
      </c>
      <c r="G1539" s="97" t="s">
        <v>12</v>
      </c>
      <c r="H1539" s="97" t="s">
        <v>42</v>
      </c>
      <c r="I1539" s="97">
        <v>159</v>
      </c>
      <c r="J1539" s="97">
        <v>5</v>
      </c>
      <c r="K1539" s="97">
        <f t="shared" ref="K1539:K1602" si="24">SUMPRODUCT(I1539,J1539)</f>
        <v>795</v>
      </c>
      <c r="L1539" s="97">
        <f>_xlfn.XLOOKUP(E1539,Emp_Data!$B$2:$B$9,Emp_Data!$A$2:$A$9)</f>
        <v>4</v>
      </c>
    </row>
    <row r="1540" spans="1:12">
      <c r="A1540" s="99">
        <v>1608</v>
      </c>
      <c r="B1540" s="101">
        <v>44711</v>
      </c>
      <c r="C1540" s="96">
        <v>17</v>
      </c>
      <c r="D1540" s="104" t="s">
        <v>32</v>
      </c>
      <c r="E1540" s="97" t="s">
        <v>8</v>
      </c>
      <c r="F1540" s="97" t="str">
        <f>VLOOKUP(E1540,Emp_Data!$B$2:$C$9,2,)</f>
        <v>Jeff</v>
      </c>
      <c r="G1540" s="97" t="s">
        <v>9</v>
      </c>
      <c r="H1540" s="97" t="s">
        <v>42</v>
      </c>
      <c r="I1540" s="97">
        <v>159</v>
      </c>
      <c r="J1540" s="97">
        <v>8</v>
      </c>
      <c r="K1540" s="97">
        <f t="shared" si="24"/>
        <v>1272</v>
      </c>
      <c r="L1540" s="97">
        <f>_xlfn.XLOOKUP(E1540,Emp_Data!$B$2:$B$9,Emp_Data!$A$2:$A$9)</f>
        <v>3</v>
      </c>
    </row>
    <row r="1541" spans="1:12">
      <c r="A1541" s="99">
        <v>1609</v>
      </c>
      <c r="B1541" s="101">
        <v>44711</v>
      </c>
      <c r="C1541" s="96">
        <v>3</v>
      </c>
      <c r="D1541" s="104" t="s">
        <v>20</v>
      </c>
      <c r="E1541" s="97" t="s">
        <v>14</v>
      </c>
      <c r="F1541" s="97" t="str">
        <f>VLOOKUP(E1541,Emp_Data!$B$2:$C$9,2,)</f>
        <v>Jeff</v>
      </c>
      <c r="G1541" s="97" t="s">
        <v>15</v>
      </c>
      <c r="H1541" s="97" t="s">
        <v>42</v>
      </c>
      <c r="I1541" s="97">
        <v>159</v>
      </c>
      <c r="J1541" s="97">
        <v>8</v>
      </c>
      <c r="K1541" s="97">
        <f t="shared" si="24"/>
        <v>1272</v>
      </c>
      <c r="L1541" s="97">
        <f>_xlfn.XLOOKUP(E1541,Emp_Data!$B$2:$B$9,Emp_Data!$A$2:$A$9)</f>
        <v>2</v>
      </c>
    </row>
    <row r="1542" spans="1:12">
      <c r="A1542" s="99">
        <v>1611</v>
      </c>
      <c r="B1542" s="101">
        <v>44713</v>
      </c>
      <c r="C1542" s="96">
        <v>2</v>
      </c>
      <c r="D1542" s="104" t="s">
        <v>35</v>
      </c>
      <c r="E1542" s="97" t="s">
        <v>21</v>
      </c>
      <c r="F1542" s="97" t="str">
        <f>VLOOKUP(E1542,Emp_Data!$B$2:$C$9,2,)</f>
        <v>Sara</v>
      </c>
      <c r="G1542" s="97" t="s">
        <v>15</v>
      </c>
      <c r="H1542" s="97" t="s">
        <v>42</v>
      </c>
      <c r="I1542" s="97">
        <v>159</v>
      </c>
      <c r="J1542" s="97">
        <v>1</v>
      </c>
      <c r="K1542" s="97">
        <f t="shared" si="24"/>
        <v>159</v>
      </c>
      <c r="L1542" s="97">
        <f>_xlfn.XLOOKUP(E1542,Emp_Data!$B$2:$B$9,Emp_Data!$A$2:$A$9)</f>
        <v>2</v>
      </c>
    </row>
    <row r="1543" spans="1:12">
      <c r="A1543" s="99">
        <v>1612</v>
      </c>
      <c r="B1543" s="101">
        <v>44713</v>
      </c>
      <c r="C1543" s="96">
        <v>10</v>
      </c>
      <c r="D1543" s="104" t="s">
        <v>34</v>
      </c>
      <c r="E1543" s="97" t="s">
        <v>11</v>
      </c>
      <c r="F1543" s="97" t="str">
        <f>VLOOKUP(E1543,Emp_Data!$B$2:$C$9,2,)</f>
        <v>Steve</v>
      </c>
      <c r="G1543" s="97" t="s">
        <v>12</v>
      </c>
      <c r="H1543" s="97" t="s">
        <v>42</v>
      </c>
      <c r="I1543" s="97">
        <v>159</v>
      </c>
      <c r="J1543" s="97">
        <v>2</v>
      </c>
      <c r="K1543" s="97">
        <f t="shared" si="24"/>
        <v>318</v>
      </c>
      <c r="L1543" s="97">
        <f>_xlfn.XLOOKUP(E1543,Emp_Data!$B$2:$B$9,Emp_Data!$A$2:$A$9)</f>
        <v>4</v>
      </c>
    </row>
    <row r="1544" spans="1:12">
      <c r="A1544" s="99">
        <v>1617</v>
      </c>
      <c r="B1544" s="101">
        <v>44714</v>
      </c>
      <c r="C1544" s="96">
        <v>15</v>
      </c>
      <c r="D1544" s="104" t="s">
        <v>29</v>
      </c>
      <c r="E1544" s="97" t="s">
        <v>18</v>
      </c>
      <c r="F1544" s="97" t="str">
        <f>VLOOKUP(E1544,Emp_Data!$B$2:$C$9,2,)</f>
        <v>Sara</v>
      </c>
      <c r="G1544" s="97" t="s">
        <v>19</v>
      </c>
      <c r="H1544" s="97" t="s">
        <v>42</v>
      </c>
      <c r="I1544" s="97">
        <v>159</v>
      </c>
      <c r="J1544" s="97">
        <v>1</v>
      </c>
      <c r="K1544" s="97">
        <f t="shared" si="24"/>
        <v>159</v>
      </c>
      <c r="L1544" s="97">
        <f>_xlfn.XLOOKUP(E1544,Emp_Data!$B$2:$B$9,Emp_Data!$A$2:$A$9)</f>
        <v>5</v>
      </c>
    </row>
    <row r="1545" spans="1:12">
      <c r="A1545" s="99">
        <v>1619</v>
      </c>
      <c r="B1545" s="101">
        <v>44716</v>
      </c>
      <c r="C1545" s="96">
        <v>20</v>
      </c>
      <c r="D1545" s="104" t="s">
        <v>7</v>
      </c>
      <c r="E1545" s="97" t="s">
        <v>8</v>
      </c>
      <c r="F1545" s="97" t="str">
        <f>VLOOKUP(E1545,Emp_Data!$B$2:$C$9,2,)</f>
        <v>Jeff</v>
      </c>
      <c r="G1545" s="97" t="s">
        <v>9</v>
      </c>
      <c r="H1545" s="97" t="s">
        <v>42</v>
      </c>
      <c r="I1545" s="97">
        <v>159</v>
      </c>
      <c r="J1545" s="97">
        <v>4</v>
      </c>
      <c r="K1545" s="97">
        <f t="shared" si="24"/>
        <v>636</v>
      </c>
      <c r="L1545" s="97">
        <f>_xlfn.XLOOKUP(E1545,Emp_Data!$B$2:$B$9,Emp_Data!$A$2:$A$9)</f>
        <v>3</v>
      </c>
    </row>
    <row r="1546" spans="1:12">
      <c r="A1546" s="99">
        <v>1621</v>
      </c>
      <c r="B1546" s="101">
        <v>44717</v>
      </c>
      <c r="C1546" s="96">
        <v>4</v>
      </c>
      <c r="D1546" s="104" t="s">
        <v>13</v>
      </c>
      <c r="E1546" s="97" t="s">
        <v>21</v>
      </c>
      <c r="F1546" s="97" t="str">
        <f>VLOOKUP(E1546,Emp_Data!$B$2:$C$9,2,)</f>
        <v>Sara</v>
      </c>
      <c r="G1546" s="97" t="s">
        <v>15</v>
      </c>
      <c r="H1546" s="97" t="s">
        <v>42</v>
      </c>
      <c r="I1546" s="97">
        <v>159</v>
      </c>
      <c r="J1546" s="97">
        <v>2</v>
      </c>
      <c r="K1546" s="97">
        <f t="shared" si="24"/>
        <v>318</v>
      </c>
      <c r="L1546" s="97">
        <f>_xlfn.XLOOKUP(E1546,Emp_Data!$B$2:$B$9,Emp_Data!$A$2:$A$9)</f>
        <v>2</v>
      </c>
    </row>
    <row r="1547" spans="1:12">
      <c r="A1547" s="99">
        <v>1623</v>
      </c>
      <c r="B1547" s="101">
        <v>44717</v>
      </c>
      <c r="C1547" s="96">
        <v>2</v>
      </c>
      <c r="D1547" s="104" t="s">
        <v>35</v>
      </c>
      <c r="E1547" s="97" t="s">
        <v>14</v>
      </c>
      <c r="F1547" s="97" t="str">
        <f>VLOOKUP(E1547,Emp_Data!$B$2:$C$9,2,)</f>
        <v>Jeff</v>
      </c>
      <c r="G1547" s="97" t="s">
        <v>15</v>
      </c>
      <c r="H1547" s="97" t="s">
        <v>42</v>
      </c>
      <c r="I1547" s="97">
        <v>159</v>
      </c>
      <c r="J1547" s="97">
        <v>1</v>
      </c>
      <c r="K1547" s="97">
        <f t="shared" si="24"/>
        <v>159</v>
      </c>
      <c r="L1547" s="97">
        <f>_xlfn.XLOOKUP(E1547,Emp_Data!$B$2:$B$9,Emp_Data!$A$2:$A$9)</f>
        <v>2</v>
      </c>
    </row>
    <row r="1548" spans="1:12">
      <c r="A1548" s="99">
        <v>1628</v>
      </c>
      <c r="B1548" s="101">
        <v>44718</v>
      </c>
      <c r="C1548" s="96">
        <v>17</v>
      </c>
      <c r="D1548" s="104" t="s">
        <v>32</v>
      </c>
      <c r="E1548" s="97" t="s">
        <v>8</v>
      </c>
      <c r="F1548" s="97" t="str">
        <f>VLOOKUP(E1548,Emp_Data!$B$2:$C$9,2,)</f>
        <v>Jeff</v>
      </c>
      <c r="G1548" s="97" t="s">
        <v>9</v>
      </c>
      <c r="H1548" s="97" t="s">
        <v>42</v>
      </c>
      <c r="I1548" s="97">
        <v>159</v>
      </c>
      <c r="J1548" s="97">
        <v>7</v>
      </c>
      <c r="K1548" s="97">
        <f t="shared" si="24"/>
        <v>1113</v>
      </c>
      <c r="L1548" s="97">
        <f>_xlfn.XLOOKUP(E1548,Emp_Data!$B$2:$B$9,Emp_Data!$A$2:$A$9)</f>
        <v>3</v>
      </c>
    </row>
    <row r="1549" spans="1:12">
      <c r="A1549" s="99">
        <v>1630</v>
      </c>
      <c r="B1549" s="101">
        <v>44718</v>
      </c>
      <c r="C1549" s="96">
        <v>4</v>
      </c>
      <c r="D1549" s="104" t="s">
        <v>13</v>
      </c>
      <c r="E1549" s="97" t="s">
        <v>14</v>
      </c>
      <c r="F1549" s="97" t="str">
        <f>VLOOKUP(E1549,Emp_Data!$B$2:$C$9,2,)</f>
        <v>Jeff</v>
      </c>
      <c r="G1549" s="97" t="s">
        <v>15</v>
      </c>
      <c r="H1549" s="97" t="s">
        <v>42</v>
      </c>
      <c r="I1549" s="97">
        <v>159</v>
      </c>
      <c r="J1549" s="97">
        <v>4</v>
      </c>
      <c r="K1549" s="97">
        <f t="shared" si="24"/>
        <v>636</v>
      </c>
      <c r="L1549" s="97">
        <f>_xlfn.XLOOKUP(E1549,Emp_Data!$B$2:$B$9,Emp_Data!$A$2:$A$9)</f>
        <v>2</v>
      </c>
    </row>
    <row r="1550" spans="1:12">
      <c r="A1550" s="99">
        <v>1633</v>
      </c>
      <c r="B1550" s="101">
        <v>44718</v>
      </c>
      <c r="C1550" s="96">
        <v>15</v>
      </c>
      <c r="D1550" s="104" t="s">
        <v>29</v>
      </c>
      <c r="E1550" s="97" t="s">
        <v>24</v>
      </c>
      <c r="F1550" s="97" t="str">
        <f>VLOOKUP(E1550,Emp_Data!$B$2:$C$9,2,)</f>
        <v>Steve</v>
      </c>
      <c r="G1550" s="97" t="s">
        <v>19</v>
      </c>
      <c r="H1550" s="97" t="s">
        <v>42</v>
      </c>
      <c r="I1550" s="97">
        <v>159</v>
      </c>
      <c r="J1550" s="97">
        <v>5</v>
      </c>
      <c r="K1550" s="97">
        <f t="shared" si="24"/>
        <v>795</v>
      </c>
      <c r="L1550" s="97">
        <f>_xlfn.XLOOKUP(E1550,Emp_Data!$B$2:$B$9,Emp_Data!$A$2:$A$9)</f>
        <v>6</v>
      </c>
    </row>
    <row r="1551" spans="1:12">
      <c r="A1551" s="99">
        <v>1634</v>
      </c>
      <c r="B1551" s="101">
        <v>44718</v>
      </c>
      <c r="C1551" s="96">
        <v>2</v>
      </c>
      <c r="D1551" s="104" t="s">
        <v>35</v>
      </c>
      <c r="E1551" s="97" t="s">
        <v>14</v>
      </c>
      <c r="F1551" s="97" t="str">
        <f>VLOOKUP(E1551,Emp_Data!$B$2:$C$9,2,)</f>
        <v>Jeff</v>
      </c>
      <c r="G1551" s="97" t="s">
        <v>15</v>
      </c>
      <c r="H1551" s="97" t="s">
        <v>42</v>
      </c>
      <c r="I1551" s="97">
        <v>159</v>
      </c>
      <c r="J1551" s="97">
        <v>8</v>
      </c>
      <c r="K1551" s="97">
        <f t="shared" si="24"/>
        <v>1272</v>
      </c>
      <c r="L1551" s="97">
        <f>_xlfn.XLOOKUP(E1551,Emp_Data!$B$2:$B$9,Emp_Data!$A$2:$A$9)</f>
        <v>2</v>
      </c>
    </row>
    <row r="1552" spans="1:12">
      <c r="A1552" s="99">
        <v>1641</v>
      </c>
      <c r="B1552" s="101">
        <v>44720</v>
      </c>
      <c r="C1552" s="96">
        <v>13</v>
      </c>
      <c r="D1552" s="104" t="s">
        <v>23</v>
      </c>
      <c r="E1552" s="97" t="s">
        <v>18</v>
      </c>
      <c r="F1552" s="97" t="str">
        <f>VLOOKUP(E1552,Emp_Data!$B$2:$C$9,2,)</f>
        <v>Sara</v>
      </c>
      <c r="G1552" s="97" t="s">
        <v>19</v>
      </c>
      <c r="H1552" s="97" t="s">
        <v>42</v>
      </c>
      <c r="I1552" s="97">
        <v>159</v>
      </c>
      <c r="J1552" s="97">
        <v>2</v>
      </c>
      <c r="K1552" s="97">
        <f t="shared" si="24"/>
        <v>318</v>
      </c>
      <c r="L1552" s="97">
        <f>_xlfn.XLOOKUP(E1552,Emp_Data!$B$2:$B$9,Emp_Data!$A$2:$A$9)</f>
        <v>5</v>
      </c>
    </row>
    <row r="1553" spans="1:12">
      <c r="A1553" s="99">
        <v>1647</v>
      </c>
      <c r="B1553" s="101">
        <v>44722</v>
      </c>
      <c r="C1553" s="96">
        <v>13</v>
      </c>
      <c r="D1553" s="104" t="s">
        <v>23</v>
      </c>
      <c r="E1553" s="97" t="s">
        <v>24</v>
      </c>
      <c r="F1553" s="97" t="str">
        <f>VLOOKUP(E1553,Emp_Data!$B$2:$C$9,2,)</f>
        <v>Steve</v>
      </c>
      <c r="G1553" s="97" t="s">
        <v>19</v>
      </c>
      <c r="H1553" s="97" t="s">
        <v>42</v>
      </c>
      <c r="I1553" s="97">
        <v>159</v>
      </c>
      <c r="J1553" s="97">
        <v>9</v>
      </c>
      <c r="K1553" s="97">
        <f t="shared" si="24"/>
        <v>1431</v>
      </c>
      <c r="L1553" s="97">
        <f>_xlfn.XLOOKUP(E1553,Emp_Data!$B$2:$B$9,Emp_Data!$A$2:$A$9)</f>
        <v>6</v>
      </c>
    </row>
    <row r="1554" spans="1:12">
      <c r="A1554" s="99">
        <v>1649</v>
      </c>
      <c r="B1554" s="101">
        <v>44723</v>
      </c>
      <c r="C1554" s="96">
        <v>15</v>
      </c>
      <c r="D1554" s="104" t="s">
        <v>29</v>
      </c>
      <c r="E1554" s="97" t="s">
        <v>18</v>
      </c>
      <c r="F1554" s="97" t="str">
        <f>VLOOKUP(E1554,Emp_Data!$B$2:$C$9,2,)</f>
        <v>Sara</v>
      </c>
      <c r="G1554" s="97" t="s">
        <v>19</v>
      </c>
      <c r="H1554" s="97" t="s">
        <v>42</v>
      </c>
      <c r="I1554" s="97">
        <v>159</v>
      </c>
      <c r="J1554" s="97">
        <v>0</v>
      </c>
      <c r="K1554" s="97">
        <f t="shared" si="24"/>
        <v>0</v>
      </c>
      <c r="L1554" s="97">
        <f>_xlfn.XLOOKUP(E1554,Emp_Data!$B$2:$B$9,Emp_Data!$A$2:$A$9)</f>
        <v>5</v>
      </c>
    </row>
    <row r="1555" spans="1:12">
      <c r="A1555" s="99">
        <v>1653</v>
      </c>
      <c r="B1555" s="101">
        <v>44724</v>
      </c>
      <c r="C1555" s="96">
        <v>15</v>
      </c>
      <c r="D1555" s="104" t="s">
        <v>29</v>
      </c>
      <c r="E1555" s="97" t="s">
        <v>18</v>
      </c>
      <c r="F1555" s="97" t="str">
        <f>VLOOKUP(E1555,Emp_Data!$B$2:$C$9,2,)</f>
        <v>Sara</v>
      </c>
      <c r="G1555" s="97" t="s">
        <v>19</v>
      </c>
      <c r="H1555" s="97" t="s">
        <v>42</v>
      </c>
      <c r="I1555" s="97">
        <v>159</v>
      </c>
      <c r="J1555" s="97">
        <v>1</v>
      </c>
      <c r="K1555" s="97">
        <f t="shared" si="24"/>
        <v>159</v>
      </c>
      <c r="L1555" s="97">
        <f>_xlfn.XLOOKUP(E1555,Emp_Data!$B$2:$B$9,Emp_Data!$A$2:$A$9)</f>
        <v>5</v>
      </c>
    </row>
    <row r="1556" spans="1:12">
      <c r="A1556" s="99">
        <v>1668</v>
      </c>
      <c r="B1556" s="101">
        <v>44728</v>
      </c>
      <c r="C1556" s="96">
        <v>16</v>
      </c>
      <c r="D1556" s="104" t="s">
        <v>37</v>
      </c>
      <c r="E1556" s="97" t="s">
        <v>25</v>
      </c>
      <c r="F1556" s="97" t="str">
        <f>VLOOKUP(E1556,Emp_Data!$B$2:$C$9,2,)</f>
        <v>Jeff</v>
      </c>
      <c r="G1556" s="97" t="s">
        <v>9</v>
      </c>
      <c r="H1556" s="97" t="s">
        <v>42</v>
      </c>
      <c r="I1556" s="97">
        <v>159</v>
      </c>
      <c r="J1556" s="97">
        <v>3</v>
      </c>
      <c r="K1556" s="97">
        <f t="shared" si="24"/>
        <v>477</v>
      </c>
      <c r="L1556" s="97">
        <f>_xlfn.XLOOKUP(E1556,Emp_Data!$B$2:$B$9,Emp_Data!$A$2:$A$9)</f>
        <v>5</v>
      </c>
    </row>
    <row r="1557" spans="1:12">
      <c r="A1557" s="99">
        <v>1673</v>
      </c>
      <c r="B1557" s="101">
        <v>44729</v>
      </c>
      <c r="C1557" s="96">
        <v>18</v>
      </c>
      <c r="D1557" s="104" t="s">
        <v>30</v>
      </c>
      <c r="E1557" s="97" t="s">
        <v>25</v>
      </c>
      <c r="F1557" s="97" t="str">
        <f>VLOOKUP(E1557,Emp_Data!$B$2:$C$9,2,)</f>
        <v>Jeff</v>
      </c>
      <c r="G1557" s="97" t="s">
        <v>9</v>
      </c>
      <c r="H1557" s="97" t="s">
        <v>42</v>
      </c>
      <c r="I1557" s="97">
        <v>159</v>
      </c>
      <c r="J1557" s="97">
        <v>6</v>
      </c>
      <c r="K1557" s="97">
        <f t="shared" si="24"/>
        <v>954</v>
      </c>
      <c r="L1557" s="97">
        <f>_xlfn.XLOOKUP(E1557,Emp_Data!$B$2:$B$9,Emp_Data!$A$2:$A$9)</f>
        <v>5</v>
      </c>
    </row>
    <row r="1558" spans="1:12">
      <c r="A1558" s="99">
        <v>1677</v>
      </c>
      <c r="B1558" s="101">
        <v>44731</v>
      </c>
      <c r="C1558" s="96">
        <v>14</v>
      </c>
      <c r="D1558" s="104" t="s">
        <v>33</v>
      </c>
      <c r="E1558" s="97" t="s">
        <v>24</v>
      </c>
      <c r="F1558" s="97" t="str">
        <f>VLOOKUP(E1558,Emp_Data!$B$2:$C$9,2,)</f>
        <v>Steve</v>
      </c>
      <c r="G1558" s="97" t="s">
        <v>19</v>
      </c>
      <c r="H1558" s="97" t="s">
        <v>42</v>
      </c>
      <c r="I1558" s="97">
        <v>159</v>
      </c>
      <c r="J1558" s="97">
        <v>5</v>
      </c>
      <c r="K1558" s="97">
        <f t="shared" si="24"/>
        <v>795</v>
      </c>
      <c r="L1558" s="97">
        <f>_xlfn.XLOOKUP(E1558,Emp_Data!$B$2:$B$9,Emp_Data!$A$2:$A$9)</f>
        <v>6</v>
      </c>
    </row>
    <row r="1559" spans="1:12">
      <c r="A1559" s="99">
        <v>1678</v>
      </c>
      <c r="B1559" s="101">
        <v>44732</v>
      </c>
      <c r="C1559" s="96">
        <v>6</v>
      </c>
      <c r="D1559" s="104" t="s">
        <v>10</v>
      </c>
      <c r="E1559" s="97" t="s">
        <v>27</v>
      </c>
      <c r="F1559" s="97" t="str">
        <f>VLOOKUP(E1559,Emp_Data!$B$2:$C$9,2,)</f>
        <v>Philip</v>
      </c>
      <c r="G1559" s="97" t="s">
        <v>12</v>
      </c>
      <c r="H1559" s="97" t="s">
        <v>42</v>
      </c>
      <c r="I1559" s="97">
        <v>159</v>
      </c>
      <c r="J1559" s="97">
        <v>2</v>
      </c>
      <c r="K1559" s="97">
        <f t="shared" si="24"/>
        <v>318</v>
      </c>
      <c r="L1559" s="97">
        <f>_xlfn.XLOOKUP(E1559,Emp_Data!$B$2:$B$9,Emp_Data!$A$2:$A$9)</f>
        <v>8</v>
      </c>
    </row>
    <row r="1560" spans="1:12">
      <c r="A1560" s="99">
        <v>1680</v>
      </c>
      <c r="B1560" s="101">
        <v>44734</v>
      </c>
      <c r="C1560" s="96">
        <v>4</v>
      </c>
      <c r="D1560" s="104" t="s">
        <v>13</v>
      </c>
      <c r="E1560" s="97" t="s">
        <v>14</v>
      </c>
      <c r="F1560" s="97" t="str">
        <f>VLOOKUP(E1560,Emp_Data!$B$2:$C$9,2,)</f>
        <v>Jeff</v>
      </c>
      <c r="G1560" s="97" t="s">
        <v>15</v>
      </c>
      <c r="H1560" s="97" t="s">
        <v>42</v>
      </c>
      <c r="I1560" s="97">
        <v>159</v>
      </c>
      <c r="J1560" s="97">
        <v>5</v>
      </c>
      <c r="K1560" s="97">
        <f t="shared" si="24"/>
        <v>795</v>
      </c>
      <c r="L1560" s="97">
        <f>_xlfn.XLOOKUP(E1560,Emp_Data!$B$2:$B$9,Emp_Data!$A$2:$A$9)</f>
        <v>2</v>
      </c>
    </row>
    <row r="1561" spans="1:12">
      <c r="A1561" s="99">
        <v>1683</v>
      </c>
      <c r="B1561" s="101">
        <v>44734</v>
      </c>
      <c r="C1561" s="96">
        <v>9</v>
      </c>
      <c r="D1561" s="104" t="s">
        <v>26</v>
      </c>
      <c r="E1561" s="97" t="s">
        <v>11</v>
      </c>
      <c r="F1561" s="97" t="str">
        <f>VLOOKUP(E1561,Emp_Data!$B$2:$C$9,2,)</f>
        <v>Steve</v>
      </c>
      <c r="G1561" s="97" t="s">
        <v>12</v>
      </c>
      <c r="H1561" s="97" t="s">
        <v>42</v>
      </c>
      <c r="I1561" s="97">
        <v>159</v>
      </c>
      <c r="J1561" s="97">
        <v>4</v>
      </c>
      <c r="K1561" s="97">
        <f t="shared" si="24"/>
        <v>636</v>
      </c>
      <c r="L1561" s="97">
        <f>_xlfn.XLOOKUP(E1561,Emp_Data!$B$2:$B$9,Emp_Data!$A$2:$A$9)</f>
        <v>4</v>
      </c>
    </row>
    <row r="1562" spans="1:12">
      <c r="A1562" s="99">
        <v>1684</v>
      </c>
      <c r="B1562" s="101">
        <v>44734</v>
      </c>
      <c r="C1562" s="96">
        <v>12</v>
      </c>
      <c r="D1562" s="104" t="s">
        <v>17</v>
      </c>
      <c r="E1562" s="97" t="s">
        <v>24</v>
      </c>
      <c r="F1562" s="97" t="str">
        <f>VLOOKUP(E1562,Emp_Data!$B$2:$C$9,2,)</f>
        <v>Steve</v>
      </c>
      <c r="G1562" s="97" t="s">
        <v>19</v>
      </c>
      <c r="H1562" s="97" t="s">
        <v>42</v>
      </c>
      <c r="I1562" s="97">
        <v>159</v>
      </c>
      <c r="J1562" s="97">
        <v>2</v>
      </c>
      <c r="K1562" s="97">
        <f t="shared" si="24"/>
        <v>318</v>
      </c>
      <c r="L1562" s="97">
        <f>_xlfn.XLOOKUP(E1562,Emp_Data!$B$2:$B$9,Emp_Data!$A$2:$A$9)</f>
        <v>6</v>
      </c>
    </row>
    <row r="1563" spans="1:12">
      <c r="A1563" s="99">
        <v>1685</v>
      </c>
      <c r="B1563" s="101">
        <v>44734</v>
      </c>
      <c r="C1563" s="96">
        <v>3</v>
      </c>
      <c r="D1563" s="104" t="s">
        <v>20</v>
      </c>
      <c r="E1563" s="97" t="s">
        <v>14</v>
      </c>
      <c r="F1563" s="97" t="str">
        <f>VLOOKUP(E1563,Emp_Data!$B$2:$C$9,2,)</f>
        <v>Jeff</v>
      </c>
      <c r="G1563" s="97" t="s">
        <v>15</v>
      </c>
      <c r="H1563" s="97" t="s">
        <v>42</v>
      </c>
      <c r="I1563" s="97">
        <v>159</v>
      </c>
      <c r="J1563" s="97">
        <v>8</v>
      </c>
      <c r="K1563" s="97">
        <f t="shared" si="24"/>
        <v>1272</v>
      </c>
      <c r="L1563" s="97">
        <f>_xlfn.XLOOKUP(E1563,Emp_Data!$B$2:$B$9,Emp_Data!$A$2:$A$9)</f>
        <v>2</v>
      </c>
    </row>
    <row r="1564" spans="1:12">
      <c r="A1564" s="99">
        <v>1686</v>
      </c>
      <c r="B1564" s="101">
        <v>44735</v>
      </c>
      <c r="C1564" s="96">
        <v>15</v>
      </c>
      <c r="D1564" s="104" t="s">
        <v>29</v>
      </c>
      <c r="E1564" s="97" t="s">
        <v>18</v>
      </c>
      <c r="F1564" s="97" t="str">
        <f>VLOOKUP(E1564,Emp_Data!$B$2:$C$9,2,)</f>
        <v>Sara</v>
      </c>
      <c r="G1564" s="97" t="s">
        <v>19</v>
      </c>
      <c r="H1564" s="97" t="s">
        <v>42</v>
      </c>
      <c r="I1564" s="97">
        <v>159</v>
      </c>
      <c r="J1564" s="97">
        <v>4</v>
      </c>
      <c r="K1564" s="97">
        <f t="shared" si="24"/>
        <v>636</v>
      </c>
      <c r="L1564" s="97">
        <f>_xlfn.XLOOKUP(E1564,Emp_Data!$B$2:$B$9,Emp_Data!$A$2:$A$9)</f>
        <v>5</v>
      </c>
    </row>
    <row r="1565" spans="1:12">
      <c r="A1565" s="99">
        <v>1687</v>
      </c>
      <c r="B1565" s="101">
        <v>44735</v>
      </c>
      <c r="C1565" s="96">
        <v>9</v>
      </c>
      <c r="D1565" s="104" t="s">
        <v>26</v>
      </c>
      <c r="E1565" s="97" t="s">
        <v>27</v>
      </c>
      <c r="F1565" s="97" t="str">
        <f>VLOOKUP(E1565,Emp_Data!$B$2:$C$9,2,)</f>
        <v>Philip</v>
      </c>
      <c r="G1565" s="97" t="s">
        <v>12</v>
      </c>
      <c r="H1565" s="97" t="s">
        <v>42</v>
      </c>
      <c r="I1565" s="97">
        <v>159</v>
      </c>
      <c r="J1565" s="97">
        <v>8</v>
      </c>
      <c r="K1565" s="97">
        <f t="shared" si="24"/>
        <v>1272</v>
      </c>
      <c r="L1565" s="97">
        <f>_xlfn.XLOOKUP(E1565,Emp_Data!$B$2:$B$9,Emp_Data!$A$2:$A$9)</f>
        <v>8</v>
      </c>
    </row>
    <row r="1566" spans="1:12">
      <c r="A1566" s="99">
        <v>1696</v>
      </c>
      <c r="B1566" s="101">
        <v>44742</v>
      </c>
      <c r="C1566" s="96">
        <v>9</v>
      </c>
      <c r="D1566" s="104" t="s">
        <v>26</v>
      </c>
      <c r="E1566" s="97" t="s">
        <v>27</v>
      </c>
      <c r="F1566" s="97" t="str">
        <f>VLOOKUP(E1566,Emp_Data!$B$2:$C$9,2,)</f>
        <v>Philip</v>
      </c>
      <c r="G1566" s="97" t="s">
        <v>12</v>
      </c>
      <c r="H1566" s="97" t="s">
        <v>42</v>
      </c>
      <c r="I1566" s="97">
        <v>159</v>
      </c>
      <c r="J1566" s="97">
        <v>7</v>
      </c>
      <c r="K1566" s="97">
        <f t="shared" si="24"/>
        <v>1113</v>
      </c>
      <c r="L1566" s="97">
        <f>_xlfn.XLOOKUP(E1566,Emp_Data!$B$2:$B$9,Emp_Data!$A$2:$A$9)</f>
        <v>8</v>
      </c>
    </row>
    <row r="1567" spans="1:12">
      <c r="A1567" s="99">
        <v>1699</v>
      </c>
      <c r="B1567" s="101">
        <v>44744</v>
      </c>
      <c r="C1567" s="96">
        <v>11</v>
      </c>
      <c r="D1567" s="104" t="s">
        <v>38</v>
      </c>
      <c r="E1567" s="97" t="s">
        <v>18</v>
      </c>
      <c r="F1567" s="97" t="str">
        <f>VLOOKUP(E1567,Emp_Data!$B$2:$C$9,2,)</f>
        <v>Sara</v>
      </c>
      <c r="G1567" s="97" t="s">
        <v>19</v>
      </c>
      <c r="H1567" s="97" t="s">
        <v>42</v>
      </c>
      <c r="I1567" s="97">
        <v>159</v>
      </c>
      <c r="J1567" s="97">
        <v>0</v>
      </c>
      <c r="K1567" s="97">
        <f t="shared" si="24"/>
        <v>0</v>
      </c>
      <c r="L1567" s="97">
        <f>_xlfn.XLOOKUP(E1567,Emp_Data!$B$2:$B$9,Emp_Data!$A$2:$A$9)</f>
        <v>5</v>
      </c>
    </row>
    <row r="1568" spans="1:12">
      <c r="A1568" s="99">
        <v>1704</v>
      </c>
      <c r="B1568" s="101">
        <v>44748</v>
      </c>
      <c r="C1568" s="96">
        <v>18</v>
      </c>
      <c r="D1568" s="104" t="s">
        <v>30</v>
      </c>
      <c r="E1568" s="97" t="s">
        <v>8</v>
      </c>
      <c r="F1568" s="97" t="str">
        <f>VLOOKUP(E1568,Emp_Data!$B$2:$C$9,2,)</f>
        <v>Jeff</v>
      </c>
      <c r="G1568" s="97" t="s">
        <v>9</v>
      </c>
      <c r="H1568" s="97" t="s">
        <v>42</v>
      </c>
      <c r="I1568" s="97">
        <v>159</v>
      </c>
      <c r="J1568" s="97">
        <v>0</v>
      </c>
      <c r="K1568" s="97">
        <f t="shared" si="24"/>
        <v>0</v>
      </c>
      <c r="L1568" s="97">
        <f>_xlfn.XLOOKUP(E1568,Emp_Data!$B$2:$B$9,Emp_Data!$A$2:$A$9)</f>
        <v>3</v>
      </c>
    </row>
    <row r="1569" spans="1:12">
      <c r="A1569" s="99">
        <v>1707</v>
      </c>
      <c r="B1569" s="101">
        <v>44751</v>
      </c>
      <c r="C1569" s="96">
        <v>19</v>
      </c>
      <c r="D1569" s="104" t="s">
        <v>22</v>
      </c>
      <c r="E1569" s="97" t="s">
        <v>8</v>
      </c>
      <c r="F1569" s="97" t="str">
        <f>VLOOKUP(E1569,Emp_Data!$B$2:$C$9,2,)</f>
        <v>Jeff</v>
      </c>
      <c r="G1569" s="97" t="s">
        <v>9</v>
      </c>
      <c r="H1569" s="97" t="s">
        <v>42</v>
      </c>
      <c r="I1569" s="97">
        <v>159</v>
      </c>
      <c r="J1569" s="97">
        <v>0</v>
      </c>
      <c r="K1569" s="97">
        <f t="shared" si="24"/>
        <v>0</v>
      </c>
      <c r="L1569" s="97">
        <f>_xlfn.XLOOKUP(E1569,Emp_Data!$B$2:$B$9,Emp_Data!$A$2:$A$9)</f>
        <v>3</v>
      </c>
    </row>
    <row r="1570" spans="1:12">
      <c r="A1570" s="99">
        <v>1712</v>
      </c>
      <c r="B1570" s="101">
        <v>44753</v>
      </c>
      <c r="C1570" s="96">
        <v>5</v>
      </c>
      <c r="D1570" s="104" t="s">
        <v>16</v>
      </c>
      <c r="E1570" s="97" t="s">
        <v>14</v>
      </c>
      <c r="F1570" s="97" t="str">
        <f>VLOOKUP(E1570,Emp_Data!$B$2:$C$9,2,)</f>
        <v>Jeff</v>
      </c>
      <c r="G1570" s="97" t="s">
        <v>15</v>
      </c>
      <c r="H1570" s="97" t="s">
        <v>42</v>
      </c>
      <c r="I1570" s="97">
        <v>159</v>
      </c>
      <c r="J1570" s="97">
        <v>7</v>
      </c>
      <c r="K1570" s="97">
        <f t="shared" si="24"/>
        <v>1113</v>
      </c>
      <c r="L1570" s="97">
        <f>_xlfn.XLOOKUP(E1570,Emp_Data!$B$2:$B$9,Emp_Data!$A$2:$A$9)</f>
        <v>2</v>
      </c>
    </row>
    <row r="1571" spans="1:12">
      <c r="A1571" s="99">
        <v>1718</v>
      </c>
      <c r="B1571" s="101">
        <v>44754</v>
      </c>
      <c r="C1571" s="96">
        <v>7</v>
      </c>
      <c r="D1571" s="104" t="s">
        <v>28</v>
      </c>
      <c r="E1571" s="97" t="s">
        <v>27</v>
      </c>
      <c r="F1571" s="97" t="str">
        <f>VLOOKUP(E1571,Emp_Data!$B$2:$C$9,2,)</f>
        <v>Philip</v>
      </c>
      <c r="G1571" s="97" t="s">
        <v>12</v>
      </c>
      <c r="H1571" s="97" t="s">
        <v>42</v>
      </c>
      <c r="I1571" s="97">
        <v>159</v>
      </c>
      <c r="J1571" s="97">
        <v>8</v>
      </c>
      <c r="K1571" s="97">
        <f t="shared" si="24"/>
        <v>1272</v>
      </c>
      <c r="L1571" s="97">
        <f>_xlfn.XLOOKUP(E1571,Emp_Data!$B$2:$B$9,Emp_Data!$A$2:$A$9)</f>
        <v>8</v>
      </c>
    </row>
    <row r="1572" spans="1:12">
      <c r="A1572" s="99">
        <v>1724</v>
      </c>
      <c r="B1572" s="101">
        <v>44756</v>
      </c>
      <c r="C1572" s="96">
        <v>20</v>
      </c>
      <c r="D1572" s="104" t="s">
        <v>7</v>
      </c>
      <c r="E1572" s="97" t="s">
        <v>25</v>
      </c>
      <c r="F1572" s="97" t="str">
        <f>VLOOKUP(E1572,Emp_Data!$B$2:$C$9,2,)</f>
        <v>Jeff</v>
      </c>
      <c r="G1572" s="97" t="s">
        <v>9</v>
      </c>
      <c r="H1572" s="97" t="s">
        <v>42</v>
      </c>
      <c r="I1572" s="97">
        <v>159</v>
      </c>
      <c r="J1572" s="97">
        <v>1</v>
      </c>
      <c r="K1572" s="97">
        <f t="shared" si="24"/>
        <v>159</v>
      </c>
      <c r="L1572" s="97">
        <f>_xlfn.XLOOKUP(E1572,Emp_Data!$B$2:$B$9,Emp_Data!$A$2:$A$9)</f>
        <v>5</v>
      </c>
    </row>
    <row r="1573" spans="1:12">
      <c r="A1573" s="99">
        <v>1728</v>
      </c>
      <c r="B1573" s="101">
        <v>44757</v>
      </c>
      <c r="C1573" s="96">
        <v>16</v>
      </c>
      <c r="D1573" s="104" t="s">
        <v>37</v>
      </c>
      <c r="E1573" s="97" t="s">
        <v>25</v>
      </c>
      <c r="F1573" s="97" t="str">
        <f>VLOOKUP(E1573,Emp_Data!$B$2:$C$9,2,)</f>
        <v>Jeff</v>
      </c>
      <c r="G1573" s="97" t="s">
        <v>9</v>
      </c>
      <c r="H1573" s="97" t="s">
        <v>42</v>
      </c>
      <c r="I1573" s="97">
        <v>159</v>
      </c>
      <c r="J1573" s="97">
        <v>3</v>
      </c>
      <c r="K1573" s="97">
        <f t="shared" si="24"/>
        <v>477</v>
      </c>
      <c r="L1573" s="97">
        <f>_xlfn.XLOOKUP(E1573,Emp_Data!$B$2:$B$9,Emp_Data!$A$2:$A$9)</f>
        <v>5</v>
      </c>
    </row>
    <row r="1574" spans="1:12">
      <c r="A1574" s="99">
        <v>1729</v>
      </c>
      <c r="B1574" s="101">
        <v>44757</v>
      </c>
      <c r="C1574" s="96">
        <v>2</v>
      </c>
      <c r="D1574" s="104" t="s">
        <v>35</v>
      </c>
      <c r="E1574" s="97" t="s">
        <v>14</v>
      </c>
      <c r="F1574" s="97" t="str">
        <f>VLOOKUP(E1574,Emp_Data!$B$2:$C$9,2,)</f>
        <v>Jeff</v>
      </c>
      <c r="G1574" s="97" t="s">
        <v>15</v>
      </c>
      <c r="H1574" s="97" t="s">
        <v>42</v>
      </c>
      <c r="I1574" s="97">
        <v>159</v>
      </c>
      <c r="J1574" s="97">
        <v>4</v>
      </c>
      <c r="K1574" s="97">
        <f t="shared" si="24"/>
        <v>636</v>
      </c>
      <c r="L1574" s="97">
        <f>_xlfn.XLOOKUP(E1574,Emp_Data!$B$2:$B$9,Emp_Data!$A$2:$A$9)</f>
        <v>2</v>
      </c>
    </row>
    <row r="1575" spans="1:12">
      <c r="A1575" s="99">
        <v>1733</v>
      </c>
      <c r="B1575" s="101">
        <v>44759</v>
      </c>
      <c r="C1575" s="96">
        <v>5</v>
      </c>
      <c r="D1575" s="104" t="s">
        <v>16</v>
      </c>
      <c r="E1575" s="97" t="s">
        <v>14</v>
      </c>
      <c r="F1575" s="97" t="str">
        <f>VLOOKUP(E1575,Emp_Data!$B$2:$C$9,2,)</f>
        <v>Jeff</v>
      </c>
      <c r="G1575" s="97" t="s">
        <v>15</v>
      </c>
      <c r="H1575" s="97" t="s">
        <v>42</v>
      </c>
      <c r="I1575" s="97">
        <v>159</v>
      </c>
      <c r="J1575" s="97">
        <v>9</v>
      </c>
      <c r="K1575" s="97">
        <f t="shared" si="24"/>
        <v>1431</v>
      </c>
      <c r="L1575" s="97">
        <f>_xlfn.XLOOKUP(E1575,Emp_Data!$B$2:$B$9,Emp_Data!$A$2:$A$9)</f>
        <v>2</v>
      </c>
    </row>
    <row r="1576" spans="1:12">
      <c r="A1576" s="99">
        <v>1738</v>
      </c>
      <c r="B1576" s="101">
        <v>44761</v>
      </c>
      <c r="C1576" s="96">
        <v>18</v>
      </c>
      <c r="D1576" s="104" t="s">
        <v>30</v>
      </c>
      <c r="E1576" s="97" t="s">
        <v>8</v>
      </c>
      <c r="F1576" s="97" t="str">
        <f>VLOOKUP(E1576,Emp_Data!$B$2:$C$9,2,)</f>
        <v>Jeff</v>
      </c>
      <c r="G1576" s="97" t="s">
        <v>9</v>
      </c>
      <c r="H1576" s="97" t="s">
        <v>42</v>
      </c>
      <c r="I1576" s="97">
        <v>159</v>
      </c>
      <c r="J1576" s="97">
        <v>6</v>
      </c>
      <c r="K1576" s="97">
        <f t="shared" si="24"/>
        <v>954</v>
      </c>
      <c r="L1576" s="97">
        <f>_xlfn.XLOOKUP(E1576,Emp_Data!$B$2:$B$9,Emp_Data!$A$2:$A$9)</f>
        <v>3</v>
      </c>
    </row>
    <row r="1577" spans="1:12">
      <c r="A1577" s="99">
        <v>1759</v>
      </c>
      <c r="B1577" s="101">
        <v>44768</v>
      </c>
      <c r="C1577" s="96">
        <v>18</v>
      </c>
      <c r="D1577" s="104" t="s">
        <v>30</v>
      </c>
      <c r="E1577" s="97" t="s">
        <v>8</v>
      </c>
      <c r="F1577" s="97" t="str">
        <f>VLOOKUP(E1577,Emp_Data!$B$2:$C$9,2,)</f>
        <v>Jeff</v>
      </c>
      <c r="G1577" s="97" t="s">
        <v>9</v>
      </c>
      <c r="H1577" s="97" t="s">
        <v>42</v>
      </c>
      <c r="I1577" s="97">
        <v>159</v>
      </c>
      <c r="J1577" s="97">
        <v>5</v>
      </c>
      <c r="K1577" s="97">
        <f t="shared" si="24"/>
        <v>795</v>
      </c>
      <c r="L1577" s="97">
        <f>_xlfn.XLOOKUP(E1577,Emp_Data!$B$2:$B$9,Emp_Data!$A$2:$A$9)</f>
        <v>3</v>
      </c>
    </row>
    <row r="1578" spans="1:12">
      <c r="A1578" s="99">
        <v>1768</v>
      </c>
      <c r="B1578" s="101">
        <v>44774</v>
      </c>
      <c r="C1578" s="96">
        <v>15</v>
      </c>
      <c r="D1578" s="104" t="s">
        <v>29</v>
      </c>
      <c r="E1578" s="97" t="s">
        <v>24</v>
      </c>
      <c r="F1578" s="97" t="str">
        <f>VLOOKUP(E1578,Emp_Data!$B$2:$C$9,2,)</f>
        <v>Steve</v>
      </c>
      <c r="G1578" s="97" t="s">
        <v>19</v>
      </c>
      <c r="H1578" s="97" t="s">
        <v>42</v>
      </c>
      <c r="I1578" s="97">
        <v>159</v>
      </c>
      <c r="J1578" s="97">
        <v>1</v>
      </c>
      <c r="K1578" s="97">
        <f t="shared" si="24"/>
        <v>159</v>
      </c>
      <c r="L1578" s="97">
        <f>_xlfn.XLOOKUP(E1578,Emp_Data!$B$2:$B$9,Emp_Data!$A$2:$A$9)</f>
        <v>6</v>
      </c>
    </row>
    <row r="1579" spans="1:12">
      <c r="A1579" s="99">
        <v>1770</v>
      </c>
      <c r="B1579" s="101">
        <v>44776</v>
      </c>
      <c r="C1579" s="96">
        <v>1</v>
      </c>
      <c r="D1579" s="104" t="s">
        <v>31</v>
      </c>
      <c r="E1579" s="97" t="s">
        <v>21</v>
      </c>
      <c r="F1579" s="97" t="str">
        <f>VLOOKUP(E1579,Emp_Data!$B$2:$C$9,2,)</f>
        <v>Sara</v>
      </c>
      <c r="G1579" s="97" t="s">
        <v>15</v>
      </c>
      <c r="H1579" s="97" t="s">
        <v>42</v>
      </c>
      <c r="I1579" s="97">
        <v>159</v>
      </c>
      <c r="J1579" s="97">
        <v>8</v>
      </c>
      <c r="K1579" s="97">
        <f t="shared" si="24"/>
        <v>1272</v>
      </c>
      <c r="L1579" s="97">
        <f>_xlfn.XLOOKUP(E1579,Emp_Data!$B$2:$B$9,Emp_Data!$A$2:$A$9)</f>
        <v>2</v>
      </c>
    </row>
    <row r="1580" spans="1:12">
      <c r="A1580" s="99">
        <v>1778</v>
      </c>
      <c r="B1580" s="101">
        <v>44780</v>
      </c>
      <c r="C1580" s="96">
        <v>2</v>
      </c>
      <c r="D1580" s="104" t="s">
        <v>35</v>
      </c>
      <c r="E1580" s="97" t="s">
        <v>14</v>
      </c>
      <c r="F1580" s="97" t="str">
        <f>VLOOKUP(E1580,Emp_Data!$B$2:$C$9,2,)</f>
        <v>Jeff</v>
      </c>
      <c r="G1580" s="97" t="s">
        <v>15</v>
      </c>
      <c r="H1580" s="97" t="s">
        <v>42</v>
      </c>
      <c r="I1580" s="97">
        <v>159</v>
      </c>
      <c r="J1580" s="97">
        <v>6</v>
      </c>
      <c r="K1580" s="97">
        <f t="shared" si="24"/>
        <v>954</v>
      </c>
      <c r="L1580" s="97">
        <f>_xlfn.XLOOKUP(E1580,Emp_Data!$B$2:$B$9,Emp_Data!$A$2:$A$9)</f>
        <v>2</v>
      </c>
    </row>
    <row r="1581" spans="1:12">
      <c r="A1581" s="99">
        <v>1779</v>
      </c>
      <c r="B1581" s="101">
        <v>44780</v>
      </c>
      <c r="C1581" s="96">
        <v>10</v>
      </c>
      <c r="D1581" s="104" t="s">
        <v>34</v>
      </c>
      <c r="E1581" s="97" t="s">
        <v>27</v>
      </c>
      <c r="F1581" s="97" t="str">
        <f>VLOOKUP(E1581,Emp_Data!$B$2:$C$9,2,)</f>
        <v>Philip</v>
      </c>
      <c r="G1581" s="97" t="s">
        <v>12</v>
      </c>
      <c r="H1581" s="97" t="s">
        <v>42</v>
      </c>
      <c r="I1581" s="97">
        <v>159</v>
      </c>
      <c r="J1581" s="97">
        <v>3</v>
      </c>
      <c r="K1581" s="97">
        <f t="shared" si="24"/>
        <v>477</v>
      </c>
      <c r="L1581" s="97">
        <f>_xlfn.XLOOKUP(E1581,Emp_Data!$B$2:$B$9,Emp_Data!$A$2:$A$9)</f>
        <v>8</v>
      </c>
    </row>
    <row r="1582" spans="1:12">
      <c r="A1582" s="99">
        <v>1784</v>
      </c>
      <c r="B1582" s="101">
        <v>44781</v>
      </c>
      <c r="C1582" s="96">
        <v>14</v>
      </c>
      <c r="D1582" s="104" t="s">
        <v>33</v>
      </c>
      <c r="E1582" s="97" t="s">
        <v>18</v>
      </c>
      <c r="F1582" s="97" t="str">
        <f>VLOOKUP(E1582,Emp_Data!$B$2:$C$9,2,)</f>
        <v>Sara</v>
      </c>
      <c r="G1582" s="97" t="s">
        <v>19</v>
      </c>
      <c r="H1582" s="97" t="s">
        <v>42</v>
      </c>
      <c r="I1582" s="97">
        <v>159</v>
      </c>
      <c r="J1582" s="97">
        <v>1</v>
      </c>
      <c r="K1582" s="97">
        <f t="shared" si="24"/>
        <v>159</v>
      </c>
      <c r="L1582" s="97">
        <f>_xlfn.XLOOKUP(E1582,Emp_Data!$B$2:$B$9,Emp_Data!$A$2:$A$9)</f>
        <v>5</v>
      </c>
    </row>
    <row r="1583" spans="1:12">
      <c r="A1583" s="99">
        <v>1790</v>
      </c>
      <c r="B1583" s="101">
        <v>44783</v>
      </c>
      <c r="C1583" s="96">
        <v>14</v>
      </c>
      <c r="D1583" s="104" t="s">
        <v>33</v>
      </c>
      <c r="E1583" s="97" t="s">
        <v>24</v>
      </c>
      <c r="F1583" s="97" t="str">
        <f>VLOOKUP(E1583,Emp_Data!$B$2:$C$9,2,)</f>
        <v>Steve</v>
      </c>
      <c r="G1583" s="97" t="s">
        <v>19</v>
      </c>
      <c r="H1583" s="97" t="s">
        <v>42</v>
      </c>
      <c r="I1583" s="97">
        <v>159</v>
      </c>
      <c r="J1583" s="97">
        <v>8</v>
      </c>
      <c r="K1583" s="97">
        <f t="shared" si="24"/>
        <v>1272</v>
      </c>
      <c r="L1583" s="97">
        <f>_xlfn.XLOOKUP(E1583,Emp_Data!$B$2:$B$9,Emp_Data!$A$2:$A$9)</f>
        <v>6</v>
      </c>
    </row>
    <row r="1584" spans="1:12">
      <c r="A1584" s="99">
        <v>1805</v>
      </c>
      <c r="B1584" s="101">
        <v>44785</v>
      </c>
      <c r="C1584" s="96">
        <v>13</v>
      </c>
      <c r="D1584" s="104" t="s">
        <v>23</v>
      </c>
      <c r="E1584" s="97" t="s">
        <v>24</v>
      </c>
      <c r="F1584" s="97" t="str">
        <f>VLOOKUP(E1584,Emp_Data!$B$2:$C$9,2,)</f>
        <v>Steve</v>
      </c>
      <c r="G1584" s="97" t="s">
        <v>19</v>
      </c>
      <c r="H1584" s="97" t="s">
        <v>42</v>
      </c>
      <c r="I1584" s="97">
        <v>159</v>
      </c>
      <c r="J1584" s="97">
        <v>3</v>
      </c>
      <c r="K1584" s="97">
        <f t="shared" si="24"/>
        <v>477</v>
      </c>
      <c r="L1584" s="97">
        <f>_xlfn.XLOOKUP(E1584,Emp_Data!$B$2:$B$9,Emp_Data!$A$2:$A$9)</f>
        <v>6</v>
      </c>
    </row>
    <row r="1585" spans="1:12">
      <c r="A1585" s="99">
        <v>1813</v>
      </c>
      <c r="B1585" s="101">
        <v>44788</v>
      </c>
      <c r="C1585" s="96">
        <v>6</v>
      </c>
      <c r="D1585" s="104" t="s">
        <v>10</v>
      </c>
      <c r="E1585" s="97" t="s">
        <v>27</v>
      </c>
      <c r="F1585" s="97" t="str">
        <f>VLOOKUP(E1585,Emp_Data!$B$2:$C$9,2,)</f>
        <v>Philip</v>
      </c>
      <c r="G1585" s="97" t="s">
        <v>12</v>
      </c>
      <c r="H1585" s="97" t="s">
        <v>42</v>
      </c>
      <c r="I1585" s="97">
        <v>159</v>
      </c>
      <c r="J1585" s="97">
        <v>6</v>
      </c>
      <c r="K1585" s="97">
        <f t="shared" si="24"/>
        <v>954</v>
      </c>
      <c r="L1585" s="97">
        <f>_xlfn.XLOOKUP(E1585,Emp_Data!$B$2:$B$9,Emp_Data!$A$2:$A$9)</f>
        <v>8</v>
      </c>
    </row>
    <row r="1586" spans="1:12">
      <c r="A1586" s="99">
        <v>1814</v>
      </c>
      <c r="B1586" s="101">
        <v>44788</v>
      </c>
      <c r="C1586" s="96">
        <v>9</v>
      </c>
      <c r="D1586" s="104" t="s">
        <v>26</v>
      </c>
      <c r="E1586" s="97" t="s">
        <v>27</v>
      </c>
      <c r="F1586" s="97" t="str">
        <f>VLOOKUP(E1586,Emp_Data!$B$2:$C$9,2,)</f>
        <v>Philip</v>
      </c>
      <c r="G1586" s="97" t="s">
        <v>12</v>
      </c>
      <c r="H1586" s="97" t="s">
        <v>42</v>
      </c>
      <c r="I1586" s="97">
        <v>159</v>
      </c>
      <c r="J1586" s="97">
        <v>6</v>
      </c>
      <c r="K1586" s="97">
        <f t="shared" si="24"/>
        <v>954</v>
      </c>
      <c r="L1586" s="97">
        <f>_xlfn.XLOOKUP(E1586,Emp_Data!$B$2:$B$9,Emp_Data!$A$2:$A$9)</f>
        <v>8</v>
      </c>
    </row>
    <row r="1587" spans="1:12">
      <c r="A1587" s="99">
        <v>1816</v>
      </c>
      <c r="B1587" s="101">
        <v>44790</v>
      </c>
      <c r="C1587" s="96">
        <v>10</v>
      </c>
      <c r="D1587" s="104" t="s">
        <v>34</v>
      </c>
      <c r="E1587" s="97" t="s">
        <v>27</v>
      </c>
      <c r="F1587" s="97" t="str">
        <f>VLOOKUP(E1587,Emp_Data!$B$2:$C$9,2,)</f>
        <v>Philip</v>
      </c>
      <c r="G1587" s="97" t="s">
        <v>12</v>
      </c>
      <c r="H1587" s="97" t="s">
        <v>42</v>
      </c>
      <c r="I1587" s="97">
        <v>159</v>
      </c>
      <c r="J1587" s="97">
        <v>9</v>
      </c>
      <c r="K1587" s="97">
        <f t="shared" si="24"/>
        <v>1431</v>
      </c>
      <c r="L1587" s="97">
        <f>_xlfn.XLOOKUP(E1587,Emp_Data!$B$2:$B$9,Emp_Data!$A$2:$A$9)</f>
        <v>8</v>
      </c>
    </row>
    <row r="1588" spans="1:12">
      <c r="A1588" s="99">
        <v>1824</v>
      </c>
      <c r="B1588" s="101">
        <v>44791</v>
      </c>
      <c r="C1588" s="96">
        <v>15</v>
      </c>
      <c r="D1588" s="104" t="s">
        <v>29</v>
      </c>
      <c r="E1588" s="97" t="s">
        <v>18</v>
      </c>
      <c r="F1588" s="97" t="str">
        <f>VLOOKUP(E1588,Emp_Data!$B$2:$C$9,2,)</f>
        <v>Sara</v>
      </c>
      <c r="G1588" s="97" t="s">
        <v>19</v>
      </c>
      <c r="H1588" s="97" t="s">
        <v>42</v>
      </c>
      <c r="I1588" s="97">
        <v>159</v>
      </c>
      <c r="J1588" s="97">
        <v>3</v>
      </c>
      <c r="K1588" s="97">
        <f t="shared" si="24"/>
        <v>477</v>
      </c>
      <c r="L1588" s="97">
        <f>_xlfn.XLOOKUP(E1588,Emp_Data!$B$2:$B$9,Emp_Data!$A$2:$A$9)</f>
        <v>5</v>
      </c>
    </row>
    <row r="1589" spans="1:12">
      <c r="A1589" s="99">
        <v>1832</v>
      </c>
      <c r="B1589" s="101">
        <v>44794</v>
      </c>
      <c r="C1589" s="96">
        <v>14</v>
      </c>
      <c r="D1589" s="104" t="s">
        <v>33</v>
      </c>
      <c r="E1589" s="97" t="s">
        <v>24</v>
      </c>
      <c r="F1589" s="97" t="str">
        <f>VLOOKUP(E1589,Emp_Data!$B$2:$C$9,2,)</f>
        <v>Steve</v>
      </c>
      <c r="G1589" s="97" t="s">
        <v>19</v>
      </c>
      <c r="H1589" s="97" t="s">
        <v>42</v>
      </c>
      <c r="I1589" s="97">
        <v>159</v>
      </c>
      <c r="J1589" s="97">
        <v>1</v>
      </c>
      <c r="K1589" s="97">
        <f t="shared" si="24"/>
        <v>159</v>
      </c>
      <c r="L1589" s="97">
        <f>_xlfn.XLOOKUP(E1589,Emp_Data!$B$2:$B$9,Emp_Data!$A$2:$A$9)</f>
        <v>6</v>
      </c>
    </row>
    <row r="1590" spans="1:12">
      <c r="A1590" s="99">
        <v>1842</v>
      </c>
      <c r="B1590" s="101">
        <v>44795</v>
      </c>
      <c r="C1590" s="96">
        <v>2</v>
      </c>
      <c r="D1590" s="104" t="s">
        <v>35</v>
      </c>
      <c r="E1590" s="97" t="s">
        <v>14</v>
      </c>
      <c r="F1590" s="97" t="str">
        <f>VLOOKUP(E1590,Emp_Data!$B$2:$C$9,2,)</f>
        <v>Jeff</v>
      </c>
      <c r="G1590" s="97" t="s">
        <v>15</v>
      </c>
      <c r="H1590" s="97" t="s">
        <v>42</v>
      </c>
      <c r="I1590" s="97">
        <v>159</v>
      </c>
      <c r="J1590" s="97">
        <v>3</v>
      </c>
      <c r="K1590" s="97">
        <f t="shared" si="24"/>
        <v>477</v>
      </c>
      <c r="L1590" s="97">
        <f>_xlfn.XLOOKUP(E1590,Emp_Data!$B$2:$B$9,Emp_Data!$A$2:$A$9)</f>
        <v>2</v>
      </c>
    </row>
    <row r="1591" spans="1:12">
      <c r="A1591" s="99">
        <v>1845</v>
      </c>
      <c r="B1591" s="101">
        <v>44795</v>
      </c>
      <c r="C1591" s="96">
        <v>5</v>
      </c>
      <c r="D1591" s="104" t="s">
        <v>16</v>
      </c>
      <c r="E1591" s="97" t="s">
        <v>21</v>
      </c>
      <c r="F1591" s="97" t="str">
        <f>VLOOKUP(E1591,Emp_Data!$B$2:$C$9,2,)</f>
        <v>Sara</v>
      </c>
      <c r="G1591" s="97" t="s">
        <v>15</v>
      </c>
      <c r="H1591" s="97" t="s">
        <v>42</v>
      </c>
      <c r="I1591" s="97">
        <v>159</v>
      </c>
      <c r="J1591" s="97">
        <v>2</v>
      </c>
      <c r="K1591" s="97">
        <f t="shared" si="24"/>
        <v>318</v>
      </c>
      <c r="L1591" s="97">
        <f>_xlfn.XLOOKUP(E1591,Emp_Data!$B$2:$B$9,Emp_Data!$A$2:$A$9)</f>
        <v>2</v>
      </c>
    </row>
    <row r="1592" spans="1:12">
      <c r="A1592" s="99">
        <v>1846</v>
      </c>
      <c r="B1592" s="101">
        <v>44796</v>
      </c>
      <c r="C1592" s="96">
        <v>7</v>
      </c>
      <c r="D1592" s="104" t="s">
        <v>28</v>
      </c>
      <c r="E1592" s="97" t="s">
        <v>27</v>
      </c>
      <c r="F1592" s="97" t="str">
        <f>VLOOKUP(E1592,Emp_Data!$B$2:$C$9,2,)</f>
        <v>Philip</v>
      </c>
      <c r="G1592" s="97" t="s">
        <v>12</v>
      </c>
      <c r="H1592" s="97" t="s">
        <v>42</v>
      </c>
      <c r="I1592" s="97">
        <v>159</v>
      </c>
      <c r="J1592" s="97">
        <v>1</v>
      </c>
      <c r="K1592" s="97">
        <f t="shared" si="24"/>
        <v>159</v>
      </c>
      <c r="L1592" s="97">
        <f>_xlfn.XLOOKUP(E1592,Emp_Data!$B$2:$B$9,Emp_Data!$A$2:$A$9)</f>
        <v>8</v>
      </c>
    </row>
    <row r="1593" spans="1:12">
      <c r="A1593" s="99">
        <v>1847</v>
      </c>
      <c r="B1593" s="101">
        <v>44796</v>
      </c>
      <c r="C1593" s="96">
        <v>2</v>
      </c>
      <c r="D1593" s="104" t="s">
        <v>35</v>
      </c>
      <c r="E1593" s="97" t="s">
        <v>14</v>
      </c>
      <c r="F1593" s="97" t="str">
        <f>VLOOKUP(E1593,Emp_Data!$B$2:$C$9,2,)</f>
        <v>Jeff</v>
      </c>
      <c r="G1593" s="97" t="s">
        <v>15</v>
      </c>
      <c r="H1593" s="97" t="s">
        <v>42</v>
      </c>
      <c r="I1593" s="97">
        <v>159</v>
      </c>
      <c r="J1593" s="97">
        <v>6</v>
      </c>
      <c r="K1593" s="97">
        <f t="shared" si="24"/>
        <v>954</v>
      </c>
      <c r="L1593" s="97">
        <f>_xlfn.XLOOKUP(E1593,Emp_Data!$B$2:$B$9,Emp_Data!$A$2:$A$9)</f>
        <v>2</v>
      </c>
    </row>
    <row r="1594" spans="1:12">
      <c r="A1594" s="99">
        <v>1850</v>
      </c>
      <c r="B1594" s="101">
        <v>44798</v>
      </c>
      <c r="C1594" s="96">
        <v>4</v>
      </c>
      <c r="D1594" s="104" t="s">
        <v>13</v>
      </c>
      <c r="E1594" s="97" t="s">
        <v>21</v>
      </c>
      <c r="F1594" s="97" t="str">
        <f>VLOOKUP(E1594,Emp_Data!$B$2:$C$9,2,)</f>
        <v>Sara</v>
      </c>
      <c r="G1594" s="97" t="s">
        <v>15</v>
      </c>
      <c r="H1594" s="97" t="s">
        <v>42</v>
      </c>
      <c r="I1594" s="97">
        <v>159</v>
      </c>
      <c r="J1594" s="97">
        <v>1</v>
      </c>
      <c r="K1594" s="97">
        <f t="shared" si="24"/>
        <v>159</v>
      </c>
      <c r="L1594" s="97">
        <f>_xlfn.XLOOKUP(E1594,Emp_Data!$B$2:$B$9,Emp_Data!$A$2:$A$9)</f>
        <v>2</v>
      </c>
    </row>
    <row r="1595" spans="1:12">
      <c r="A1595" s="99">
        <v>1854</v>
      </c>
      <c r="B1595" s="101">
        <v>44802</v>
      </c>
      <c r="C1595" s="96">
        <v>16</v>
      </c>
      <c r="D1595" s="104" t="s">
        <v>37</v>
      </c>
      <c r="E1595" s="97" t="s">
        <v>25</v>
      </c>
      <c r="F1595" s="97" t="str">
        <f>VLOOKUP(E1595,Emp_Data!$B$2:$C$9,2,)</f>
        <v>Jeff</v>
      </c>
      <c r="G1595" s="97" t="s">
        <v>9</v>
      </c>
      <c r="H1595" s="97" t="s">
        <v>42</v>
      </c>
      <c r="I1595" s="97">
        <v>159</v>
      </c>
      <c r="J1595" s="97">
        <v>8</v>
      </c>
      <c r="K1595" s="97">
        <f t="shared" si="24"/>
        <v>1272</v>
      </c>
      <c r="L1595" s="97">
        <f>_xlfn.XLOOKUP(E1595,Emp_Data!$B$2:$B$9,Emp_Data!$A$2:$A$9)</f>
        <v>5</v>
      </c>
    </row>
    <row r="1596" spans="1:12">
      <c r="A1596" s="99">
        <v>1855</v>
      </c>
      <c r="B1596" s="101">
        <v>44802</v>
      </c>
      <c r="C1596" s="96">
        <v>4</v>
      </c>
      <c r="D1596" s="104" t="s">
        <v>13</v>
      </c>
      <c r="E1596" s="97" t="s">
        <v>21</v>
      </c>
      <c r="F1596" s="97" t="str">
        <f>VLOOKUP(E1596,Emp_Data!$B$2:$C$9,2,)</f>
        <v>Sara</v>
      </c>
      <c r="G1596" s="97" t="s">
        <v>15</v>
      </c>
      <c r="H1596" s="97" t="s">
        <v>42</v>
      </c>
      <c r="I1596" s="97">
        <v>159</v>
      </c>
      <c r="J1596" s="97">
        <v>0</v>
      </c>
      <c r="K1596" s="97">
        <f t="shared" si="24"/>
        <v>0</v>
      </c>
      <c r="L1596" s="97">
        <f>_xlfn.XLOOKUP(E1596,Emp_Data!$B$2:$B$9,Emp_Data!$A$2:$A$9)</f>
        <v>2</v>
      </c>
    </row>
    <row r="1597" spans="1:12">
      <c r="A1597" s="99">
        <v>1856</v>
      </c>
      <c r="B1597" s="101">
        <v>44803</v>
      </c>
      <c r="C1597" s="96">
        <v>19</v>
      </c>
      <c r="D1597" s="104" t="s">
        <v>22</v>
      </c>
      <c r="E1597" s="97" t="s">
        <v>8</v>
      </c>
      <c r="F1597" s="97" t="str">
        <f>VLOOKUP(E1597,Emp_Data!$B$2:$C$9,2,)</f>
        <v>Jeff</v>
      </c>
      <c r="G1597" s="97" t="s">
        <v>9</v>
      </c>
      <c r="H1597" s="97" t="s">
        <v>42</v>
      </c>
      <c r="I1597" s="97">
        <v>159</v>
      </c>
      <c r="J1597" s="97">
        <v>7</v>
      </c>
      <c r="K1597" s="97">
        <f t="shared" si="24"/>
        <v>1113</v>
      </c>
      <c r="L1597" s="97">
        <f>_xlfn.XLOOKUP(E1597,Emp_Data!$B$2:$B$9,Emp_Data!$A$2:$A$9)</f>
        <v>3</v>
      </c>
    </row>
    <row r="1598" spans="1:12">
      <c r="A1598" s="99">
        <v>1871</v>
      </c>
      <c r="B1598" s="101">
        <v>44808</v>
      </c>
      <c r="C1598" s="96">
        <v>20</v>
      </c>
      <c r="D1598" s="104" t="s">
        <v>7</v>
      </c>
      <c r="E1598" s="97" t="s">
        <v>25</v>
      </c>
      <c r="F1598" s="97" t="str">
        <f>VLOOKUP(E1598,Emp_Data!$B$2:$C$9,2,)</f>
        <v>Jeff</v>
      </c>
      <c r="G1598" s="97" t="s">
        <v>9</v>
      </c>
      <c r="H1598" s="97" t="s">
        <v>42</v>
      </c>
      <c r="I1598" s="97">
        <v>159</v>
      </c>
      <c r="J1598" s="97">
        <v>4</v>
      </c>
      <c r="K1598" s="97">
        <f t="shared" si="24"/>
        <v>636</v>
      </c>
      <c r="L1598" s="97">
        <f>_xlfn.XLOOKUP(E1598,Emp_Data!$B$2:$B$9,Emp_Data!$A$2:$A$9)</f>
        <v>5</v>
      </c>
    </row>
    <row r="1599" spans="1:12">
      <c r="A1599" s="99">
        <v>1875</v>
      </c>
      <c r="B1599" s="101">
        <v>44810</v>
      </c>
      <c r="C1599" s="96">
        <v>3</v>
      </c>
      <c r="D1599" s="104" t="s">
        <v>20</v>
      </c>
      <c r="E1599" s="97" t="s">
        <v>21</v>
      </c>
      <c r="F1599" s="97" t="str">
        <f>VLOOKUP(E1599,Emp_Data!$B$2:$C$9,2,)</f>
        <v>Sara</v>
      </c>
      <c r="G1599" s="97" t="s">
        <v>15</v>
      </c>
      <c r="H1599" s="97" t="s">
        <v>42</v>
      </c>
      <c r="I1599" s="97">
        <v>159</v>
      </c>
      <c r="J1599" s="97">
        <v>9</v>
      </c>
      <c r="K1599" s="97">
        <f t="shared" si="24"/>
        <v>1431</v>
      </c>
      <c r="L1599" s="97">
        <f>_xlfn.XLOOKUP(E1599,Emp_Data!$B$2:$B$9,Emp_Data!$A$2:$A$9)</f>
        <v>2</v>
      </c>
    </row>
    <row r="1600" spans="1:12">
      <c r="A1600" s="99">
        <v>1880</v>
      </c>
      <c r="B1600" s="101">
        <v>44810</v>
      </c>
      <c r="C1600" s="96">
        <v>11</v>
      </c>
      <c r="D1600" s="104" t="s">
        <v>38</v>
      </c>
      <c r="E1600" s="97" t="s">
        <v>18</v>
      </c>
      <c r="F1600" s="97" t="str">
        <f>VLOOKUP(E1600,Emp_Data!$B$2:$C$9,2,)</f>
        <v>Sara</v>
      </c>
      <c r="G1600" s="97" t="s">
        <v>19</v>
      </c>
      <c r="H1600" s="97" t="s">
        <v>42</v>
      </c>
      <c r="I1600" s="97">
        <v>159</v>
      </c>
      <c r="J1600" s="97">
        <v>3</v>
      </c>
      <c r="K1600" s="97">
        <f t="shared" si="24"/>
        <v>477</v>
      </c>
      <c r="L1600" s="97">
        <f>_xlfn.XLOOKUP(E1600,Emp_Data!$B$2:$B$9,Emp_Data!$A$2:$A$9)</f>
        <v>5</v>
      </c>
    </row>
    <row r="1601" spans="1:12">
      <c r="A1601" s="99">
        <v>1891</v>
      </c>
      <c r="B1601" s="101">
        <v>44814</v>
      </c>
      <c r="C1601" s="96">
        <v>17</v>
      </c>
      <c r="D1601" s="104" t="s">
        <v>32</v>
      </c>
      <c r="E1601" s="97" t="s">
        <v>8</v>
      </c>
      <c r="F1601" s="97" t="str">
        <f>VLOOKUP(E1601,Emp_Data!$B$2:$C$9,2,)</f>
        <v>Jeff</v>
      </c>
      <c r="G1601" s="97" t="s">
        <v>9</v>
      </c>
      <c r="H1601" s="97" t="s">
        <v>42</v>
      </c>
      <c r="I1601" s="97">
        <v>159</v>
      </c>
      <c r="J1601" s="97">
        <v>7</v>
      </c>
      <c r="K1601" s="97">
        <f t="shared" si="24"/>
        <v>1113</v>
      </c>
      <c r="L1601" s="97">
        <f>_xlfn.XLOOKUP(E1601,Emp_Data!$B$2:$B$9,Emp_Data!$A$2:$A$9)</f>
        <v>3</v>
      </c>
    </row>
    <row r="1602" spans="1:12">
      <c r="A1602" s="99">
        <v>1894</v>
      </c>
      <c r="B1602" s="101">
        <v>44816</v>
      </c>
      <c r="C1602" s="96">
        <v>8</v>
      </c>
      <c r="D1602" s="104" t="s">
        <v>36</v>
      </c>
      <c r="E1602" s="97" t="s">
        <v>11</v>
      </c>
      <c r="F1602" s="97" t="str">
        <f>VLOOKUP(E1602,Emp_Data!$B$2:$C$9,2,)</f>
        <v>Steve</v>
      </c>
      <c r="G1602" s="97" t="s">
        <v>12</v>
      </c>
      <c r="H1602" s="97" t="s">
        <v>42</v>
      </c>
      <c r="I1602" s="97">
        <v>159</v>
      </c>
      <c r="J1602" s="97">
        <v>0</v>
      </c>
      <c r="K1602" s="97">
        <f t="shared" si="24"/>
        <v>0</v>
      </c>
      <c r="L1602" s="97">
        <f>_xlfn.XLOOKUP(E1602,Emp_Data!$B$2:$B$9,Emp_Data!$A$2:$A$9)</f>
        <v>4</v>
      </c>
    </row>
    <row r="1603" spans="1:12">
      <c r="A1603" s="99">
        <v>1897</v>
      </c>
      <c r="B1603" s="101">
        <v>44816</v>
      </c>
      <c r="C1603" s="96">
        <v>1</v>
      </c>
      <c r="D1603" s="104" t="s">
        <v>31</v>
      </c>
      <c r="E1603" s="97" t="s">
        <v>14</v>
      </c>
      <c r="F1603" s="97" t="str">
        <f>VLOOKUP(E1603,Emp_Data!$B$2:$C$9,2,)</f>
        <v>Jeff</v>
      </c>
      <c r="G1603" s="97" t="s">
        <v>15</v>
      </c>
      <c r="H1603" s="97" t="s">
        <v>42</v>
      </c>
      <c r="I1603" s="97">
        <v>159</v>
      </c>
      <c r="J1603" s="97">
        <v>3</v>
      </c>
      <c r="K1603" s="97">
        <f t="shared" ref="K1603:K1666" si="25">SUMPRODUCT(I1603,J1603)</f>
        <v>477</v>
      </c>
      <c r="L1603" s="97">
        <f>_xlfn.XLOOKUP(E1603,Emp_Data!$B$2:$B$9,Emp_Data!$A$2:$A$9)</f>
        <v>2</v>
      </c>
    </row>
    <row r="1604" spans="1:12">
      <c r="A1604" s="99">
        <v>1910</v>
      </c>
      <c r="B1604" s="101">
        <v>44822</v>
      </c>
      <c r="C1604" s="96">
        <v>14</v>
      </c>
      <c r="D1604" s="104" t="s">
        <v>33</v>
      </c>
      <c r="E1604" s="97" t="s">
        <v>18</v>
      </c>
      <c r="F1604" s="97" t="str">
        <f>VLOOKUP(E1604,Emp_Data!$B$2:$C$9,2,)</f>
        <v>Sara</v>
      </c>
      <c r="G1604" s="97" t="s">
        <v>19</v>
      </c>
      <c r="H1604" s="97" t="s">
        <v>42</v>
      </c>
      <c r="I1604" s="97">
        <v>159</v>
      </c>
      <c r="J1604" s="97">
        <v>7</v>
      </c>
      <c r="K1604" s="97">
        <f t="shared" si="25"/>
        <v>1113</v>
      </c>
      <c r="L1604" s="97">
        <f>_xlfn.XLOOKUP(E1604,Emp_Data!$B$2:$B$9,Emp_Data!$A$2:$A$9)</f>
        <v>5</v>
      </c>
    </row>
    <row r="1605" spans="1:12">
      <c r="A1605" s="99">
        <v>1920</v>
      </c>
      <c r="B1605" s="101">
        <v>44824</v>
      </c>
      <c r="C1605" s="96">
        <v>10</v>
      </c>
      <c r="D1605" s="104" t="s">
        <v>34</v>
      </c>
      <c r="E1605" s="97" t="s">
        <v>11</v>
      </c>
      <c r="F1605" s="97" t="str">
        <f>VLOOKUP(E1605,Emp_Data!$B$2:$C$9,2,)</f>
        <v>Steve</v>
      </c>
      <c r="G1605" s="97" t="s">
        <v>12</v>
      </c>
      <c r="H1605" s="97" t="s">
        <v>42</v>
      </c>
      <c r="I1605" s="97">
        <v>159</v>
      </c>
      <c r="J1605" s="97">
        <v>9</v>
      </c>
      <c r="K1605" s="97">
        <f t="shared" si="25"/>
        <v>1431</v>
      </c>
      <c r="L1605" s="97">
        <f>_xlfn.XLOOKUP(E1605,Emp_Data!$B$2:$B$9,Emp_Data!$A$2:$A$9)</f>
        <v>4</v>
      </c>
    </row>
    <row r="1606" spans="1:12">
      <c r="A1606" s="99">
        <v>1923</v>
      </c>
      <c r="B1606" s="101">
        <v>44824</v>
      </c>
      <c r="C1606" s="96">
        <v>12</v>
      </c>
      <c r="D1606" s="104" t="s">
        <v>17</v>
      </c>
      <c r="E1606" s="97" t="s">
        <v>24</v>
      </c>
      <c r="F1606" s="97" t="str">
        <f>VLOOKUP(E1606,Emp_Data!$B$2:$C$9,2,)</f>
        <v>Steve</v>
      </c>
      <c r="G1606" s="97" t="s">
        <v>19</v>
      </c>
      <c r="H1606" s="97" t="s">
        <v>42</v>
      </c>
      <c r="I1606" s="97">
        <v>159</v>
      </c>
      <c r="J1606" s="97">
        <v>8</v>
      </c>
      <c r="K1606" s="97">
        <f t="shared" si="25"/>
        <v>1272</v>
      </c>
      <c r="L1606" s="97">
        <f>_xlfn.XLOOKUP(E1606,Emp_Data!$B$2:$B$9,Emp_Data!$A$2:$A$9)</f>
        <v>6</v>
      </c>
    </row>
    <row r="1607" spans="1:12">
      <c r="A1607" s="99">
        <v>1932</v>
      </c>
      <c r="B1607" s="101">
        <v>44828</v>
      </c>
      <c r="C1607" s="96">
        <v>7</v>
      </c>
      <c r="D1607" s="104" t="s">
        <v>28</v>
      </c>
      <c r="E1607" s="97" t="s">
        <v>27</v>
      </c>
      <c r="F1607" s="97" t="str">
        <f>VLOOKUP(E1607,Emp_Data!$B$2:$C$9,2,)</f>
        <v>Philip</v>
      </c>
      <c r="G1607" s="97" t="s">
        <v>12</v>
      </c>
      <c r="H1607" s="97" t="s">
        <v>42</v>
      </c>
      <c r="I1607" s="97">
        <v>159</v>
      </c>
      <c r="J1607" s="97">
        <v>5</v>
      </c>
      <c r="K1607" s="97">
        <f t="shared" si="25"/>
        <v>795</v>
      </c>
      <c r="L1607" s="97">
        <f>_xlfn.XLOOKUP(E1607,Emp_Data!$B$2:$B$9,Emp_Data!$A$2:$A$9)</f>
        <v>8</v>
      </c>
    </row>
    <row r="1608" spans="1:12">
      <c r="A1608" s="99">
        <v>1933</v>
      </c>
      <c r="B1608" s="101">
        <v>44828</v>
      </c>
      <c r="C1608" s="96">
        <v>2</v>
      </c>
      <c r="D1608" s="104" t="s">
        <v>35</v>
      </c>
      <c r="E1608" s="97" t="s">
        <v>21</v>
      </c>
      <c r="F1608" s="97" t="str">
        <f>VLOOKUP(E1608,Emp_Data!$B$2:$C$9,2,)</f>
        <v>Sara</v>
      </c>
      <c r="G1608" s="97" t="s">
        <v>15</v>
      </c>
      <c r="H1608" s="97" t="s">
        <v>42</v>
      </c>
      <c r="I1608" s="97">
        <v>159</v>
      </c>
      <c r="J1608" s="97">
        <v>7</v>
      </c>
      <c r="K1608" s="97">
        <f t="shared" si="25"/>
        <v>1113</v>
      </c>
      <c r="L1608" s="97">
        <f>_xlfn.XLOOKUP(E1608,Emp_Data!$B$2:$B$9,Emp_Data!$A$2:$A$9)</f>
        <v>2</v>
      </c>
    </row>
    <row r="1609" spans="1:12">
      <c r="A1609" s="99">
        <v>1940</v>
      </c>
      <c r="B1609" s="101">
        <v>44832</v>
      </c>
      <c r="C1609" s="96">
        <v>12</v>
      </c>
      <c r="D1609" s="104" t="s">
        <v>17</v>
      </c>
      <c r="E1609" s="97" t="s">
        <v>18</v>
      </c>
      <c r="F1609" s="97" t="str">
        <f>VLOOKUP(E1609,Emp_Data!$B$2:$C$9,2,)</f>
        <v>Sara</v>
      </c>
      <c r="G1609" s="97" t="s">
        <v>19</v>
      </c>
      <c r="H1609" s="97" t="s">
        <v>42</v>
      </c>
      <c r="I1609" s="97">
        <v>159</v>
      </c>
      <c r="J1609" s="97">
        <v>1</v>
      </c>
      <c r="K1609" s="97">
        <f t="shared" si="25"/>
        <v>159</v>
      </c>
      <c r="L1609" s="97">
        <f>_xlfn.XLOOKUP(E1609,Emp_Data!$B$2:$B$9,Emp_Data!$A$2:$A$9)</f>
        <v>5</v>
      </c>
    </row>
    <row r="1610" spans="1:12">
      <c r="A1610" s="99">
        <v>1951</v>
      </c>
      <c r="B1610" s="101">
        <v>44835</v>
      </c>
      <c r="C1610" s="96">
        <v>20</v>
      </c>
      <c r="D1610" s="104" t="s">
        <v>7</v>
      </c>
      <c r="E1610" s="97" t="s">
        <v>25</v>
      </c>
      <c r="F1610" s="97" t="str">
        <f>VLOOKUP(E1610,Emp_Data!$B$2:$C$9,2,)</f>
        <v>Jeff</v>
      </c>
      <c r="G1610" s="97" t="s">
        <v>9</v>
      </c>
      <c r="H1610" s="97" t="s">
        <v>42</v>
      </c>
      <c r="I1610" s="97">
        <v>159</v>
      </c>
      <c r="J1610" s="97">
        <v>1</v>
      </c>
      <c r="K1610" s="97">
        <f t="shared" si="25"/>
        <v>159</v>
      </c>
      <c r="L1610" s="97">
        <f>_xlfn.XLOOKUP(E1610,Emp_Data!$B$2:$B$9,Emp_Data!$A$2:$A$9)</f>
        <v>5</v>
      </c>
    </row>
    <row r="1611" spans="1:12">
      <c r="A1611" s="99">
        <v>1956</v>
      </c>
      <c r="B1611" s="101">
        <v>44836</v>
      </c>
      <c r="C1611" s="96">
        <v>13</v>
      </c>
      <c r="D1611" s="104" t="s">
        <v>23</v>
      </c>
      <c r="E1611" s="97" t="s">
        <v>24</v>
      </c>
      <c r="F1611" s="97" t="str">
        <f>VLOOKUP(E1611,Emp_Data!$B$2:$C$9,2,)</f>
        <v>Steve</v>
      </c>
      <c r="G1611" s="97" t="s">
        <v>19</v>
      </c>
      <c r="H1611" s="97" t="s">
        <v>42</v>
      </c>
      <c r="I1611" s="97">
        <v>159</v>
      </c>
      <c r="J1611" s="97">
        <v>5</v>
      </c>
      <c r="K1611" s="97">
        <f t="shared" si="25"/>
        <v>795</v>
      </c>
      <c r="L1611" s="97">
        <f>_xlfn.XLOOKUP(E1611,Emp_Data!$B$2:$B$9,Emp_Data!$A$2:$A$9)</f>
        <v>6</v>
      </c>
    </row>
    <row r="1612" spans="1:12">
      <c r="A1612" s="99">
        <v>1960</v>
      </c>
      <c r="B1612" s="101">
        <v>44838</v>
      </c>
      <c r="C1612" s="96">
        <v>19</v>
      </c>
      <c r="D1612" s="104" t="s">
        <v>22</v>
      </c>
      <c r="E1612" s="97" t="s">
        <v>8</v>
      </c>
      <c r="F1612" s="97" t="str">
        <f>VLOOKUP(E1612,Emp_Data!$B$2:$C$9,2,)</f>
        <v>Jeff</v>
      </c>
      <c r="G1612" s="97" t="s">
        <v>9</v>
      </c>
      <c r="H1612" s="97" t="s">
        <v>42</v>
      </c>
      <c r="I1612" s="97">
        <v>159</v>
      </c>
      <c r="J1612" s="97">
        <v>3</v>
      </c>
      <c r="K1612" s="97">
        <f t="shared" si="25"/>
        <v>477</v>
      </c>
      <c r="L1612" s="97">
        <f>_xlfn.XLOOKUP(E1612,Emp_Data!$B$2:$B$9,Emp_Data!$A$2:$A$9)</f>
        <v>3</v>
      </c>
    </row>
    <row r="1613" spans="1:12">
      <c r="A1613" s="99">
        <v>1975</v>
      </c>
      <c r="B1613" s="101">
        <v>44841</v>
      </c>
      <c r="C1613" s="96">
        <v>6</v>
      </c>
      <c r="D1613" s="104" t="s">
        <v>10</v>
      </c>
      <c r="E1613" s="97" t="s">
        <v>27</v>
      </c>
      <c r="F1613" s="97" t="str">
        <f>VLOOKUP(E1613,Emp_Data!$B$2:$C$9,2,)</f>
        <v>Philip</v>
      </c>
      <c r="G1613" s="97" t="s">
        <v>12</v>
      </c>
      <c r="H1613" s="97" t="s">
        <v>42</v>
      </c>
      <c r="I1613" s="97">
        <v>159</v>
      </c>
      <c r="J1613" s="97">
        <v>4</v>
      </c>
      <c r="K1613" s="97">
        <f t="shared" si="25"/>
        <v>636</v>
      </c>
      <c r="L1613" s="97">
        <f>_xlfn.XLOOKUP(E1613,Emp_Data!$B$2:$B$9,Emp_Data!$A$2:$A$9)</f>
        <v>8</v>
      </c>
    </row>
    <row r="1614" spans="1:12">
      <c r="A1614" s="99">
        <v>1976</v>
      </c>
      <c r="B1614" s="101">
        <v>44841</v>
      </c>
      <c r="C1614" s="96">
        <v>15</v>
      </c>
      <c r="D1614" s="104" t="s">
        <v>29</v>
      </c>
      <c r="E1614" s="97" t="s">
        <v>18</v>
      </c>
      <c r="F1614" s="97" t="str">
        <f>VLOOKUP(E1614,Emp_Data!$B$2:$C$9,2,)</f>
        <v>Sara</v>
      </c>
      <c r="G1614" s="97" t="s">
        <v>19</v>
      </c>
      <c r="H1614" s="97" t="s">
        <v>42</v>
      </c>
      <c r="I1614" s="97">
        <v>159</v>
      </c>
      <c r="J1614" s="97">
        <v>1</v>
      </c>
      <c r="K1614" s="97">
        <f t="shared" si="25"/>
        <v>159</v>
      </c>
      <c r="L1614" s="97">
        <f>_xlfn.XLOOKUP(E1614,Emp_Data!$B$2:$B$9,Emp_Data!$A$2:$A$9)</f>
        <v>5</v>
      </c>
    </row>
    <row r="1615" spans="1:12">
      <c r="A1615" s="99">
        <v>1977</v>
      </c>
      <c r="B1615" s="101">
        <v>44842</v>
      </c>
      <c r="C1615" s="96">
        <v>10</v>
      </c>
      <c r="D1615" s="104" t="s">
        <v>34</v>
      </c>
      <c r="E1615" s="97" t="s">
        <v>27</v>
      </c>
      <c r="F1615" s="97" t="str">
        <f>VLOOKUP(E1615,Emp_Data!$B$2:$C$9,2,)</f>
        <v>Philip</v>
      </c>
      <c r="G1615" s="97" t="s">
        <v>12</v>
      </c>
      <c r="H1615" s="97" t="s">
        <v>42</v>
      </c>
      <c r="I1615" s="97">
        <v>159</v>
      </c>
      <c r="J1615" s="97">
        <v>6</v>
      </c>
      <c r="K1615" s="97">
        <f t="shared" si="25"/>
        <v>954</v>
      </c>
      <c r="L1615" s="97">
        <f>_xlfn.XLOOKUP(E1615,Emp_Data!$B$2:$B$9,Emp_Data!$A$2:$A$9)</f>
        <v>8</v>
      </c>
    </row>
    <row r="1616" spans="1:12">
      <c r="A1616" s="99">
        <v>1979</v>
      </c>
      <c r="B1616" s="101">
        <v>44843</v>
      </c>
      <c r="C1616" s="96">
        <v>11</v>
      </c>
      <c r="D1616" s="104" t="s">
        <v>38</v>
      </c>
      <c r="E1616" s="97" t="s">
        <v>24</v>
      </c>
      <c r="F1616" s="97" t="str">
        <f>VLOOKUP(E1616,Emp_Data!$B$2:$C$9,2,)</f>
        <v>Steve</v>
      </c>
      <c r="G1616" s="97" t="s">
        <v>19</v>
      </c>
      <c r="H1616" s="97" t="s">
        <v>42</v>
      </c>
      <c r="I1616" s="97">
        <v>159</v>
      </c>
      <c r="J1616" s="97">
        <v>0</v>
      </c>
      <c r="K1616" s="97">
        <f t="shared" si="25"/>
        <v>0</v>
      </c>
      <c r="L1616" s="97">
        <f>_xlfn.XLOOKUP(E1616,Emp_Data!$B$2:$B$9,Emp_Data!$A$2:$A$9)</f>
        <v>6</v>
      </c>
    </row>
    <row r="1617" spans="1:12">
      <c r="A1617" s="99">
        <v>1992</v>
      </c>
      <c r="B1617" s="101">
        <v>44849</v>
      </c>
      <c r="C1617" s="96">
        <v>5</v>
      </c>
      <c r="D1617" s="104" t="s">
        <v>16</v>
      </c>
      <c r="E1617" s="97" t="s">
        <v>14</v>
      </c>
      <c r="F1617" s="97" t="str">
        <f>VLOOKUP(E1617,Emp_Data!$B$2:$C$9,2,)</f>
        <v>Jeff</v>
      </c>
      <c r="G1617" s="97" t="s">
        <v>15</v>
      </c>
      <c r="H1617" s="97" t="s">
        <v>42</v>
      </c>
      <c r="I1617" s="97">
        <v>159</v>
      </c>
      <c r="J1617" s="97">
        <v>7</v>
      </c>
      <c r="K1617" s="97">
        <f t="shared" si="25"/>
        <v>1113</v>
      </c>
      <c r="L1617" s="97">
        <f>_xlfn.XLOOKUP(E1617,Emp_Data!$B$2:$B$9,Emp_Data!$A$2:$A$9)</f>
        <v>2</v>
      </c>
    </row>
    <row r="1618" spans="1:12">
      <c r="A1618" s="99">
        <v>5</v>
      </c>
      <c r="B1618" s="101">
        <v>44200</v>
      </c>
      <c r="C1618" s="96">
        <v>16</v>
      </c>
      <c r="D1618" s="104" t="s">
        <v>37</v>
      </c>
      <c r="E1618" s="97" t="s">
        <v>25</v>
      </c>
      <c r="F1618" s="97" t="str">
        <f>VLOOKUP(E1618,Emp_Data!$B$2:$C$9,2,)</f>
        <v>Jeff</v>
      </c>
      <c r="G1618" s="97" t="s">
        <v>9</v>
      </c>
      <c r="H1618" s="97" t="s">
        <v>43</v>
      </c>
      <c r="I1618" s="97">
        <v>69</v>
      </c>
      <c r="J1618" s="97">
        <v>4</v>
      </c>
      <c r="K1618" s="97">
        <f t="shared" si="25"/>
        <v>276</v>
      </c>
      <c r="L1618" s="97">
        <f>_xlfn.XLOOKUP(E1618,Emp_Data!$B$2:$B$9,Emp_Data!$A$2:$A$9)</f>
        <v>5</v>
      </c>
    </row>
    <row r="1619" spans="1:12">
      <c r="A1619" s="99">
        <v>16</v>
      </c>
      <c r="B1619" s="101">
        <v>44202</v>
      </c>
      <c r="C1619" s="96">
        <v>13</v>
      </c>
      <c r="D1619" s="104" t="s">
        <v>23</v>
      </c>
      <c r="E1619" s="97" t="s">
        <v>18</v>
      </c>
      <c r="F1619" s="97" t="str">
        <f>VLOOKUP(E1619,Emp_Data!$B$2:$C$9,2,)</f>
        <v>Sara</v>
      </c>
      <c r="G1619" s="97" t="s">
        <v>19</v>
      </c>
      <c r="H1619" s="97" t="s">
        <v>43</v>
      </c>
      <c r="I1619" s="97">
        <v>69</v>
      </c>
      <c r="J1619" s="97">
        <v>0</v>
      </c>
      <c r="K1619" s="97">
        <f t="shared" si="25"/>
        <v>0</v>
      </c>
      <c r="L1619" s="97">
        <f>_xlfn.XLOOKUP(E1619,Emp_Data!$B$2:$B$9,Emp_Data!$A$2:$A$9)</f>
        <v>5</v>
      </c>
    </row>
    <row r="1620" spans="1:12">
      <c r="A1620" s="99">
        <v>19</v>
      </c>
      <c r="B1620" s="101">
        <v>44203</v>
      </c>
      <c r="C1620" s="96">
        <v>10</v>
      </c>
      <c r="D1620" s="104" t="s">
        <v>34</v>
      </c>
      <c r="E1620" s="97" t="s">
        <v>11</v>
      </c>
      <c r="F1620" s="97" t="str">
        <f>VLOOKUP(E1620,Emp_Data!$B$2:$C$9,2,)</f>
        <v>Steve</v>
      </c>
      <c r="G1620" s="97" t="s">
        <v>12</v>
      </c>
      <c r="H1620" s="97" t="s">
        <v>43</v>
      </c>
      <c r="I1620" s="97">
        <v>69</v>
      </c>
      <c r="J1620" s="97">
        <v>2</v>
      </c>
      <c r="K1620" s="97">
        <f t="shared" si="25"/>
        <v>138</v>
      </c>
      <c r="L1620" s="97">
        <f>_xlfn.XLOOKUP(E1620,Emp_Data!$B$2:$B$9,Emp_Data!$A$2:$A$9)</f>
        <v>4</v>
      </c>
    </row>
    <row r="1621" spans="1:12">
      <c r="A1621" s="99">
        <v>21</v>
      </c>
      <c r="B1621" s="101">
        <v>44203</v>
      </c>
      <c r="C1621" s="96">
        <v>10</v>
      </c>
      <c r="D1621" s="104" t="s">
        <v>34</v>
      </c>
      <c r="E1621" s="97" t="s">
        <v>11</v>
      </c>
      <c r="F1621" s="97" t="str">
        <f>VLOOKUP(E1621,Emp_Data!$B$2:$C$9,2,)</f>
        <v>Steve</v>
      </c>
      <c r="G1621" s="97" t="s">
        <v>12</v>
      </c>
      <c r="H1621" s="97" t="s">
        <v>43</v>
      </c>
      <c r="I1621" s="97">
        <v>69</v>
      </c>
      <c r="J1621" s="97">
        <v>2</v>
      </c>
      <c r="K1621" s="97">
        <f t="shared" si="25"/>
        <v>138</v>
      </c>
      <c r="L1621" s="97">
        <f>_xlfn.XLOOKUP(E1621,Emp_Data!$B$2:$B$9,Emp_Data!$A$2:$A$9)</f>
        <v>4</v>
      </c>
    </row>
    <row r="1622" spans="1:12">
      <c r="A1622" s="99">
        <v>33</v>
      </c>
      <c r="B1622" s="101">
        <v>44206</v>
      </c>
      <c r="C1622" s="96">
        <v>6</v>
      </c>
      <c r="D1622" s="104" t="s">
        <v>10</v>
      </c>
      <c r="E1622" s="97" t="s">
        <v>11</v>
      </c>
      <c r="F1622" s="97" t="str">
        <f>VLOOKUP(E1622,Emp_Data!$B$2:$C$9,2,)</f>
        <v>Steve</v>
      </c>
      <c r="G1622" s="97" t="s">
        <v>12</v>
      </c>
      <c r="H1622" s="97" t="s">
        <v>43</v>
      </c>
      <c r="I1622" s="97">
        <v>69</v>
      </c>
      <c r="J1622" s="97">
        <v>2</v>
      </c>
      <c r="K1622" s="97">
        <f t="shared" si="25"/>
        <v>138</v>
      </c>
      <c r="L1622" s="97">
        <f>_xlfn.XLOOKUP(E1622,Emp_Data!$B$2:$B$9,Emp_Data!$A$2:$A$9)</f>
        <v>4</v>
      </c>
    </row>
    <row r="1623" spans="1:12">
      <c r="A1623" s="99">
        <v>39</v>
      </c>
      <c r="B1623" s="101">
        <v>44208</v>
      </c>
      <c r="C1623" s="96">
        <v>19</v>
      </c>
      <c r="D1623" s="104" t="s">
        <v>22</v>
      </c>
      <c r="E1623" s="97" t="s">
        <v>8</v>
      </c>
      <c r="F1623" s="97" t="str">
        <f>VLOOKUP(E1623,Emp_Data!$B$2:$C$9,2,)</f>
        <v>Jeff</v>
      </c>
      <c r="G1623" s="97" t="s">
        <v>9</v>
      </c>
      <c r="H1623" s="97" t="s">
        <v>43</v>
      </c>
      <c r="I1623" s="97">
        <v>69</v>
      </c>
      <c r="J1623" s="97">
        <v>8</v>
      </c>
      <c r="K1623" s="97">
        <f t="shared" si="25"/>
        <v>552</v>
      </c>
      <c r="L1623" s="97">
        <f>_xlfn.XLOOKUP(E1623,Emp_Data!$B$2:$B$9,Emp_Data!$A$2:$A$9)</f>
        <v>3</v>
      </c>
    </row>
    <row r="1624" spans="1:12">
      <c r="A1624" s="99">
        <v>42</v>
      </c>
      <c r="B1624" s="101">
        <v>44209</v>
      </c>
      <c r="C1624" s="96">
        <v>17</v>
      </c>
      <c r="D1624" s="104" t="s">
        <v>32</v>
      </c>
      <c r="E1624" s="97" t="s">
        <v>8</v>
      </c>
      <c r="F1624" s="97" t="str">
        <f>VLOOKUP(E1624,Emp_Data!$B$2:$C$9,2,)</f>
        <v>Jeff</v>
      </c>
      <c r="G1624" s="97" t="s">
        <v>9</v>
      </c>
      <c r="H1624" s="97" t="s">
        <v>43</v>
      </c>
      <c r="I1624" s="97">
        <v>69</v>
      </c>
      <c r="J1624" s="97">
        <v>5</v>
      </c>
      <c r="K1624" s="97">
        <f t="shared" si="25"/>
        <v>345</v>
      </c>
      <c r="L1624" s="97">
        <f>_xlfn.XLOOKUP(E1624,Emp_Data!$B$2:$B$9,Emp_Data!$A$2:$A$9)</f>
        <v>3</v>
      </c>
    </row>
    <row r="1625" spans="1:12">
      <c r="A1625" s="99">
        <v>48</v>
      </c>
      <c r="B1625" s="101">
        <v>44209</v>
      </c>
      <c r="C1625" s="96">
        <v>16</v>
      </c>
      <c r="D1625" s="104" t="s">
        <v>37</v>
      </c>
      <c r="E1625" s="97" t="s">
        <v>25</v>
      </c>
      <c r="F1625" s="97" t="str">
        <f>VLOOKUP(E1625,Emp_Data!$B$2:$C$9,2,)</f>
        <v>Jeff</v>
      </c>
      <c r="G1625" s="97" t="s">
        <v>9</v>
      </c>
      <c r="H1625" s="97" t="s">
        <v>43</v>
      </c>
      <c r="I1625" s="97">
        <v>69</v>
      </c>
      <c r="J1625" s="97">
        <v>1</v>
      </c>
      <c r="K1625" s="97">
        <f t="shared" si="25"/>
        <v>69</v>
      </c>
      <c r="L1625" s="97">
        <f>_xlfn.XLOOKUP(E1625,Emp_Data!$B$2:$B$9,Emp_Data!$A$2:$A$9)</f>
        <v>5</v>
      </c>
    </row>
    <row r="1626" spans="1:12">
      <c r="A1626" s="99">
        <v>52</v>
      </c>
      <c r="B1626" s="101">
        <v>44209</v>
      </c>
      <c r="C1626" s="96">
        <v>1</v>
      </c>
      <c r="D1626" s="104" t="s">
        <v>31</v>
      </c>
      <c r="E1626" s="97" t="s">
        <v>21</v>
      </c>
      <c r="F1626" s="97" t="str">
        <f>VLOOKUP(E1626,Emp_Data!$B$2:$C$9,2,)</f>
        <v>Sara</v>
      </c>
      <c r="G1626" s="97" t="s">
        <v>15</v>
      </c>
      <c r="H1626" s="97" t="s">
        <v>43</v>
      </c>
      <c r="I1626" s="97">
        <v>69</v>
      </c>
      <c r="J1626" s="97">
        <v>2</v>
      </c>
      <c r="K1626" s="97">
        <f t="shared" si="25"/>
        <v>138</v>
      </c>
      <c r="L1626" s="97">
        <f>_xlfn.XLOOKUP(E1626,Emp_Data!$B$2:$B$9,Emp_Data!$A$2:$A$9)</f>
        <v>2</v>
      </c>
    </row>
    <row r="1627" spans="1:12">
      <c r="A1627" s="99">
        <v>53</v>
      </c>
      <c r="B1627" s="101">
        <v>44210</v>
      </c>
      <c r="C1627" s="96">
        <v>17</v>
      </c>
      <c r="D1627" s="104" t="s">
        <v>32</v>
      </c>
      <c r="E1627" s="97" t="s">
        <v>8</v>
      </c>
      <c r="F1627" s="97" t="str">
        <f>VLOOKUP(E1627,Emp_Data!$B$2:$C$9,2,)</f>
        <v>Jeff</v>
      </c>
      <c r="G1627" s="97" t="s">
        <v>9</v>
      </c>
      <c r="H1627" s="97" t="s">
        <v>43</v>
      </c>
      <c r="I1627" s="97">
        <v>69</v>
      </c>
      <c r="J1627" s="97">
        <v>7</v>
      </c>
      <c r="K1627" s="97">
        <f t="shared" si="25"/>
        <v>483</v>
      </c>
      <c r="L1627" s="97">
        <f>_xlfn.XLOOKUP(E1627,Emp_Data!$B$2:$B$9,Emp_Data!$A$2:$A$9)</f>
        <v>3</v>
      </c>
    </row>
    <row r="1628" spans="1:12">
      <c r="A1628" s="99">
        <v>56</v>
      </c>
      <c r="B1628" s="101">
        <v>44211</v>
      </c>
      <c r="C1628" s="96">
        <v>20</v>
      </c>
      <c r="D1628" s="104" t="s">
        <v>7</v>
      </c>
      <c r="E1628" s="97" t="s">
        <v>8</v>
      </c>
      <c r="F1628" s="97" t="str">
        <f>VLOOKUP(E1628,Emp_Data!$B$2:$C$9,2,)</f>
        <v>Jeff</v>
      </c>
      <c r="G1628" s="97" t="s">
        <v>9</v>
      </c>
      <c r="H1628" s="97" t="s">
        <v>43</v>
      </c>
      <c r="I1628" s="97">
        <v>69</v>
      </c>
      <c r="J1628" s="97">
        <v>9</v>
      </c>
      <c r="K1628" s="97">
        <f t="shared" si="25"/>
        <v>621</v>
      </c>
      <c r="L1628" s="97">
        <f>_xlfn.XLOOKUP(E1628,Emp_Data!$B$2:$B$9,Emp_Data!$A$2:$A$9)</f>
        <v>3</v>
      </c>
    </row>
    <row r="1629" spans="1:12">
      <c r="A1629" s="99">
        <v>58</v>
      </c>
      <c r="B1629" s="101">
        <v>44211</v>
      </c>
      <c r="C1629" s="96">
        <v>11</v>
      </c>
      <c r="D1629" s="104" t="s">
        <v>38</v>
      </c>
      <c r="E1629" s="97" t="s">
        <v>18</v>
      </c>
      <c r="F1629" s="97" t="str">
        <f>VLOOKUP(E1629,Emp_Data!$B$2:$C$9,2,)</f>
        <v>Sara</v>
      </c>
      <c r="G1629" s="97" t="s">
        <v>19</v>
      </c>
      <c r="H1629" s="97" t="s">
        <v>43</v>
      </c>
      <c r="I1629" s="97">
        <v>69</v>
      </c>
      <c r="J1629" s="97">
        <v>9</v>
      </c>
      <c r="K1629" s="97">
        <f t="shared" si="25"/>
        <v>621</v>
      </c>
      <c r="L1629" s="97">
        <f>_xlfn.XLOOKUP(E1629,Emp_Data!$B$2:$B$9,Emp_Data!$A$2:$A$9)</f>
        <v>5</v>
      </c>
    </row>
    <row r="1630" spans="1:12">
      <c r="A1630" s="99">
        <v>67</v>
      </c>
      <c r="B1630" s="101">
        <v>44216</v>
      </c>
      <c r="C1630" s="96">
        <v>16</v>
      </c>
      <c r="D1630" s="104" t="s">
        <v>37</v>
      </c>
      <c r="E1630" s="97" t="s">
        <v>25</v>
      </c>
      <c r="F1630" s="97" t="str">
        <f>VLOOKUP(E1630,Emp_Data!$B$2:$C$9,2,)</f>
        <v>Jeff</v>
      </c>
      <c r="G1630" s="97" t="s">
        <v>9</v>
      </c>
      <c r="H1630" s="97" t="s">
        <v>43</v>
      </c>
      <c r="I1630" s="97">
        <v>69</v>
      </c>
      <c r="J1630" s="97">
        <v>2</v>
      </c>
      <c r="K1630" s="97">
        <f t="shared" si="25"/>
        <v>138</v>
      </c>
      <c r="L1630" s="97">
        <f>_xlfn.XLOOKUP(E1630,Emp_Data!$B$2:$B$9,Emp_Data!$A$2:$A$9)</f>
        <v>5</v>
      </c>
    </row>
    <row r="1631" spans="1:12">
      <c r="A1631" s="99">
        <v>76</v>
      </c>
      <c r="B1631" s="101">
        <v>44220</v>
      </c>
      <c r="C1631" s="96">
        <v>18</v>
      </c>
      <c r="D1631" s="104" t="s">
        <v>30</v>
      </c>
      <c r="E1631" s="97" t="s">
        <v>25</v>
      </c>
      <c r="F1631" s="97" t="str">
        <f>VLOOKUP(E1631,Emp_Data!$B$2:$C$9,2,)</f>
        <v>Jeff</v>
      </c>
      <c r="G1631" s="97" t="s">
        <v>9</v>
      </c>
      <c r="H1631" s="97" t="s">
        <v>43</v>
      </c>
      <c r="I1631" s="97">
        <v>69</v>
      </c>
      <c r="J1631" s="97">
        <v>7</v>
      </c>
      <c r="K1631" s="97">
        <f t="shared" si="25"/>
        <v>483</v>
      </c>
      <c r="L1631" s="97">
        <f>_xlfn.XLOOKUP(E1631,Emp_Data!$B$2:$B$9,Emp_Data!$A$2:$A$9)</f>
        <v>5</v>
      </c>
    </row>
    <row r="1632" spans="1:12">
      <c r="A1632" s="99">
        <v>77</v>
      </c>
      <c r="B1632" s="101">
        <v>44220</v>
      </c>
      <c r="C1632" s="96">
        <v>8</v>
      </c>
      <c r="D1632" s="104" t="s">
        <v>36</v>
      </c>
      <c r="E1632" s="97" t="s">
        <v>11</v>
      </c>
      <c r="F1632" s="97" t="str">
        <f>VLOOKUP(E1632,Emp_Data!$B$2:$C$9,2,)</f>
        <v>Steve</v>
      </c>
      <c r="G1632" s="97" t="s">
        <v>12</v>
      </c>
      <c r="H1632" s="97" t="s">
        <v>43</v>
      </c>
      <c r="I1632" s="97">
        <v>69</v>
      </c>
      <c r="J1632" s="97">
        <v>2</v>
      </c>
      <c r="K1632" s="97">
        <f t="shared" si="25"/>
        <v>138</v>
      </c>
      <c r="L1632" s="97">
        <f>_xlfn.XLOOKUP(E1632,Emp_Data!$B$2:$B$9,Emp_Data!$A$2:$A$9)</f>
        <v>4</v>
      </c>
    </row>
    <row r="1633" spans="1:12">
      <c r="A1633" s="99">
        <v>82</v>
      </c>
      <c r="B1633" s="101">
        <v>44220</v>
      </c>
      <c r="C1633" s="96">
        <v>5</v>
      </c>
      <c r="D1633" s="104" t="s">
        <v>16</v>
      </c>
      <c r="E1633" s="97" t="s">
        <v>14</v>
      </c>
      <c r="F1633" s="97" t="str">
        <f>VLOOKUP(E1633,Emp_Data!$B$2:$C$9,2,)</f>
        <v>Jeff</v>
      </c>
      <c r="G1633" s="97" t="s">
        <v>15</v>
      </c>
      <c r="H1633" s="97" t="s">
        <v>43</v>
      </c>
      <c r="I1633" s="97">
        <v>69</v>
      </c>
      <c r="J1633" s="97">
        <v>1</v>
      </c>
      <c r="K1633" s="97">
        <f t="shared" si="25"/>
        <v>69</v>
      </c>
      <c r="L1633" s="97">
        <f>_xlfn.XLOOKUP(E1633,Emp_Data!$B$2:$B$9,Emp_Data!$A$2:$A$9)</f>
        <v>2</v>
      </c>
    </row>
    <row r="1634" spans="1:12">
      <c r="A1634" s="99">
        <v>83</v>
      </c>
      <c r="B1634" s="101">
        <v>44220</v>
      </c>
      <c r="C1634" s="96">
        <v>10</v>
      </c>
      <c r="D1634" s="104" t="s">
        <v>34</v>
      </c>
      <c r="E1634" s="97" t="s">
        <v>11</v>
      </c>
      <c r="F1634" s="97" t="str">
        <f>VLOOKUP(E1634,Emp_Data!$B$2:$C$9,2,)</f>
        <v>Steve</v>
      </c>
      <c r="G1634" s="97" t="s">
        <v>12</v>
      </c>
      <c r="H1634" s="97" t="s">
        <v>43</v>
      </c>
      <c r="I1634" s="97">
        <v>69</v>
      </c>
      <c r="J1634" s="97">
        <v>2</v>
      </c>
      <c r="K1634" s="97">
        <f t="shared" si="25"/>
        <v>138</v>
      </c>
      <c r="L1634" s="97">
        <f>_xlfn.XLOOKUP(E1634,Emp_Data!$B$2:$B$9,Emp_Data!$A$2:$A$9)</f>
        <v>4</v>
      </c>
    </row>
    <row r="1635" spans="1:12">
      <c r="A1635" s="99">
        <v>88</v>
      </c>
      <c r="B1635" s="101">
        <v>44223</v>
      </c>
      <c r="C1635" s="96">
        <v>12</v>
      </c>
      <c r="D1635" s="104" t="s">
        <v>17</v>
      </c>
      <c r="E1635" s="97" t="s">
        <v>18</v>
      </c>
      <c r="F1635" s="97" t="str">
        <f>VLOOKUP(E1635,Emp_Data!$B$2:$C$9,2,)</f>
        <v>Sara</v>
      </c>
      <c r="G1635" s="97" t="s">
        <v>19</v>
      </c>
      <c r="H1635" s="97" t="s">
        <v>43</v>
      </c>
      <c r="I1635" s="97">
        <v>69</v>
      </c>
      <c r="J1635" s="97">
        <v>2</v>
      </c>
      <c r="K1635" s="97">
        <f t="shared" si="25"/>
        <v>138</v>
      </c>
      <c r="L1635" s="97">
        <f>_xlfn.XLOOKUP(E1635,Emp_Data!$B$2:$B$9,Emp_Data!$A$2:$A$9)</f>
        <v>5</v>
      </c>
    </row>
    <row r="1636" spans="1:12">
      <c r="A1636" s="99">
        <v>90</v>
      </c>
      <c r="B1636" s="101">
        <v>44223</v>
      </c>
      <c r="C1636" s="96">
        <v>12</v>
      </c>
      <c r="D1636" s="104" t="s">
        <v>17</v>
      </c>
      <c r="E1636" s="97" t="s">
        <v>24</v>
      </c>
      <c r="F1636" s="97" t="str">
        <f>VLOOKUP(E1636,Emp_Data!$B$2:$C$9,2,)</f>
        <v>Steve</v>
      </c>
      <c r="G1636" s="97" t="s">
        <v>19</v>
      </c>
      <c r="H1636" s="97" t="s">
        <v>43</v>
      </c>
      <c r="I1636" s="97">
        <v>69</v>
      </c>
      <c r="J1636" s="97">
        <v>2</v>
      </c>
      <c r="K1636" s="97">
        <f t="shared" si="25"/>
        <v>138</v>
      </c>
      <c r="L1636" s="97">
        <f>_xlfn.XLOOKUP(E1636,Emp_Data!$B$2:$B$9,Emp_Data!$A$2:$A$9)</f>
        <v>6</v>
      </c>
    </row>
    <row r="1637" spans="1:12">
      <c r="A1637" s="99">
        <v>95</v>
      </c>
      <c r="B1637" s="101">
        <v>44225</v>
      </c>
      <c r="C1637" s="96">
        <v>7</v>
      </c>
      <c r="D1637" s="104" t="s">
        <v>28</v>
      </c>
      <c r="E1637" s="97" t="s">
        <v>11</v>
      </c>
      <c r="F1637" s="97" t="str">
        <f>VLOOKUP(E1637,Emp_Data!$B$2:$C$9,2,)</f>
        <v>Steve</v>
      </c>
      <c r="G1637" s="97" t="s">
        <v>12</v>
      </c>
      <c r="H1637" s="97" t="s">
        <v>43</v>
      </c>
      <c r="I1637" s="97">
        <v>69</v>
      </c>
      <c r="J1637" s="97">
        <v>8</v>
      </c>
      <c r="K1637" s="97">
        <f t="shared" si="25"/>
        <v>552</v>
      </c>
      <c r="L1637" s="97">
        <f>_xlfn.XLOOKUP(E1637,Emp_Data!$B$2:$B$9,Emp_Data!$A$2:$A$9)</f>
        <v>4</v>
      </c>
    </row>
    <row r="1638" spans="1:12">
      <c r="A1638" s="99">
        <v>96</v>
      </c>
      <c r="B1638" s="101">
        <v>44226</v>
      </c>
      <c r="C1638" s="96">
        <v>15</v>
      </c>
      <c r="D1638" s="104" t="s">
        <v>29</v>
      </c>
      <c r="E1638" s="97" t="s">
        <v>18</v>
      </c>
      <c r="F1638" s="97" t="str">
        <f>VLOOKUP(E1638,Emp_Data!$B$2:$C$9,2,)</f>
        <v>Sara</v>
      </c>
      <c r="G1638" s="97" t="s">
        <v>19</v>
      </c>
      <c r="H1638" s="97" t="s">
        <v>43</v>
      </c>
      <c r="I1638" s="97">
        <v>69</v>
      </c>
      <c r="J1638" s="97">
        <v>9</v>
      </c>
      <c r="K1638" s="97">
        <f t="shared" si="25"/>
        <v>621</v>
      </c>
      <c r="L1638" s="97">
        <f>_xlfn.XLOOKUP(E1638,Emp_Data!$B$2:$B$9,Emp_Data!$A$2:$A$9)</f>
        <v>5</v>
      </c>
    </row>
    <row r="1639" spans="1:12">
      <c r="A1639" s="99">
        <v>97</v>
      </c>
      <c r="B1639" s="101">
        <v>44226</v>
      </c>
      <c r="C1639" s="96">
        <v>11</v>
      </c>
      <c r="D1639" s="104" t="s">
        <v>38</v>
      </c>
      <c r="E1639" s="97" t="s">
        <v>24</v>
      </c>
      <c r="F1639" s="97" t="str">
        <f>VLOOKUP(E1639,Emp_Data!$B$2:$C$9,2,)</f>
        <v>Steve</v>
      </c>
      <c r="G1639" s="97" t="s">
        <v>19</v>
      </c>
      <c r="H1639" s="97" t="s">
        <v>43</v>
      </c>
      <c r="I1639" s="97">
        <v>69</v>
      </c>
      <c r="J1639" s="97">
        <v>7</v>
      </c>
      <c r="K1639" s="97">
        <f t="shared" si="25"/>
        <v>483</v>
      </c>
      <c r="L1639" s="97">
        <f>_xlfn.XLOOKUP(E1639,Emp_Data!$B$2:$B$9,Emp_Data!$A$2:$A$9)</f>
        <v>6</v>
      </c>
    </row>
    <row r="1640" spans="1:12">
      <c r="A1640" s="99">
        <v>101</v>
      </c>
      <c r="B1640" s="101">
        <v>44227</v>
      </c>
      <c r="C1640" s="96">
        <v>18</v>
      </c>
      <c r="D1640" s="104" t="s">
        <v>30</v>
      </c>
      <c r="E1640" s="97" t="s">
        <v>25</v>
      </c>
      <c r="F1640" s="97" t="str">
        <f>VLOOKUP(E1640,Emp_Data!$B$2:$C$9,2,)</f>
        <v>Jeff</v>
      </c>
      <c r="G1640" s="97" t="s">
        <v>9</v>
      </c>
      <c r="H1640" s="97" t="s">
        <v>43</v>
      </c>
      <c r="I1640" s="97">
        <v>69</v>
      </c>
      <c r="J1640" s="97">
        <v>4</v>
      </c>
      <c r="K1640" s="97">
        <f t="shared" si="25"/>
        <v>276</v>
      </c>
      <c r="L1640" s="97">
        <f>_xlfn.XLOOKUP(E1640,Emp_Data!$B$2:$B$9,Emp_Data!$A$2:$A$9)</f>
        <v>5</v>
      </c>
    </row>
    <row r="1641" spans="1:12">
      <c r="A1641" s="99">
        <v>102</v>
      </c>
      <c r="B1641" s="101">
        <v>44228</v>
      </c>
      <c r="C1641" s="96">
        <v>10</v>
      </c>
      <c r="D1641" s="104" t="s">
        <v>34</v>
      </c>
      <c r="E1641" s="97" t="s">
        <v>27</v>
      </c>
      <c r="F1641" s="97" t="str">
        <f>VLOOKUP(E1641,Emp_Data!$B$2:$C$9,2,)</f>
        <v>Philip</v>
      </c>
      <c r="G1641" s="97" t="s">
        <v>12</v>
      </c>
      <c r="H1641" s="97" t="s">
        <v>43</v>
      </c>
      <c r="I1641" s="97">
        <v>69</v>
      </c>
      <c r="J1641" s="97">
        <v>4</v>
      </c>
      <c r="K1641" s="97">
        <f t="shared" si="25"/>
        <v>276</v>
      </c>
      <c r="L1641" s="97">
        <f>_xlfn.XLOOKUP(E1641,Emp_Data!$B$2:$B$9,Emp_Data!$A$2:$A$9)</f>
        <v>8</v>
      </c>
    </row>
    <row r="1642" spans="1:12">
      <c r="A1642" s="99">
        <v>103</v>
      </c>
      <c r="B1642" s="101">
        <v>44228</v>
      </c>
      <c r="C1642" s="96">
        <v>20</v>
      </c>
      <c r="D1642" s="104" t="s">
        <v>7</v>
      </c>
      <c r="E1642" s="97" t="s">
        <v>8</v>
      </c>
      <c r="F1642" s="97" t="str">
        <f>VLOOKUP(E1642,Emp_Data!$B$2:$C$9,2,)</f>
        <v>Jeff</v>
      </c>
      <c r="G1642" s="97" t="s">
        <v>9</v>
      </c>
      <c r="H1642" s="97" t="s">
        <v>43</v>
      </c>
      <c r="I1642" s="97">
        <v>69</v>
      </c>
      <c r="J1642" s="97">
        <v>6</v>
      </c>
      <c r="K1642" s="97">
        <f t="shared" si="25"/>
        <v>414</v>
      </c>
      <c r="L1642" s="97">
        <f>_xlfn.XLOOKUP(E1642,Emp_Data!$B$2:$B$9,Emp_Data!$A$2:$A$9)</f>
        <v>3</v>
      </c>
    </row>
    <row r="1643" spans="1:12">
      <c r="A1643" s="99">
        <v>115</v>
      </c>
      <c r="B1643" s="101">
        <v>44232</v>
      </c>
      <c r="C1643" s="96">
        <v>2</v>
      </c>
      <c r="D1643" s="104" t="s">
        <v>35</v>
      </c>
      <c r="E1643" s="97" t="s">
        <v>21</v>
      </c>
      <c r="F1643" s="97" t="str">
        <f>VLOOKUP(E1643,Emp_Data!$B$2:$C$9,2,)</f>
        <v>Sara</v>
      </c>
      <c r="G1643" s="97" t="s">
        <v>15</v>
      </c>
      <c r="H1643" s="97" t="s">
        <v>43</v>
      </c>
      <c r="I1643" s="97">
        <v>69</v>
      </c>
      <c r="J1643" s="97">
        <v>7</v>
      </c>
      <c r="K1643" s="97">
        <f t="shared" si="25"/>
        <v>483</v>
      </c>
      <c r="L1643" s="97">
        <f>_xlfn.XLOOKUP(E1643,Emp_Data!$B$2:$B$9,Emp_Data!$A$2:$A$9)</f>
        <v>2</v>
      </c>
    </row>
    <row r="1644" spans="1:12">
      <c r="A1644" s="99">
        <v>116</v>
      </c>
      <c r="B1644" s="101">
        <v>44232</v>
      </c>
      <c r="C1644" s="96">
        <v>14</v>
      </c>
      <c r="D1644" s="104" t="s">
        <v>33</v>
      </c>
      <c r="E1644" s="97" t="s">
        <v>18</v>
      </c>
      <c r="F1644" s="97" t="str">
        <f>VLOOKUP(E1644,Emp_Data!$B$2:$C$9,2,)</f>
        <v>Sara</v>
      </c>
      <c r="G1644" s="97" t="s">
        <v>19</v>
      </c>
      <c r="H1644" s="97" t="s">
        <v>43</v>
      </c>
      <c r="I1644" s="97">
        <v>69</v>
      </c>
      <c r="J1644" s="97">
        <v>7</v>
      </c>
      <c r="K1644" s="97">
        <f t="shared" si="25"/>
        <v>483</v>
      </c>
      <c r="L1644" s="97">
        <f>_xlfn.XLOOKUP(E1644,Emp_Data!$B$2:$B$9,Emp_Data!$A$2:$A$9)</f>
        <v>5</v>
      </c>
    </row>
    <row r="1645" spans="1:12">
      <c r="A1645" s="99">
        <v>122</v>
      </c>
      <c r="B1645" s="101">
        <v>44235</v>
      </c>
      <c r="C1645" s="96">
        <v>8</v>
      </c>
      <c r="D1645" s="104" t="s">
        <v>36</v>
      </c>
      <c r="E1645" s="97" t="s">
        <v>11</v>
      </c>
      <c r="F1645" s="97" t="str">
        <f>VLOOKUP(E1645,Emp_Data!$B$2:$C$9,2,)</f>
        <v>Steve</v>
      </c>
      <c r="G1645" s="97" t="s">
        <v>12</v>
      </c>
      <c r="H1645" s="97" t="s">
        <v>43</v>
      </c>
      <c r="I1645" s="97">
        <v>69</v>
      </c>
      <c r="J1645" s="97">
        <v>6</v>
      </c>
      <c r="K1645" s="97">
        <f t="shared" si="25"/>
        <v>414</v>
      </c>
      <c r="L1645" s="97">
        <f>_xlfn.XLOOKUP(E1645,Emp_Data!$B$2:$B$9,Emp_Data!$A$2:$A$9)</f>
        <v>4</v>
      </c>
    </row>
    <row r="1646" spans="1:12">
      <c r="A1646" s="99">
        <v>135</v>
      </c>
      <c r="B1646" s="101">
        <v>44239</v>
      </c>
      <c r="C1646" s="96">
        <v>16</v>
      </c>
      <c r="D1646" s="104" t="s">
        <v>37</v>
      </c>
      <c r="E1646" s="97" t="s">
        <v>25</v>
      </c>
      <c r="F1646" s="97" t="str">
        <f>VLOOKUP(E1646,Emp_Data!$B$2:$C$9,2,)</f>
        <v>Jeff</v>
      </c>
      <c r="G1646" s="97" t="s">
        <v>9</v>
      </c>
      <c r="H1646" s="97" t="s">
        <v>43</v>
      </c>
      <c r="I1646" s="97">
        <v>69</v>
      </c>
      <c r="J1646" s="97">
        <v>5</v>
      </c>
      <c r="K1646" s="97">
        <f t="shared" si="25"/>
        <v>345</v>
      </c>
      <c r="L1646" s="97">
        <f>_xlfn.XLOOKUP(E1646,Emp_Data!$B$2:$B$9,Emp_Data!$A$2:$A$9)</f>
        <v>5</v>
      </c>
    </row>
    <row r="1647" spans="1:12">
      <c r="A1647" s="99">
        <v>139</v>
      </c>
      <c r="B1647" s="101">
        <v>44240</v>
      </c>
      <c r="C1647" s="96">
        <v>13</v>
      </c>
      <c r="D1647" s="104" t="s">
        <v>23</v>
      </c>
      <c r="E1647" s="97" t="s">
        <v>18</v>
      </c>
      <c r="F1647" s="97" t="str">
        <f>VLOOKUP(E1647,Emp_Data!$B$2:$C$9,2,)</f>
        <v>Sara</v>
      </c>
      <c r="G1647" s="97" t="s">
        <v>19</v>
      </c>
      <c r="H1647" s="97" t="s">
        <v>43</v>
      </c>
      <c r="I1647" s="97">
        <v>69</v>
      </c>
      <c r="J1647" s="97">
        <v>4</v>
      </c>
      <c r="K1647" s="97">
        <f t="shared" si="25"/>
        <v>276</v>
      </c>
      <c r="L1647" s="97">
        <f>_xlfn.XLOOKUP(E1647,Emp_Data!$B$2:$B$9,Emp_Data!$A$2:$A$9)</f>
        <v>5</v>
      </c>
    </row>
    <row r="1648" spans="1:12">
      <c r="A1648" s="99">
        <v>154</v>
      </c>
      <c r="B1648" s="101">
        <v>44241</v>
      </c>
      <c r="C1648" s="96">
        <v>8</v>
      </c>
      <c r="D1648" s="104" t="s">
        <v>36</v>
      </c>
      <c r="E1648" s="97" t="s">
        <v>27</v>
      </c>
      <c r="F1648" s="97" t="str">
        <f>VLOOKUP(E1648,Emp_Data!$B$2:$C$9,2,)</f>
        <v>Philip</v>
      </c>
      <c r="G1648" s="97" t="s">
        <v>12</v>
      </c>
      <c r="H1648" s="97" t="s">
        <v>43</v>
      </c>
      <c r="I1648" s="97">
        <v>69</v>
      </c>
      <c r="J1648" s="97">
        <v>8</v>
      </c>
      <c r="K1648" s="97">
        <f t="shared" si="25"/>
        <v>552</v>
      </c>
      <c r="L1648" s="97">
        <f>_xlfn.XLOOKUP(E1648,Emp_Data!$B$2:$B$9,Emp_Data!$A$2:$A$9)</f>
        <v>8</v>
      </c>
    </row>
    <row r="1649" spans="1:12">
      <c r="A1649" s="99">
        <v>162</v>
      </c>
      <c r="B1649" s="101">
        <v>44243</v>
      </c>
      <c r="C1649" s="96">
        <v>15</v>
      </c>
      <c r="D1649" s="104" t="s">
        <v>29</v>
      </c>
      <c r="E1649" s="97" t="s">
        <v>24</v>
      </c>
      <c r="F1649" s="97" t="str">
        <f>VLOOKUP(E1649,Emp_Data!$B$2:$C$9,2,)</f>
        <v>Steve</v>
      </c>
      <c r="G1649" s="97" t="s">
        <v>19</v>
      </c>
      <c r="H1649" s="97" t="s">
        <v>43</v>
      </c>
      <c r="I1649" s="97">
        <v>69</v>
      </c>
      <c r="J1649" s="97">
        <v>5</v>
      </c>
      <c r="K1649" s="97">
        <f t="shared" si="25"/>
        <v>345</v>
      </c>
      <c r="L1649" s="97">
        <f>_xlfn.XLOOKUP(E1649,Emp_Data!$B$2:$B$9,Emp_Data!$A$2:$A$9)</f>
        <v>6</v>
      </c>
    </row>
    <row r="1650" spans="1:12">
      <c r="A1650" s="99">
        <v>164</v>
      </c>
      <c r="B1650" s="101">
        <v>44244</v>
      </c>
      <c r="C1650" s="96">
        <v>13</v>
      </c>
      <c r="D1650" s="104" t="s">
        <v>23</v>
      </c>
      <c r="E1650" s="97" t="s">
        <v>24</v>
      </c>
      <c r="F1650" s="97" t="str">
        <f>VLOOKUP(E1650,Emp_Data!$B$2:$C$9,2,)</f>
        <v>Steve</v>
      </c>
      <c r="G1650" s="97" t="s">
        <v>19</v>
      </c>
      <c r="H1650" s="97" t="s">
        <v>43</v>
      </c>
      <c r="I1650" s="97">
        <v>69</v>
      </c>
      <c r="J1650" s="97">
        <v>1</v>
      </c>
      <c r="K1650" s="97">
        <f t="shared" si="25"/>
        <v>69</v>
      </c>
      <c r="L1650" s="97">
        <f>_xlfn.XLOOKUP(E1650,Emp_Data!$B$2:$B$9,Emp_Data!$A$2:$A$9)</f>
        <v>6</v>
      </c>
    </row>
    <row r="1651" spans="1:12">
      <c r="A1651" s="99">
        <v>166</v>
      </c>
      <c r="B1651" s="101">
        <v>44245</v>
      </c>
      <c r="C1651" s="96">
        <v>15</v>
      </c>
      <c r="D1651" s="104" t="s">
        <v>29</v>
      </c>
      <c r="E1651" s="97" t="s">
        <v>18</v>
      </c>
      <c r="F1651" s="97" t="str">
        <f>VLOOKUP(E1651,Emp_Data!$B$2:$C$9,2,)</f>
        <v>Sara</v>
      </c>
      <c r="G1651" s="97" t="s">
        <v>19</v>
      </c>
      <c r="H1651" s="97" t="s">
        <v>43</v>
      </c>
      <c r="I1651" s="97">
        <v>69</v>
      </c>
      <c r="J1651" s="97">
        <v>0</v>
      </c>
      <c r="K1651" s="97">
        <f t="shared" si="25"/>
        <v>0</v>
      </c>
      <c r="L1651" s="97">
        <f>_xlfn.XLOOKUP(E1651,Emp_Data!$B$2:$B$9,Emp_Data!$A$2:$A$9)</f>
        <v>5</v>
      </c>
    </row>
    <row r="1652" spans="1:12">
      <c r="A1652" s="99">
        <v>167</v>
      </c>
      <c r="B1652" s="101">
        <v>44245</v>
      </c>
      <c r="C1652" s="96">
        <v>12</v>
      </c>
      <c r="D1652" s="104" t="s">
        <v>17</v>
      </c>
      <c r="E1652" s="97" t="s">
        <v>24</v>
      </c>
      <c r="F1652" s="97" t="str">
        <f>VLOOKUP(E1652,Emp_Data!$B$2:$C$9,2,)</f>
        <v>Steve</v>
      </c>
      <c r="G1652" s="97" t="s">
        <v>19</v>
      </c>
      <c r="H1652" s="97" t="s">
        <v>43</v>
      </c>
      <c r="I1652" s="97">
        <v>69</v>
      </c>
      <c r="J1652" s="97">
        <v>1</v>
      </c>
      <c r="K1652" s="97">
        <f t="shared" si="25"/>
        <v>69</v>
      </c>
      <c r="L1652" s="97">
        <f>_xlfn.XLOOKUP(E1652,Emp_Data!$B$2:$B$9,Emp_Data!$A$2:$A$9)</f>
        <v>6</v>
      </c>
    </row>
    <row r="1653" spans="1:12">
      <c r="A1653" s="99">
        <v>169</v>
      </c>
      <c r="B1653" s="101">
        <v>44245</v>
      </c>
      <c r="C1653" s="96">
        <v>10</v>
      </c>
      <c r="D1653" s="104" t="s">
        <v>34</v>
      </c>
      <c r="E1653" s="97" t="s">
        <v>11</v>
      </c>
      <c r="F1653" s="97" t="str">
        <f>VLOOKUP(E1653,Emp_Data!$B$2:$C$9,2,)</f>
        <v>Steve</v>
      </c>
      <c r="G1653" s="97" t="s">
        <v>12</v>
      </c>
      <c r="H1653" s="97" t="s">
        <v>43</v>
      </c>
      <c r="I1653" s="97">
        <v>69</v>
      </c>
      <c r="J1653" s="97">
        <v>4</v>
      </c>
      <c r="K1653" s="97">
        <f t="shared" si="25"/>
        <v>276</v>
      </c>
      <c r="L1653" s="97">
        <f>_xlfn.XLOOKUP(E1653,Emp_Data!$B$2:$B$9,Emp_Data!$A$2:$A$9)</f>
        <v>4</v>
      </c>
    </row>
    <row r="1654" spans="1:12">
      <c r="A1654" s="99">
        <v>170</v>
      </c>
      <c r="B1654" s="101">
        <v>44245</v>
      </c>
      <c r="C1654" s="96">
        <v>6</v>
      </c>
      <c r="D1654" s="104" t="s">
        <v>10</v>
      </c>
      <c r="E1654" s="97" t="s">
        <v>11</v>
      </c>
      <c r="F1654" s="97" t="str">
        <f>VLOOKUP(E1654,Emp_Data!$B$2:$C$9,2,)</f>
        <v>Steve</v>
      </c>
      <c r="G1654" s="97" t="s">
        <v>12</v>
      </c>
      <c r="H1654" s="97" t="s">
        <v>43</v>
      </c>
      <c r="I1654" s="97">
        <v>69</v>
      </c>
      <c r="J1654" s="97">
        <v>3</v>
      </c>
      <c r="K1654" s="97">
        <f t="shared" si="25"/>
        <v>207</v>
      </c>
      <c r="L1654" s="97">
        <f>_xlfn.XLOOKUP(E1654,Emp_Data!$B$2:$B$9,Emp_Data!$A$2:$A$9)</f>
        <v>4</v>
      </c>
    </row>
    <row r="1655" spans="1:12">
      <c r="A1655" s="99">
        <v>172</v>
      </c>
      <c r="B1655" s="101">
        <v>44246</v>
      </c>
      <c r="C1655" s="96">
        <v>11</v>
      </c>
      <c r="D1655" s="104" t="s">
        <v>38</v>
      </c>
      <c r="E1655" s="97" t="s">
        <v>18</v>
      </c>
      <c r="F1655" s="97" t="str">
        <f>VLOOKUP(E1655,Emp_Data!$B$2:$C$9,2,)</f>
        <v>Sara</v>
      </c>
      <c r="G1655" s="97" t="s">
        <v>19</v>
      </c>
      <c r="H1655" s="97" t="s">
        <v>43</v>
      </c>
      <c r="I1655" s="97">
        <v>69</v>
      </c>
      <c r="J1655" s="97">
        <v>5</v>
      </c>
      <c r="K1655" s="97">
        <f t="shared" si="25"/>
        <v>345</v>
      </c>
      <c r="L1655" s="97">
        <f>_xlfn.XLOOKUP(E1655,Emp_Data!$B$2:$B$9,Emp_Data!$A$2:$A$9)</f>
        <v>5</v>
      </c>
    </row>
    <row r="1656" spans="1:12">
      <c r="A1656" s="99">
        <v>180</v>
      </c>
      <c r="B1656" s="101">
        <v>44248</v>
      </c>
      <c r="C1656" s="96">
        <v>20</v>
      </c>
      <c r="D1656" s="104" t="s">
        <v>7</v>
      </c>
      <c r="E1656" s="97" t="s">
        <v>25</v>
      </c>
      <c r="F1656" s="97" t="str">
        <f>VLOOKUP(E1656,Emp_Data!$B$2:$C$9,2,)</f>
        <v>Jeff</v>
      </c>
      <c r="G1656" s="97" t="s">
        <v>9</v>
      </c>
      <c r="H1656" s="97" t="s">
        <v>43</v>
      </c>
      <c r="I1656" s="97">
        <v>69</v>
      </c>
      <c r="J1656" s="97">
        <v>3</v>
      </c>
      <c r="K1656" s="97">
        <f t="shared" si="25"/>
        <v>207</v>
      </c>
      <c r="L1656" s="97">
        <f>_xlfn.XLOOKUP(E1656,Emp_Data!$B$2:$B$9,Emp_Data!$A$2:$A$9)</f>
        <v>5</v>
      </c>
    </row>
    <row r="1657" spans="1:12">
      <c r="A1657" s="99">
        <v>181</v>
      </c>
      <c r="B1657" s="101">
        <v>44248</v>
      </c>
      <c r="C1657" s="96">
        <v>20</v>
      </c>
      <c r="D1657" s="104" t="s">
        <v>7</v>
      </c>
      <c r="E1657" s="97" t="s">
        <v>8</v>
      </c>
      <c r="F1657" s="97" t="str">
        <f>VLOOKUP(E1657,Emp_Data!$B$2:$C$9,2,)</f>
        <v>Jeff</v>
      </c>
      <c r="G1657" s="97" t="s">
        <v>9</v>
      </c>
      <c r="H1657" s="97" t="s">
        <v>43</v>
      </c>
      <c r="I1657" s="97">
        <v>69</v>
      </c>
      <c r="J1657" s="97">
        <v>1</v>
      </c>
      <c r="K1657" s="97">
        <f t="shared" si="25"/>
        <v>69</v>
      </c>
      <c r="L1657" s="97">
        <f>_xlfn.XLOOKUP(E1657,Emp_Data!$B$2:$B$9,Emp_Data!$A$2:$A$9)</f>
        <v>3</v>
      </c>
    </row>
    <row r="1658" spans="1:12">
      <c r="A1658" s="99">
        <v>197</v>
      </c>
      <c r="B1658" s="101">
        <v>44256</v>
      </c>
      <c r="C1658" s="96">
        <v>18</v>
      </c>
      <c r="D1658" s="104" t="s">
        <v>30</v>
      </c>
      <c r="E1658" s="97" t="s">
        <v>8</v>
      </c>
      <c r="F1658" s="97" t="str">
        <f>VLOOKUP(E1658,Emp_Data!$B$2:$C$9,2,)</f>
        <v>Jeff</v>
      </c>
      <c r="G1658" s="97" t="s">
        <v>9</v>
      </c>
      <c r="H1658" s="97" t="s">
        <v>43</v>
      </c>
      <c r="I1658" s="97">
        <v>69</v>
      </c>
      <c r="J1658" s="97">
        <v>8</v>
      </c>
      <c r="K1658" s="97">
        <f t="shared" si="25"/>
        <v>552</v>
      </c>
      <c r="L1658" s="97">
        <f>_xlfn.XLOOKUP(E1658,Emp_Data!$B$2:$B$9,Emp_Data!$A$2:$A$9)</f>
        <v>3</v>
      </c>
    </row>
    <row r="1659" spans="1:12">
      <c r="A1659" s="99">
        <v>211</v>
      </c>
      <c r="B1659" s="101">
        <v>44263</v>
      </c>
      <c r="C1659" s="96">
        <v>4</v>
      </c>
      <c r="D1659" s="104" t="s">
        <v>13</v>
      </c>
      <c r="E1659" s="97" t="s">
        <v>21</v>
      </c>
      <c r="F1659" s="97" t="str">
        <f>VLOOKUP(E1659,Emp_Data!$B$2:$C$9,2,)</f>
        <v>Sara</v>
      </c>
      <c r="G1659" s="97" t="s">
        <v>15</v>
      </c>
      <c r="H1659" s="97" t="s">
        <v>43</v>
      </c>
      <c r="I1659" s="97">
        <v>69</v>
      </c>
      <c r="J1659" s="97">
        <v>4</v>
      </c>
      <c r="K1659" s="97">
        <f t="shared" si="25"/>
        <v>276</v>
      </c>
      <c r="L1659" s="97">
        <f>_xlfn.XLOOKUP(E1659,Emp_Data!$B$2:$B$9,Emp_Data!$A$2:$A$9)</f>
        <v>2</v>
      </c>
    </row>
    <row r="1660" spans="1:12">
      <c r="A1660" s="99">
        <v>214</v>
      </c>
      <c r="B1660" s="101">
        <v>44265</v>
      </c>
      <c r="C1660" s="96">
        <v>5</v>
      </c>
      <c r="D1660" s="104" t="s">
        <v>16</v>
      </c>
      <c r="E1660" s="97" t="s">
        <v>21</v>
      </c>
      <c r="F1660" s="97" t="str">
        <f>VLOOKUP(E1660,Emp_Data!$B$2:$C$9,2,)</f>
        <v>Sara</v>
      </c>
      <c r="G1660" s="97" t="s">
        <v>15</v>
      </c>
      <c r="H1660" s="97" t="s">
        <v>43</v>
      </c>
      <c r="I1660" s="97">
        <v>69</v>
      </c>
      <c r="J1660" s="97">
        <v>6</v>
      </c>
      <c r="K1660" s="97">
        <f t="shared" si="25"/>
        <v>414</v>
      </c>
      <c r="L1660" s="97">
        <f>_xlfn.XLOOKUP(E1660,Emp_Data!$B$2:$B$9,Emp_Data!$A$2:$A$9)</f>
        <v>2</v>
      </c>
    </row>
    <row r="1661" spans="1:12">
      <c r="A1661" s="99">
        <v>216</v>
      </c>
      <c r="B1661" s="101">
        <v>44266</v>
      </c>
      <c r="C1661" s="96">
        <v>18</v>
      </c>
      <c r="D1661" s="104" t="s">
        <v>30</v>
      </c>
      <c r="E1661" s="97" t="s">
        <v>25</v>
      </c>
      <c r="F1661" s="97" t="str">
        <f>VLOOKUP(E1661,Emp_Data!$B$2:$C$9,2,)</f>
        <v>Jeff</v>
      </c>
      <c r="G1661" s="97" t="s">
        <v>9</v>
      </c>
      <c r="H1661" s="97" t="s">
        <v>43</v>
      </c>
      <c r="I1661" s="97">
        <v>69</v>
      </c>
      <c r="J1661" s="97">
        <v>9</v>
      </c>
      <c r="K1661" s="97">
        <f t="shared" si="25"/>
        <v>621</v>
      </c>
      <c r="L1661" s="97">
        <f>_xlfn.XLOOKUP(E1661,Emp_Data!$B$2:$B$9,Emp_Data!$A$2:$A$9)</f>
        <v>5</v>
      </c>
    </row>
    <row r="1662" spans="1:12">
      <c r="A1662" s="99">
        <v>233</v>
      </c>
      <c r="B1662" s="101">
        <v>44270</v>
      </c>
      <c r="C1662" s="96">
        <v>9</v>
      </c>
      <c r="D1662" s="104" t="s">
        <v>26</v>
      </c>
      <c r="E1662" s="97" t="s">
        <v>11</v>
      </c>
      <c r="F1662" s="97" t="str">
        <f>VLOOKUP(E1662,Emp_Data!$B$2:$C$9,2,)</f>
        <v>Steve</v>
      </c>
      <c r="G1662" s="97" t="s">
        <v>12</v>
      </c>
      <c r="H1662" s="97" t="s">
        <v>43</v>
      </c>
      <c r="I1662" s="97">
        <v>69</v>
      </c>
      <c r="J1662" s="97">
        <v>8</v>
      </c>
      <c r="K1662" s="97">
        <f t="shared" si="25"/>
        <v>552</v>
      </c>
      <c r="L1662" s="97">
        <f>_xlfn.XLOOKUP(E1662,Emp_Data!$B$2:$B$9,Emp_Data!$A$2:$A$9)</f>
        <v>4</v>
      </c>
    </row>
    <row r="1663" spans="1:12">
      <c r="A1663" s="99">
        <v>236</v>
      </c>
      <c r="B1663" s="101">
        <v>44271</v>
      </c>
      <c r="C1663" s="96">
        <v>20</v>
      </c>
      <c r="D1663" s="104" t="s">
        <v>7</v>
      </c>
      <c r="E1663" s="97" t="s">
        <v>8</v>
      </c>
      <c r="F1663" s="97" t="str">
        <f>VLOOKUP(E1663,Emp_Data!$B$2:$C$9,2,)</f>
        <v>Jeff</v>
      </c>
      <c r="G1663" s="97" t="s">
        <v>9</v>
      </c>
      <c r="H1663" s="97" t="s">
        <v>43</v>
      </c>
      <c r="I1663" s="97">
        <v>69</v>
      </c>
      <c r="J1663" s="97">
        <v>8</v>
      </c>
      <c r="K1663" s="97">
        <f t="shared" si="25"/>
        <v>552</v>
      </c>
      <c r="L1663" s="97">
        <f>_xlfn.XLOOKUP(E1663,Emp_Data!$B$2:$B$9,Emp_Data!$A$2:$A$9)</f>
        <v>3</v>
      </c>
    </row>
    <row r="1664" spans="1:12">
      <c r="A1664" s="99">
        <v>237</v>
      </c>
      <c r="B1664" s="101">
        <v>44271</v>
      </c>
      <c r="C1664" s="96">
        <v>4</v>
      </c>
      <c r="D1664" s="104" t="s">
        <v>13</v>
      </c>
      <c r="E1664" s="97" t="s">
        <v>14</v>
      </c>
      <c r="F1664" s="97" t="str">
        <f>VLOOKUP(E1664,Emp_Data!$B$2:$C$9,2,)</f>
        <v>Jeff</v>
      </c>
      <c r="G1664" s="97" t="s">
        <v>15</v>
      </c>
      <c r="H1664" s="97" t="s">
        <v>43</v>
      </c>
      <c r="I1664" s="97">
        <v>69</v>
      </c>
      <c r="J1664" s="97">
        <v>7</v>
      </c>
      <c r="K1664" s="97">
        <f t="shared" si="25"/>
        <v>483</v>
      </c>
      <c r="L1664" s="97">
        <f>_xlfn.XLOOKUP(E1664,Emp_Data!$B$2:$B$9,Emp_Data!$A$2:$A$9)</f>
        <v>2</v>
      </c>
    </row>
    <row r="1665" spans="1:12">
      <c r="A1665" s="99">
        <v>241</v>
      </c>
      <c r="B1665" s="101">
        <v>44271</v>
      </c>
      <c r="C1665" s="96">
        <v>4</v>
      </c>
      <c r="D1665" s="104" t="s">
        <v>13</v>
      </c>
      <c r="E1665" s="97" t="s">
        <v>14</v>
      </c>
      <c r="F1665" s="97" t="str">
        <f>VLOOKUP(E1665,Emp_Data!$B$2:$C$9,2,)</f>
        <v>Jeff</v>
      </c>
      <c r="G1665" s="97" t="s">
        <v>15</v>
      </c>
      <c r="H1665" s="97" t="s">
        <v>43</v>
      </c>
      <c r="I1665" s="97">
        <v>69</v>
      </c>
      <c r="J1665" s="97">
        <v>5</v>
      </c>
      <c r="K1665" s="97">
        <f t="shared" si="25"/>
        <v>345</v>
      </c>
      <c r="L1665" s="97">
        <f>_xlfn.XLOOKUP(E1665,Emp_Data!$B$2:$B$9,Emp_Data!$A$2:$A$9)</f>
        <v>2</v>
      </c>
    </row>
    <row r="1666" spans="1:12">
      <c r="A1666" s="99">
        <v>248</v>
      </c>
      <c r="B1666" s="101">
        <v>44273</v>
      </c>
      <c r="C1666" s="96">
        <v>18</v>
      </c>
      <c r="D1666" s="104" t="s">
        <v>30</v>
      </c>
      <c r="E1666" s="97" t="s">
        <v>8</v>
      </c>
      <c r="F1666" s="97" t="str">
        <f>VLOOKUP(E1666,Emp_Data!$B$2:$C$9,2,)</f>
        <v>Jeff</v>
      </c>
      <c r="G1666" s="97" t="s">
        <v>9</v>
      </c>
      <c r="H1666" s="97" t="s">
        <v>43</v>
      </c>
      <c r="I1666" s="97">
        <v>69</v>
      </c>
      <c r="J1666" s="97">
        <v>5</v>
      </c>
      <c r="K1666" s="97">
        <f t="shared" si="25"/>
        <v>345</v>
      </c>
      <c r="L1666" s="97">
        <f>_xlfn.XLOOKUP(E1666,Emp_Data!$B$2:$B$9,Emp_Data!$A$2:$A$9)</f>
        <v>3</v>
      </c>
    </row>
    <row r="1667" spans="1:12">
      <c r="A1667" s="99">
        <v>257</v>
      </c>
      <c r="B1667" s="101">
        <v>44274</v>
      </c>
      <c r="C1667" s="96">
        <v>2</v>
      </c>
      <c r="D1667" s="104" t="s">
        <v>35</v>
      </c>
      <c r="E1667" s="97" t="s">
        <v>14</v>
      </c>
      <c r="F1667" s="97" t="str">
        <f>VLOOKUP(E1667,Emp_Data!$B$2:$C$9,2,)</f>
        <v>Jeff</v>
      </c>
      <c r="G1667" s="97" t="s">
        <v>15</v>
      </c>
      <c r="H1667" s="97" t="s">
        <v>43</v>
      </c>
      <c r="I1667" s="97">
        <v>69</v>
      </c>
      <c r="J1667" s="97">
        <v>8</v>
      </c>
      <c r="K1667" s="97">
        <f t="shared" ref="K1667:K1730" si="26">SUMPRODUCT(I1667,J1667)</f>
        <v>552</v>
      </c>
      <c r="L1667" s="97">
        <f>_xlfn.XLOOKUP(E1667,Emp_Data!$B$2:$B$9,Emp_Data!$A$2:$A$9)</f>
        <v>2</v>
      </c>
    </row>
    <row r="1668" spans="1:12">
      <c r="A1668" s="99">
        <v>260</v>
      </c>
      <c r="B1668" s="101">
        <v>44275</v>
      </c>
      <c r="C1668" s="96">
        <v>14</v>
      </c>
      <c r="D1668" s="104" t="s">
        <v>33</v>
      </c>
      <c r="E1668" s="97" t="s">
        <v>18</v>
      </c>
      <c r="F1668" s="97" t="str">
        <f>VLOOKUP(E1668,Emp_Data!$B$2:$C$9,2,)</f>
        <v>Sara</v>
      </c>
      <c r="G1668" s="97" t="s">
        <v>19</v>
      </c>
      <c r="H1668" s="97" t="s">
        <v>43</v>
      </c>
      <c r="I1668" s="97">
        <v>69</v>
      </c>
      <c r="J1668" s="97">
        <v>9</v>
      </c>
      <c r="K1668" s="97">
        <f t="shared" si="26"/>
        <v>621</v>
      </c>
      <c r="L1668" s="97">
        <f>_xlfn.XLOOKUP(E1668,Emp_Data!$B$2:$B$9,Emp_Data!$A$2:$A$9)</f>
        <v>5</v>
      </c>
    </row>
    <row r="1669" spans="1:12">
      <c r="A1669" s="99">
        <v>266</v>
      </c>
      <c r="B1669" s="101">
        <v>44280</v>
      </c>
      <c r="C1669" s="96">
        <v>12</v>
      </c>
      <c r="D1669" s="104" t="s">
        <v>17</v>
      </c>
      <c r="E1669" s="97" t="s">
        <v>24</v>
      </c>
      <c r="F1669" s="97" t="str">
        <f>VLOOKUP(E1669,Emp_Data!$B$2:$C$9,2,)</f>
        <v>Steve</v>
      </c>
      <c r="G1669" s="97" t="s">
        <v>19</v>
      </c>
      <c r="H1669" s="97" t="s">
        <v>43</v>
      </c>
      <c r="I1669" s="97">
        <v>69</v>
      </c>
      <c r="J1669" s="97">
        <v>4</v>
      </c>
      <c r="K1669" s="97">
        <f t="shared" si="26"/>
        <v>276</v>
      </c>
      <c r="L1669" s="97">
        <f>_xlfn.XLOOKUP(E1669,Emp_Data!$B$2:$B$9,Emp_Data!$A$2:$A$9)</f>
        <v>6</v>
      </c>
    </row>
    <row r="1670" spans="1:12">
      <c r="A1670" s="99">
        <v>279</v>
      </c>
      <c r="B1670" s="101">
        <v>44281</v>
      </c>
      <c r="C1670" s="96">
        <v>9</v>
      </c>
      <c r="D1670" s="104" t="s">
        <v>26</v>
      </c>
      <c r="E1670" s="97" t="s">
        <v>27</v>
      </c>
      <c r="F1670" s="97" t="str">
        <f>VLOOKUP(E1670,Emp_Data!$B$2:$C$9,2,)</f>
        <v>Philip</v>
      </c>
      <c r="G1670" s="97" t="s">
        <v>12</v>
      </c>
      <c r="H1670" s="97" t="s">
        <v>43</v>
      </c>
      <c r="I1670" s="97">
        <v>69</v>
      </c>
      <c r="J1670" s="97">
        <v>9</v>
      </c>
      <c r="K1670" s="97">
        <f t="shared" si="26"/>
        <v>621</v>
      </c>
      <c r="L1670" s="97">
        <f>_xlfn.XLOOKUP(E1670,Emp_Data!$B$2:$B$9,Emp_Data!$A$2:$A$9)</f>
        <v>8</v>
      </c>
    </row>
    <row r="1671" spans="1:12">
      <c r="A1671" s="99">
        <v>281</v>
      </c>
      <c r="B1671" s="101">
        <v>44281</v>
      </c>
      <c r="C1671" s="96">
        <v>20</v>
      </c>
      <c r="D1671" s="104" t="s">
        <v>7</v>
      </c>
      <c r="E1671" s="97" t="s">
        <v>8</v>
      </c>
      <c r="F1671" s="97" t="str">
        <f>VLOOKUP(E1671,Emp_Data!$B$2:$C$9,2,)</f>
        <v>Jeff</v>
      </c>
      <c r="G1671" s="97" t="s">
        <v>9</v>
      </c>
      <c r="H1671" s="97" t="s">
        <v>43</v>
      </c>
      <c r="I1671" s="97">
        <v>69</v>
      </c>
      <c r="J1671" s="97">
        <v>3</v>
      </c>
      <c r="K1671" s="97">
        <f t="shared" si="26"/>
        <v>207</v>
      </c>
      <c r="L1671" s="97">
        <f>_xlfn.XLOOKUP(E1671,Emp_Data!$B$2:$B$9,Emp_Data!$A$2:$A$9)</f>
        <v>3</v>
      </c>
    </row>
    <row r="1672" spans="1:12">
      <c r="A1672" s="99">
        <v>286</v>
      </c>
      <c r="B1672" s="101">
        <v>44282</v>
      </c>
      <c r="C1672" s="96">
        <v>13</v>
      </c>
      <c r="D1672" s="104" t="s">
        <v>23</v>
      </c>
      <c r="E1672" s="97" t="s">
        <v>24</v>
      </c>
      <c r="F1672" s="97" t="str">
        <f>VLOOKUP(E1672,Emp_Data!$B$2:$C$9,2,)</f>
        <v>Steve</v>
      </c>
      <c r="G1672" s="97" t="s">
        <v>19</v>
      </c>
      <c r="H1672" s="97" t="s">
        <v>43</v>
      </c>
      <c r="I1672" s="97">
        <v>69</v>
      </c>
      <c r="J1672" s="97">
        <v>6</v>
      </c>
      <c r="K1672" s="97">
        <f t="shared" si="26"/>
        <v>414</v>
      </c>
      <c r="L1672" s="97">
        <f>_xlfn.XLOOKUP(E1672,Emp_Data!$B$2:$B$9,Emp_Data!$A$2:$A$9)</f>
        <v>6</v>
      </c>
    </row>
    <row r="1673" spans="1:12">
      <c r="A1673" s="99">
        <v>291</v>
      </c>
      <c r="B1673" s="101">
        <v>44285</v>
      </c>
      <c r="C1673" s="96">
        <v>19</v>
      </c>
      <c r="D1673" s="104" t="s">
        <v>22</v>
      </c>
      <c r="E1673" s="97" t="s">
        <v>25</v>
      </c>
      <c r="F1673" s="97" t="str">
        <f>VLOOKUP(E1673,Emp_Data!$B$2:$C$9,2,)</f>
        <v>Jeff</v>
      </c>
      <c r="G1673" s="97" t="s">
        <v>9</v>
      </c>
      <c r="H1673" s="97" t="s">
        <v>43</v>
      </c>
      <c r="I1673" s="97">
        <v>69</v>
      </c>
      <c r="J1673" s="97">
        <v>3</v>
      </c>
      <c r="K1673" s="97">
        <f t="shared" si="26"/>
        <v>207</v>
      </c>
      <c r="L1673" s="97">
        <f>_xlfn.XLOOKUP(E1673,Emp_Data!$B$2:$B$9,Emp_Data!$A$2:$A$9)</f>
        <v>5</v>
      </c>
    </row>
    <row r="1674" spans="1:12">
      <c r="A1674" s="99">
        <v>295</v>
      </c>
      <c r="B1674" s="101">
        <v>44286</v>
      </c>
      <c r="C1674" s="96">
        <v>7</v>
      </c>
      <c r="D1674" s="104" t="s">
        <v>28</v>
      </c>
      <c r="E1674" s="97" t="s">
        <v>11</v>
      </c>
      <c r="F1674" s="97" t="str">
        <f>VLOOKUP(E1674,Emp_Data!$B$2:$C$9,2,)</f>
        <v>Steve</v>
      </c>
      <c r="G1674" s="97" t="s">
        <v>12</v>
      </c>
      <c r="H1674" s="97" t="s">
        <v>43</v>
      </c>
      <c r="I1674" s="97">
        <v>69</v>
      </c>
      <c r="J1674" s="97">
        <v>3</v>
      </c>
      <c r="K1674" s="97">
        <f t="shared" si="26"/>
        <v>207</v>
      </c>
      <c r="L1674" s="97">
        <f>_xlfn.XLOOKUP(E1674,Emp_Data!$B$2:$B$9,Emp_Data!$A$2:$A$9)</f>
        <v>4</v>
      </c>
    </row>
    <row r="1675" spans="1:12">
      <c r="A1675" s="99">
        <v>296</v>
      </c>
      <c r="B1675" s="101">
        <v>44286</v>
      </c>
      <c r="C1675" s="96">
        <v>9</v>
      </c>
      <c r="D1675" s="104" t="s">
        <v>26</v>
      </c>
      <c r="E1675" s="97" t="s">
        <v>27</v>
      </c>
      <c r="F1675" s="97" t="str">
        <f>VLOOKUP(E1675,Emp_Data!$B$2:$C$9,2,)</f>
        <v>Philip</v>
      </c>
      <c r="G1675" s="97" t="s">
        <v>12</v>
      </c>
      <c r="H1675" s="97" t="s">
        <v>43</v>
      </c>
      <c r="I1675" s="97">
        <v>69</v>
      </c>
      <c r="J1675" s="97">
        <v>4</v>
      </c>
      <c r="K1675" s="97">
        <f t="shared" si="26"/>
        <v>276</v>
      </c>
      <c r="L1675" s="97">
        <f>_xlfn.XLOOKUP(E1675,Emp_Data!$B$2:$B$9,Emp_Data!$A$2:$A$9)</f>
        <v>8</v>
      </c>
    </row>
    <row r="1676" spans="1:12">
      <c r="A1676" s="99">
        <v>298</v>
      </c>
      <c r="B1676" s="101">
        <v>44286</v>
      </c>
      <c r="C1676" s="96">
        <v>13</v>
      </c>
      <c r="D1676" s="104" t="s">
        <v>23</v>
      </c>
      <c r="E1676" s="97" t="s">
        <v>24</v>
      </c>
      <c r="F1676" s="97" t="str">
        <f>VLOOKUP(E1676,Emp_Data!$B$2:$C$9,2,)</f>
        <v>Steve</v>
      </c>
      <c r="G1676" s="97" t="s">
        <v>19</v>
      </c>
      <c r="H1676" s="97" t="s">
        <v>43</v>
      </c>
      <c r="I1676" s="97">
        <v>69</v>
      </c>
      <c r="J1676" s="97">
        <v>4</v>
      </c>
      <c r="K1676" s="97">
        <f t="shared" si="26"/>
        <v>276</v>
      </c>
      <c r="L1676" s="97">
        <f>_xlfn.XLOOKUP(E1676,Emp_Data!$B$2:$B$9,Emp_Data!$A$2:$A$9)</f>
        <v>6</v>
      </c>
    </row>
    <row r="1677" spans="1:12">
      <c r="A1677" s="99">
        <v>300</v>
      </c>
      <c r="B1677" s="101">
        <v>44287</v>
      </c>
      <c r="C1677" s="96">
        <v>7</v>
      </c>
      <c r="D1677" s="104" t="s">
        <v>28</v>
      </c>
      <c r="E1677" s="97" t="s">
        <v>27</v>
      </c>
      <c r="F1677" s="97" t="str">
        <f>VLOOKUP(E1677,Emp_Data!$B$2:$C$9,2,)</f>
        <v>Philip</v>
      </c>
      <c r="G1677" s="97" t="s">
        <v>12</v>
      </c>
      <c r="H1677" s="97" t="s">
        <v>43</v>
      </c>
      <c r="I1677" s="97">
        <v>69</v>
      </c>
      <c r="J1677" s="97">
        <v>2</v>
      </c>
      <c r="K1677" s="97">
        <f t="shared" si="26"/>
        <v>138</v>
      </c>
      <c r="L1677" s="97">
        <f>_xlfn.XLOOKUP(E1677,Emp_Data!$B$2:$B$9,Emp_Data!$A$2:$A$9)</f>
        <v>8</v>
      </c>
    </row>
    <row r="1678" spans="1:12">
      <c r="A1678" s="99">
        <v>302</v>
      </c>
      <c r="B1678" s="101">
        <v>44289</v>
      </c>
      <c r="C1678" s="96">
        <v>6</v>
      </c>
      <c r="D1678" s="104" t="s">
        <v>10</v>
      </c>
      <c r="E1678" s="97" t="s">
        <v>11</v>
      </c>
      <c r="F1678" s="97" t="str">
        <f>VLOOKUP(E1678,Emp_Data!$B$2:$C$9,2,)</f>
        <v>Steve</v>
      </c>
      <c r="G1678" s="97" t="s">
        <v>12</v>
      </c>
      <c r="H1678" s="97" t="s">
        <v>43</v>
      </c>
      <c r="I1678" s="97">
        <v>69</v>
      </c>
      <c r="J1678" s="97">
        <v>6</v>
      </c>
      <c r="K1678" s="97">
        <f t="shared" si="26"/>
        <v>414</v>
      </c>
      <c r="L1678" s="97">
        <f>_xlfn.XLOOKUP(E1678,Emp_Data!$B$2:$B$9,Emp_Data!$A$2:$A$9)</f>
        <v>4</v>
      </c>
    </row>
    <row r="1679" spans="1:12">
      <c r="A1679" s="99">
        <v>304</v>
      </c>
      <c r="B1679" s="101">
        <v>44290</v>
      </c>
      <c r="C1679" s="96">
        <v>2</v>
      </c>
      <c r="D1679" s="104" t="s">
        <v>35</v>
      </c>
      <c r="E1679" s="97" t="s">
        <v>21</v>
      </c>
      <c r="F1679" s="97" t="str">
        <f>VLOOKUP(E1679,Emp_Data!$B$2:$C$9,2,)</f>
        <v>Sara</v>
      </c>
      <c r="G1679" s="97" t="s">
        <v>15</v>
      </c>
      <c r="H1679" s="97" t="s">
        <v>43</v>
      </c>
      <c r="I1679" s="97">
        <v>69</v>
      </c>
      <c r="J1679" s="97">
        <v>1</v>
      </c>
      <c r="K1679" s="97">
        <f t="shared" si="26"/>
        <v>69</v>
      </c>
      <c r="L1679" s="97">
        <f>_xlfn.XLOOKUP(E1679,Emp_Data!$B$2:$B$9,Emp_Data!$A$2:$A$9)</f>
        <v>2</v>
      </c>
    </row>
    <row r="1680" spans="1:12">
      <c r="A1680" s="99">
        <v>310</v>
      </c>
      <c r="B1680" s="101">
        <v>44292</v>
      </c>
      <c r="C1680" s="96">
        <v>6</v>
      </c>
      <c r="D1680" s="104" t="s">
        <v>10</v>
      </c>
      <c r="E1680" s="97" t="s">
        <v>11</v>
      </c>
      <c r="F1680" s="97" t="str">
        <f>VLOOKUP(E1680,Emp_Data!$B$2:$C$9,2,)</f>
        <v>Steve</v>
      </c>
      <c r="G1680" s="97" t="s">
        <v>12</v>
      </c>
      <c r="H1680" s="97" t="s">
        <v>43</v>
      </c>
      <c r="I1680" s="97">
        <v>69</v>
      </c>
      <c r="J1680" s="97">
        <v>0</v>
      </c>
      <c r="K1680" s="97">
        <f t="shared" si="26"/>
        <v>0</v>
      </c>
      <c r="L1680" s="97">
        <f>_xlfn.XLOOKUP(E1680,Emp_Data!$B$2:$B$9,Emp_Data!$A$2:$A$9)</f>
        <v>4</v>
      </c>
    </row>
    <row r="1681" spans="1:12">
      <c r="A1681" s="99">
        <v>319</v>
      </c>
      <c r="B1681" s="101">
        <v>44296</v>
      </c>
      <c r="C1681" s="96">
        <v>14</v>
      </c>
      <c r="D1681" s="104" t="s">
        <v>33</v>
      </c>
      <c r="E1681" s="97" t="s">
        <v>18</v>
      </c>
      <c r="F1681" s="97" t="str">
        <f>VLOOKUP(E1681,Emp_Data!$B$2:$C$9,2,)</f>
        <v>Sara</v>
      </c>
      <c r="G1681" s="97" t="s">
        <v>19</v>
      </c>
      <c r="H1681" s="97" t="s">
        <v>43</v>
      </c>
      <c r="I1681" s="97">
        <v>69</v>
      </c>
      <c r="J1681" s="97">
        <v>3</v>
      </c>
      <c r="K1681" s="97">
        <f t="shared" si="26"/>
        <v>207</v>
      </c>
      <c r="L1681" s="97">
        <f>_xlfn.XLOOKUP(E1681,Emp_Data!$B$2:$B$9,Emp_Data!$A$2:$A$9)</f>
        <v>5</v>
      </c>
    </row>
    <row r="1682" spans="1:12">
      <c r="A1682" s="99">
        <v>320</v>
      </c>
      <c r="B1682" s="101">
        <v>44297</v>
      </c>
      <c r="C1682" s="96">
        <v>12</v>
      </c>
      <c r="D1682" s="104" t="s">
        <v>17</v>
      </c>
      <c r="E1682" s="97" t="s">
        <v>24</v>
      </c>
      <c r="F1682" s="97" t="str">
        <f>VLOOKUP(E1682,Emp_Data!$B$2:$C$9,2,)</f>
        <v>Steve</v>
      </c>
      <c r="G1682" s="97" t="s">
        <v>19</v>
      </c>
      <c r="H1682" s="97" t="s">
        <v>43</v>
      </c>
      <c r="I1682" s="97">
        <v>69</v>
      </c>
      <c r="J1682" s="97">
        <v>0</v>
      </c>
      <c r="K1682" s="97">
        <f t="shared" si="26"/>
        <v>0</v>
      </c>
      <c r="L1682" s="97">
        <f>_xlfn.XLOOKUP(E1682,Emp_Data!$B$2:$B$9,Emp_Data!$A$2:$A$9)</f>
        <v>6</v>
      </c>
    </row>
    <row r="1683" spans="1:12">
      <c r="A1683" s="99">
        <v>326</v>
      </c>
      <c r="B1683" s="101">
        <v>44300</v>
      </c>
      <c r="C1683" s="96">
        <v>7</v>
      </c>
      <c r="D1683" s="104" t="s">
        <v>28</v>
      </c>
      <c r="E1683" s="97" t="s">
        <v>27</v>
      </c>
      <c r="F1683" s="97" t="str">
        <f>VLOOKUP(E1683,Emp_Data!$B$2:$C$9,2,)</f>
        <v>Philip</v>
      </c>
      <c r="G1683" s="97" t="s">
        <v>12</v>
      </c>
      <c r="H1683" s="97" t="s">
        <v>43</v>
      </c>
      <c r="I1683" s="97">
        <v>69</v>
      </c>
      <c r="J1683" s="97">
        <v>2</v>
      </c>
      <c r="K1683" s="97">
        <f t="shared" si="26"/>
        <v>138</v>
      </c>
      <c r="L1683" s="97">
        <f>_xlfn.XLOOKUP(E1683,Emp_Data!$B$2:$B$9,Emp_Data!$A$2:$A$9)</f>
        <v>8</v>
      </c>
    </row>
    <row r="1684" spans="1:12">
      <c r="A1684" s="99">
        <v>335</v>
      </c>
      <c r="B1684" s="101">
        <v>44301</v>
      </c>
      <c r="C1684" s="96">
        <v>2</v>
      </c>
      <c r="D1684" s="104" t="s">
        <v>35</v>
      </c>
      <c r="E1684" s="97" t="s">
        <v>21</v>
      </c>
      <c r="F1684" s="97" t="str">
        <f>VLOOKUP(E1684,Emp_Data!$B$2:$C$9,2,)</f>
        <v>Sara</v>
      </c>
      <c r="G1684" s="97" t="s">
        <v>15</v>
      </c>
      <c r="H1684" s="97" t="s">
        <v>43</v>
      </c>
      <c r="I1684" s="97">
        <v>69</v>
      </c>
      <c r="J1684" s="97">
        <v>9</v>
      </c>
      <c r="K1684" s="97">
        <f t="shared" si="26"/>
        <v>621</v>
      </c>
      <c r="L1684" s="97">
        <f>_xlfn.XLOOKUP(E1684,Emp_Data!$B$2:$B$9,Emp_Data!$A$2:$A$9)</f>
        <v>2</v>
      </c>
    </row>
    <row r="1685" spans="1:12">
      <c r="A1685" s="99">
        <v>337</v>
      </c>
      <c r="B1685" s="101">
        <v>44303</v>
      </c>
      <c r="C1685" s="96">
        <v>11</v>
      </c>
      <c r="D1685" s="104" t="s">
        <v>38</v>
      </c>
      <c r="E1685" s="97" t="s">
        <v>24</v>
      </c>
      <c r="F1685" s="97" t="str">
        <f>VLOOKUP(E1685,Emp_Data!$B$2:$C$9,2,)</f>
        <v>Steve</v>
      </c>
      <c r="G1685" s="97" t="s">
        <v>19</v>
      </c>
      <c r="H1685" s="97" t="s">
        <v>43</v>
      </c>
      <c r="I1685" s="97">
        <v>69</v>
      </c>
      <c r="J1685" s="97">
        <v>8</v>
      </c>
      <c r="K1685" s="97">
        <f t="shared" si="26"/>
        <v>552</v>
      </c>
      <c r="L1685" s="97">
        <f>_xlfn.XLOOKUP(E1685,Emp_Data!$B$2:$B$9,Emp_Data!$A$2:$A$9)</f>
        <v>6</v>
      </c>
    </row>
    <row r="1686" spans="1:12">
      <c r="A1686" s="99">
        <v>339</v>
      </c>
      <c r="B1686" s="101">
        <v>44304</v>
      </c>
      <c r="C1686" s="96">
        <v>8</v>
      </c>
      <c r="D1686" s="104" t="s">
        <v>36</v>
      </c>
      <c r="E1686" s="97" t="s">
        <v>27</v>
      </c>
      <c r="F1686" s="97" t="str">
        <f>VLOOKUP(E1686,Emp_Data!$B$2:$C$9,2,)</f>
        <v>Philip</v>
      </c>
      <c r="G1686" s="97" t="s">
        <v>12</v>
      </c>
      <c r="H1686" s="97" t="s">
        <v>43</v>
      </c>
      <c r="I1686" s="97">
        <v>69</v>
      </c>
      <c r="J1686" s="97">
        <v>6</v>
      </c>
      <c r="K1686" s="97">
        <f t="shared" si="26"/>
        <v>414</v>
      </c>
      <c r="L1686" s="97">
        <f>_xlfn.XLOOKUP(E1686,Emp_Data!$B$2:$B$9,Emp_Data!$A$2:$A$9)</f>
        <v>8</v>
      </c>
    </row>
    <row r="1687" spans="1:12">
      <c r="A1687" s="99">
        <v>342</v>
      </c>
      <c r="B1687" s="101">
        <v>44305</v>
      </c>
      <c r="C1687" s="96">
        <v>19</v>
      </c>
      <c r="D1687" s="104" t="s">
        <v>22</v>
      </c>
      <c r="E1687" s="97" t="s">
        <v>8</v>
      </c>
      <c r="F1687" s="97" t="str">
        <f>VLOOKUP(E1687,Emp_Data!$B$2:$C$9,2,)</f>
        <v>Jeff</v>
      </c>
      <c r="G1687" s="97" t="s">
        <v>9</v>
      </c>
      <c r="H1687" s="97" t="s">
        <v>43</v>
      </c>
      <c r="I1687" s="97">
        <v>69</v>
      </c>
      <c r="J1687" s="97">
        <v>1</v>
      </c>
      <c r="K1687" s="97">
        <f t="shared" si="26"/>
        <v>69</v>
      </c>
      <c r="L1687" s="97">
        <f>_xlfn.XLOOKUP(E1687,Emp_Data!$B$2:$B$9,Emp_Data!$A$2:$A$9)</f>
        <v>3</v>
      </c>
    </row>
    <row r="1688" spans="1:12">
      <c r="A1688" s="99">
        <v>346</v>
      </c>
      <c r="B1688" s="101">
        <v>44305</v>
      </c>
      <c r="C1688" s="96">
        <v>17</v>
      </c>
      <c r="D1688" s="104" t="s">
        <v>32</v>
      </c>
      <c r="E1688" s="97" t="s">
        <v>25</v>
      </c>
      <c r="F1688" s="97" t="str">
        <f>VLOOKUP(E1688,Emp_Data!$B$2:$C$9,2,)</f>
        <v>Jeff</v>
      </c>
      <c r="G1688" s="97" t="s">
        <v>9</v>
      </c>
      <c r="H1688" s="97" t="s">
        <v>43</v>
      </c>
      <c r="I1688" s="97">
        <v>69</v>
      </c>
      <c r="J1688" s="97">
        <v>2</v>
      </c>
      <c r="K1688" s="97">
        <f t="shared" si="26"/>
        <v>138</v>
      </c>
      <c r="L1688" s="97">
        <f>_xlfn.XLOOKUP(E1688,Emp_Data!$B$2:$B$9,Emp_Data!$A$2:$A$9)</f>
        <v>5</v>
      </c>
    </row>
    <row r="1689" spans="1:12">
      <c r="A1689" s="99">
        <v>351</v>
      </c>
      <c r="B1689" s="101">
        <v>44305</v>
      </c>
      <c r="C1689" s="96">
        <v>4</v>
      </c>
      <c r="D1689" s="104" t="s">
        <v>13</v>
      </c>
      <c r="E1689" s="97" t="s">
        <v>21</v>
      </c>
      <c r="F1689" s="97" t="str">
        <f>VLOOKUP(E1689,Emp_Data!$B$2:$C$9,2,)</f>
        <v>Sara</v>
      </c>
      <c r="G1689" s="97" t="s">
        <v>15</v>
      </c>
      <c r="H1689" s="97" t="s">
        <v>43</v>
      </c>
      <c r="I1689" s="97">
        <v>69</v>
      </c>
      <c r="J1689" s="97">
        <v>6</v>
      </c>
      <c r="K1689" s="97">
        <f t="shared" si="26"/>
        <v>414</v>
      </c>
      <c r="L1689" s="97">
        <f>_xlfn.XLOOKUP(E1689,Emp_Data!$B$2:$B$9,Emp_Data!$A$2:$A$9)</f>
        <v>2</v>
      </c>
    </row>
    <row r="1690" spans="1:12">
      <c r="A1690" s="99">
        <v>354</v>
      </c>
      <c r="B1690" s="101">
        <v>44306</v>
      </c>
      <c r="C1690" s="96">
        <v>5</v>
      </c>
      <c r="D1690" s="104" t="s">
        <v>16</v>
      </c>
      <c r="E1690" s="97" t="s">
        <v>14</v>
      </c>
      <c r="F1690" s="97" t="str">
        <f>VLOOKUP(E1690,Emp_Data!$B$2:$C$9,2,)</f>
        <v>Jeff</v>
      </c>
      <c r="G1690" s="97" t="s">
        <v>15</v>
      </c>
      <c r="H1690" s="97" t="s">
        <v>43</v>
      </c>
      <c r="I1690" s="97">
        <v>69</v>
      </c>
      <c r="J1690" s="97">
        <v>1</v>
      </c>
      <c r="K1690" s="97">
        <f t="shared" si="26"/>
        <v>69</v>
      </c>
      <c r="L1690" s="97">
        <f>_xlfn.XLOOKUP(E1690,Emp_Data!$B$2:$B$9,Emp_Data!$A$2:$A$9)</f>
        <v>2</v>
      </c>
    </row>
    <row r="1691" spans="1:12">
      <c r="A1691" s="99">
        <v>358</v>
      </c>
      <c r="B1691" s="101">
        <v>44308</v>
      </c>
      <c r="C1691" s="96">
        <v>2</v>
      </c>
      <c r="D1691" s="104" t="s">
        <v>35</v>
      </c>
      <c r="E1691" s="97" t="s">
        <v>14</v>
      </c>
      <c r="F1691" s="97" t="str">
        <f>VLOOKUP(E1691,Emp_Data!$B$2:$C$9,2,)</f>
        <v>Jeff</v>
      </c>
      <c r="G1691" s="97" t="s">
        <v>15</v>
      </c>
      <c r="H1691" s="97" t="s">
        <v>43</v>
      </c>
      <c r="I1691" s="97">
        <v>69</v>
      </c>
      <c r="J1691" s="97">
        <v>2</v>
      </c>
      <c r="K1691" s="97">
        <f t="shared" si="26"/>
        <v>138</v>
      </c>
      <c r="L1691" s="97">
        <f>_xlfn.XLOOKUP(E1691,Emp_Data!$B$2:$B$9,Emp_Data!$A$2:$A$9)</f>
        <v>2</v>
      </c>
    </row>
    <row r="1692" spans="1:12">
      <c r="A1692" s="99">
        <v>361</v>
      </c>
      <c r="B1692" s="101">
        <v>44308</v>
      </c>
      <c r="C1692" s="96">
        <v>10</v>
      </c>
      <c r="D1692" s="104" t="s">
        <v>34</v>
      </c>
      <c r="E1692" s="97" t="s">
        <v>27</v>
      </c>
      <c r="F1692" s="97" t="str">
        <f>VLOOKUP(E1692,Emp_Data!$B$2:$C$9,2,)</f>
        <v>Philip</v>
      </c>
      <c r="G1692" s="97" t="s">
        <v>12</v>
      </c>
      <c r="H1692" s="97" t="s">
        <v>43</v>
      </c>
      <c r="I1692" s="97">
        <v>69</v>
      </c>
      <c r="J1692" s="97">
        <v>7</v>
      </c>
      <c r="K1692" s="97">
        <f t="shared" si="26"/>
        <v>483</v>
      </c>
      <c r="L1692" s="97">
        <f>_xlfn.XLOOKUP(E1692,Emp_Data!$B$2:$B$9,Emp_Data!$A$2:$A$9)</f>
        <v>8</v>
      </c>
    </row>
    <row r="1693" spans="1:12">
      <c r="A1693" s="99">
        <v>366</v>
      </c>
      <c r="B1693" s="101">
        <v>44309</v>
      </c>
      <c r="C1693" s="96">
        <v>7</v>
      </c>
      <c r="D1693" s="104" t="s">
        <v>28</v>
      </c>
      <c r="E1693" s="97" t="s">
        <v>11</v>
      </c>
      <c r="F1693" s="97" t="str">
        <f>VLOOKUP(E1693,Emp_Data!$B$2:$C$9,2,)</f>
        <v>Steve</v>
      </c>
      <c r="G1693" s="97" t="s">
        <v>12</v>
      </c>
      <c r="H1693" s="97" t="s">
        <v>43</v>
      </c>
      <c r="I1693" s="97">
        <v>69</v>
      </c>
      <c r="J1693" s="97">
        <v>0</v>
      </c>
      <c r="K1693" s="97">
        <f t="shared" si="26"/>
        <v>0</v>
      </c>
      <c r="L1693" s="97">
        <f>_xlfn.XLOOKUP(E1693,Emp_Data!$B$2:$B$9,Emp_Data!$A$2:$A$9)</f>
        <v>4</v>
      </c>
    </row>
    <row r="1694" spans="1:12">
      <c r="A1694" s="99">
        <v>376</v>
      </c>
      <c r="B1694" s="101">
        <v>44311</v>
      </c>
      <c r="C1694" s="96">
        <v>16</v>
      </c>
      <c r="D1694" s="104" t="s">
        <v>37</v>
      </c>
      <c r="E1694" s="97" t="s">
        <v>8</v>
      </c>
      <c r="F1694" s="97" t="str">
        <f>VLOOKUP(E1694,Emp_Data!$B$2:$C$9,2,)</f>
        <v>Jeff</v>
      </c>
      <c r="G1694" s="97" t="s">
        <v>9</v>
      </c>
      <c r="H1694" s="97" t="s">
        <v>43</v>
      </c>
      <c r="I1694" s="97">
        <v>69</v>
      </c>
      <c r="J1694" s="97">
        <v>3</v>
      </c>
      <c r="K1694" s="97">
        <f t="shared" si="26"/>
        <v>207</v>
      </c>
      <c r="L1694" s="97">
        <f>_xlfn.XLOOKUP(E1694,Emp_Data!$B$2:$B$9,Emp_Data!$A$2:$A$9)</f>
        <v>3</v>
      </c>
    </row>
    <row r="1695" spans="1:12">
      <c r="A1695" s="99">
        <v>381</v>
      </c>
      <c r="B1695" s="101">
        <v>44313</v>
      </c>
      <c r="C1695" s="96">
        <v>5</v>
      </c>
      <c r="D1695" s="104" t="s">
        <v>16</v>
      </c>
      <c r="E1695" s="97" t="s">
        <v>14</v>
      </c>
      <c r="F1695" s="97" t="str">
        <f>VLOOKUP(E1695,Emp_Data!$B$2:$C$9,2,)</f>
        <v>Jeff</v>
      </c>
      <c r="G1695" s="97" t="s">
        <v>15</v>
      </c>
      <c r="H1695" s="97" t="s">
        <v>43</v>
      </c>
      <c r="I1695" s="97">
        <v>69</v>
      </c>
      <c r="J1695" s="97">
        <v>5</v>
      </c>
      <c r="K1695" s="97">
        <f t="shared" si="26"/>
        <v>345</v>
      </c>
      <c r="L1695" s="97">
        <f>_xlfn.XLOOKUP(E1695,Emp_Data!$B$2:$B$9,Emp_Data!$A$2:$A$9)</f>
        <v>2</v>
      </c>
    </row>
    <row r="1696" spans="1:12">
      <c r="A1696" s="99">
        <v>382</v>
      </c>
      <c r="B1696" s="101">
        <v>44314</v>
      </c>
      <c r="C1696" s="96">
        <v>7</v>
      </c>
      <c r="D1696" s="104" t="s">
        <v>28</v>
      </c>
      <c r="E1696" s="97" t="s">
        <v>11</v>
      </c>
      <c r="F1696" s="97" t="str">
        <f>VLOOKUP(E1696,Emp_Data!$B$2:$C$9,2,)</f>
        <v>Steve</v>
      </c>
      <c r="G1696" s="97" t="s">
        <v>12</v>
      </c>
      <c r="H1696" s="97" t="s">
        <v>43</v>
      </c>
      <c r="I1696" s="97">
        <v>69</v>
      </c>
      <c r="J1696" s="97">
        <v>8</v>
      </c>
      <c r="K1696" s="97">
        <f t="shared" si="26"/>
        <v>552</v>
      </c>
      <c r="L1696" s="97">
        <f>_xlfn.XLOOKUP(E1696,Emp_Data!$B$2:$B$9,Emp_Data!$A$2:$A$9)</f>
        <v>4</v>
      </c>
    </row>
    <row r="1697" spans="1:12">
      <c r="A1697" s="99">
        <v>388</v>
      </c>
      <c r="B1697" s="101">
        <v>44314</v>
      </c>
      <c r="C1697" s="96">
        <v>20</v>
      </c>
      <c r="D1697" s="104" t="s">
        <v>7</v>
      </c>
      <c r="E1697" s="97" t="s">
        <v>8</v>
      </c>
      <c r="F1697" s="97" t="str">
        <f>VLOOKUP(E1697,Emp_Data!$B$2:$C$9,2,)</f>
        <v>Jeff</v>
      </c>
      <c r="G1697" s="97" t="s">
        <v>9</v>
      </c>
      <c r="H1697" s="97" t="s">
        <v>43</v>
      </c>
      <c r="I1697" s="97">
        <v>69</v>
      </c>
      <c r="J1697" s="97">
        <v>4</v>
      </c>
      <c r="K1697" s="97">
        <f t="shared" si="26"/>
        <v>276</v>
      </c>
      <c r="L1697" s="97">
        <f>_xlfn.XLOOKUP(E1697,Emp_Data!$B$2:$B$9,Emp_Data!$A$2:$A$9)</f>
        <v>3</v>
      </c>
    </row>
    <row r="1698" spans="1:12">
      <c r="A1698" s="99">
        <v>393</v>
      </c>
      <c r="B1698" s="101">
        <v>44315</v>
      </c>
      <c r="C1698" s="96">
        <v>14</v>
      </c>
      <c r="D1698" s="104" t="s">
        <v>33</v>
      </c>
      <c r="E1698" s="97" t="s">
        <v>24</v>
      </c>
      <c r="F1698" s="97" t="str">
        <f>VLOOKUP(E1698,Emp_Data!$B$2:$C$9,2,)</f>
        <v>Steve</v>
      </c>
      <c r="G1698" s="97" t="s">
        <v>19</v>
      </c>
      <c r="H1698" s="97" t="s">
        <v>43</v>
      </c>
      <c r="I1698" s="97">
        <v>69</v>
      </c>
      <c r="J1698" s="97">
        <v>7</v>
      </c>
      <c r="K1698" s="97">
        <f t="shared" si="26"/>
        <v>483</v>
      </c>
      <c r="L1698" s="97">
        <f>_xlfn.XLOOKUP(E1698,Emp_Data!$B$2:$B$9,Emp_Data!$A$2:$A$9)</f>
        <v>6</v>
      </c>
    </row>
    <row r="1699" spans="1:12">
      <c r="A1699" s="99">
        <v>395</v>
      </c>
      <c r="B1699" s="101">
        <v>44317</v>
      </c>
      <c r="C1699" s="96">
        <v>18</v>
      </c>
      <c r="D1699" s="104" t="s">
        <v>30</v>
      </c>
      <c r="E1699" s="97" t="s">
        <v>25</v>
      </c>
      <c r="F1699" s="97" t="str">
        <f>VLOOKUP(E1699,Emp_Data!$B$2:$C$9,2,)</f>
        <v>Jeff</v>
      </c>
      <c r="G1699" s="97" t="s">
        <v>9</v>
      </c>
      <c r="H1699" s="97" t="s">
        <v>43</v>
      </c>
      <c r="I1699" s="97">
        <v>69</v>
      </c>
      <c r="J1699" s="97">
        <v>3</v>
      </c>
      <c r="K1699" s="97">
        <f t="shared" si="26"/>
        <v>207</v>
      </c>
      <c r="L1699" s="97">
        <f>_xlfn.XLOOKUP(E1699,Emp_Data!$B$2:$B$9,Emp_Data!$A$2:$A$9)</f>
        <v>5</v>
      </c>
    </row>
    <row r="1700" spans="1:12">
      <c r="A1700" s="99">
        <v>401</v>
      </c>
      <c r="B1700" s="101">
        <v>44320</v>
      </c>
      <c r="C1700" s="96">
        <v>5</v>
      </c>
      <c r="D1700" s="104" t="s">
        <v>16</v>
      </c>
      <c r="E1700" s="97" t="s">
        <v>14</v>
      </c>
      <c r="F1700" s="97" t="str">
        <f>VLOOKUP(E1700,Emp_Data!$B$2:$C$9,2,)</f>
        <v>Jeff</v>
      </c>
      <c r="G1700" s="97" t="s">
        <v>15</v>
      </c>
      <c r="H1700" s="97" t="s">
        <v>43</v>
      </c>
      <c r="I1700" s="97">
        <v>69</v>
      </c>
      <c r="J1700" s="97">
        <v>0</v>
      </c>
      <c r="K1700" s="97">
        <f t="shared" si="26"/>
        <v>0</v>
      </c>
      <c r="L1700" s="97">
        <f>_xlfn.XLOOKUP(E1700,Emp_Data!$B$2:$B$9,Emp_Data!$A$2:$A$9)</f>
        <v>2</v>
      </c>
    </row>
    <row r="1701" spans="1:12">
      <c r="A1701" s="99">
        <v>407</v>
      </c>
      <c r="B1701" s="101">
        <v>44322</v>
      </c>
      <c r="C1701" s="96">
        <v>16</v>
      </c>
      <c r="D1701" s="104" t="s">
        <v>37</v>
      </c>
      <c r="E1701" s="97" t="s">
        <v>8</v>
      </c>
      <c r="F1701" s="97" t="str">
        <f>VLOOKUP(E1701,Emp_Data!$B$2:$C$9,2,)</f>
        <v>Jeff</v>
      </c>
      <c r="G1701" s="97" t="s">
        <v>9</v>
      </c>
      <c r="H1701" s="97" t="s">
        <v>43</v>
      </c>
      <c r="I1701" s="97">
        <v>69</v>
      </c>
      <c r="J1701" s="97">
        <v>7</v>
      </c>
      <c r="K1701" s="97">
        <f t="shared" si="26"/>
        <v>483</v>
      </c>
      <c r="L1701" s="97">
        <f>_xlfn.XLOOKUP(E1701,Emp_Data!$B$2:$B$9,Emp_Data!$A$2:$A$9)</f>
        <v>3</v>
      </c>
    </row>
    <row r="1702" spans="1:12">
      <c r="A1702" s="99">
        <v>412</v>
      </c>
      <c r="B1702" s="101">
        <v>44322</v>
      </c>
      <c r="C1702" s="96">
        <v>13</v>
      </c>
      <c r="D1702" s="104" t="s">
        <v>23</v>
      </c>
      <c r="E1702" s="97" t="s">
        <v>18</v>
      </c>
      <c r="F1702" s="97" t="str">
        <f>VLOOKUP(E1702,Emp_Data!$B$2:$C$9,2,)</f>
        <v>Sara</v>
      </c>
      <c r="G1702" s="97" t="s">
        <v>19</v>
      </c>
      <c r="H1702" s="97" t="s">
        <v>43</v>
      </c>
      <c r="I1702" s="97">
        <v>69</v>
      </c>
      <c r="J1702" s="97">
        <v>7</v>
      </c>
      <c r="K1702" s="97">
        <f t="shared" si="26"/>
        <v>483</v>
      </c>
      <c r="L1702" s="97">
        <f>_xlfn.XLOOKUP(E1702,Emp_Data!$B$2:$B$9,Emp_Data!$A$2:$A$9)</f>
        <v>5</v>
      </c>
    </row>
    <row r="1703" spans="1:12">
      <c r="A1703" s="99">
        <v>414</v>
      </c>
      <c r="B1703" s="101">
        <v>44323</v>
      </c>
      <c r="C1703" s="96">
        <v>19</v>
      </c>
      <c r="D1703" s="104" t="s">
        <v>22</v>
      </c>
      <c r="E1703" s="97" t="s">
        <v>25</v>
      </c>
      <c r="F1703" s="97" t="str">
        <f>VLOOKUP(E1703,Emp_Data!$B$2:$C$9,2,)</f>
        <v>Jeff</v>
      </c>
      <c r="G1703" s="97" t="s">
        <v>9</v>
      </c>
      <c r="H1703" s="97" t="s">
        <v>43</v>
      </c>
      <c r="I1703" s="97">
        <v>69</v>
      </c>
      <c r="J1703" s="97">
        <v>6</v>
      </c>
      <c r="K1703" s="97">
        <f t="shared" si="26"/>
        <v>414</v>
      </c>
      <c r="L1703" s="97">
        <f>_xlfn.XLOOKUP(E1703,Emp_Data!$B$2:$B$9,Emp_Data!$A$2:$A$9)</f>
        <v>5</v>
      </c>
    </row>
    <row r="1704" spans="1:12">
      <c r="A1704" s="99">
        <v>423</v>
      </c>
      <c r="B1704" s="101">
        <v>44328</v>
      </c>
      <c r="C1704" s="96">
        <v>5</v>
      </c>
      <c r="D1704" s="104" t="s">
        <v>16</v>
      </c>
      <c r="E1704" s="97" t="s">
        <v>21</v>
      </c>
      <c r="F1704" s="97" t="str">
        <f>VLOOKUP(E1704,Emp_Data!$B$2:$C$9,2,)</f>
        <v>Sara</v>
      </c>
      <c r="G1704" s="97" t="s">
        <v>15</v>
      </c>
      <c r="H1704" s="97" t="s">
        <v>43</v>
      </c>
      <c r="I1704" s="97">
        <v>69</v>
      </c>
      <c r="J1704" s="97">
        <v>4</v>
      </c>
      <c r="K1704" s="97">
        <f t="shared" si="26"/>
        <v>276</v>
      </c>
      <c r="L1704" s="97">
        <f>_xlfn.XLOOKUP(E1704,Emp_Data!$B$2:$B$9,Emp_Data!$A$2:$A$9)</f>
        <v>2</v>
      </c>
    </row>
    <row r="1705" spans="1:12">
      <c r="A1705" s="99">
        <v>424</v>
      </c>
      <c r="B1705" s="101">
        <v>44328</v>
      </c>
      <c r="C1705" s="96">
        <v>1</v>
      </c>
      <c r="D1705" s="104" t="s">
        <v>31</v>
      </c>
      <c r="E1705" s="97" t="s">
        <v>21</v>
      </c>
      <c r="F1705" s="97" t="str">
        <f>VLOOKUP(E1705,Emp_Data!$B$2:$C$9,2,)</f>
        <v>Sara</v>
      </c>
      <c r="G1705" s="97" t="s">
        <v>15</v>
      </c>
      <c r="H1705" s="97" t="s">
        <v>43</v>
      </c>
      <c r="I1705" s="97">
        <v>69</v>
      </c>
      <c r="J1705" s="97">
        <v>8</v>
      </c>
      <c r="K1705" s="97">
        <f t="shared" si="26"/>
        <v>552</v>
      </c>
      <c r="L1705" s="97">
        <f>_xlfn.XLOOKUP(E1705,Emp_Data!$B$2:$B$9,Emp_Data!$A$2:$A$9)</f>
        <v>2</v>
      </c>
    </row>
    <row r="1706" spans="1:12">
      <c r="A1706" s="99">
        <v>428</v>
      </c>
      <c r="B1706" s="101">
        <v>44329</v>
      </c>
      <c r="C1706" s="96">
        <v>13</v>
      </c>
      <c r="D1706" s="104" t="s">
        <v>23</v>
      </c>
      <c r="E1706" s="97" t="s">
        <v>24</v>
      </c>
      <c r="F1706" s="97" t="str">
        <f>VLOOKUP(E1706,Emp_Data!$B$2:$C$9,2,)</f>
        <v>Steve</v>
      </c>
      <c r="G1706" s="97" t="s">
        <v>19</v>
      </c>
      <c r="H1706" s="97" t="s">
        <v>43</v>
      </c>
      <c r="I1706" s="97">
        <v>69</v>
      </c>
      <c r="J1706" s="97">
        <v>3</v>
      </c>
      <c r="K1706" s="97">
        <f t="shared" si="26"/>
        <v>207</v>
      </c>
      <c r="L1706" s="97">
        <f>_xlfn.XLOOKUP(E1706,Emp_Data!$B$2:$B$9,Emp_Data!$A$2:$A$9)</f>
        <v>6</v>
      </c>
    </row>
    <row r="1707" spans="1:12">
      <c r="A1707" s="99">
        <v>429</v>
      </c>
      <c r="B1707" s="101">
        <v>44330</v>
      </c>
      <c r="C1707" s="96">
        <v>18</v>
      </c>
      <c r="D1707" s="104" t="s">
        <v>30</v>
      </c>
      <c r="E1707" s="97" t="s">
        <v>8</v>
      </c>
      <c r="F1707" s="97" t="str">
        <f>VLOOKUP(E1707,Emp_Data!$B$2:$C$9,2,)</f>
        <v>Jeff</v>
      </c>
      <c r="G1707" s="97" t="s">
        <v>9</v>
      </c>
      <c r="H1707" s="97" t="s">
        <v>43</v>
      </c>
      <c r="I1707" s="97">
        <v>69</v>
      </c>
      <c r="J1707" s="97">
        <v>9</v>
      </c>
      <c r="K1707" s="97">
        <f t="shared" si="26"/>
        <v>621</v>
      </c>
      <c r="L1707" s="97">
        <f>_xlfn.XLOOKUP(E1707,Emp_Data!$B$2:$B$9,Emp_Data!$A$2:$A$9)</f>
        <v>3</v>
      </c>
    </row>
    <row r="1708" spans="1:12">
      <c r="A1708" s="99">
        <v>437</v>
      </c>
      <c r="B1708" s="101">
        <v>44331</v>
      </c>
      <c r="C1708" s="96">
        <v>2</v>
      </c>
      <c r="D1708" s="104" t="s">
        <v>35</v>
      </c>
      <c r="E1708" s="97" t="s">
        <v>21</v>
      </c>
      <c r="F1708" s="97" t="str">
        <f>VLOOKUP(E1708,Emp_Data!$B$2:$C$9,2,)</f>
        <v>Sara</v>
      </c>
      <c r="G1708" s="97" t="s">
        <v>15</v>
      </c>
      <c r="H1708" s="97" t="s">
        <v>43</v>
      </c>
      <c r="I1708" s="97">
        <v>69</v>
      </c>
      <c r="J1708" s="97">
        <v>7</v>
      </c>
      <c r="K1708" s="97">
        <f t="shared" si="26"/>
        <v>483</v>
      </c>
      <c r="L1708" s="97">
        <f>_xlfn.XLOOKUP(E1708,Emp_Data!$B$2:$B$9,Emp_Data!$A$2:$A$9)</f>
        <v>2</v>
      </c>
    </row>
    <row r="1709" spans="1:12">
      <c r="A1709" s="99">
        <v>438</v>
      </c>
      <c r="B1709" s="101">
        <v>44331</v>
      </c>
      <c r="C1709" s="96">
        <v>2</v>
      </c>
      <c r="D1709" s="104" t="s">
        <v>35</v>
      </c>
      <c r="E1709" s="97" t="s">
        <v>21</v>
      </c>
      <c r="F1709" s="97" t="str">
        <f>VLOOKUP(E1709,Emp_Data!$B$2:$C$9,2,)</f>
        <v>Sara</v>
      </c>
      <c r="G1709" s="97" t="s">
        <v>15</v>
      </c>
      <c r="H1709" s="97" t="s">
        <v>43</v>
      </c>
      <c r="I1709" s="97">
        <v>69</v>
      </c>
      <c r="J1709" s="97">
        <v>6</v>
      </c>
      <c r="K1709" s="97">
        <f t="shared" si="26"/>
        <v>414</v>
      </c>
      <c r="L1709" s="97">
        <f>_xlfn.XLOOKUP(E1709,Emp_Data!$B$2:$B$9,Emp_Data!$A$2:$A$9)</f>
        <v>2</v>
      </c>
    </row>
    <row r="1710" spans="1:12">
      <c r="A1710" s="99">
        <v>440</v>
      </c>
      <c r="B1710" s="101">
        <v>44331</v>
      </c>
      <c r="C1710" s="96">
        <v>19</v>
      </c>
      <c r="D1710" s="104" t="s">
        <v>22</v>
      </c>
      <c r="E1710" s="97" t="s">
        <v>8</v>
      </c>
      <c r="F1710" s="97" t="str">
        <f>VLOOKUP(E1710,Emp_Data!$B$2:$C$9,2,)</f>
        <v>Jeff</v>
      </c>
      <c r="G1710" s="97" t="s">
        <v>9</v>
      </c>
      <c r="H1710" s="97" t="s">
        <v>43</v>
      </c>
      <c r="I1710" s="97">
        <v>69</v>
      </c>
      <c r="J1710" s="97">
        <v>8</v>
      </c>
      <c r="K1710" s="97">
        <f t="shared" si="26"/>
        <v>552</v>
      </c>
      <c r="L1710" s="97">
        <f>_xlfn.XLOOKUP(E1710,Emp_Data!$B$2:$B$9,Emp_Data!$A$2:$A$9)</f>
        <v>3</v>
      </c>
    </row>
    <row r="1711" spans="1:12">
      <c r="A1711" s="99">
        <v>443</v>
      </c>
      <c r="B1711" s="101">
        <v>44331</v>
      </c>
      <c r="C1711" s="96">
        <v>14</v>
      </c>
      <c r="D1711" s="104" t="s">
        <v>33</v>
      </c>
      <c r="E1711" s="97" t="s">
        <v>18</v>
      </c>
      <c r="F1711" s="97" t="str">
        <f>VLOOKUP(E1711,Emp_Data!$B$2:$C$9,2,)</f>
        <v>Sara</v>
      </c>
      <c r="G1711" s="97" t="s">
        <v>19</v>
      </c>
      <c r="H1711" s="97" t="s">
        <v>43</v>
      </c>
      <c r="I1711" s="97">
        <v>69</v>
      </c>
      <c r="J1711" s="97">
        <v>6</v>
      </c>
      <c r="K1711" s="97">
        <f t="shared" si="26"/>
        <v>414</v>
      </c>
      <c r="L1711" s="97">
        <f>_xlfn.XLOOKUP(E1711,Emp_Data!$B$2:$B$9,Emp_Data!$A$2:$A$9)</f>
        <v>5</v>
      </c>
    </row>
    <row r="1712" spans="1:12">
      <c r="A1712" s="99">
        <v>444</v>
      </c>
      <c r="B1712" s="101">
        <v>44332</v>
      </c>
      <c r="C1712" s="96">
        <v>17</v>
      </c>
      <c r="D1712" s="104" t="s">
        <v>32</v>
      </c>
      <c r="E1712" s="97" t="s">
        <v>8</v>
      </c>
      <c r="F1712" s="97" t="str">
        <f>VLOOKUP(E1712,Emp_Data!$B$2:$C$9,2,)</f>
        <v>Jeff</v>
      </c>
      <c r="G1712" s="97" t="s">
        <v>9</v>
      </c>
      <c r="H1712" s="97" t="s">
        <v>43</v>
      </c>
      <c r="I1712" s="97">
        <v>69</v>
      </c>
      <c r="J1712" s="97">
        <v>7</v>
      </c>
      <c r="K1712" s="97">
        <f t="shared" si="26"/>
        <v>483</v>
      </c>
      <c r="L1712" s="97">
        <f>_xlfn.XLOOKUP(E1712,Emp_Data!$B$2:$B$9,Emp_Data!$A$2:$A$9)</f>
        <v>3</v>
      </c>
    </row>
    <row r="1713" spans="1:12">
      <c r="A1713" s="99">
        <v>446</v>
      </c>
      <c r="B1713" s="101">
        <v>44332</v>
      </c>
      <c r="C1713" s="96">
        <v>18</v>
      </c>
      <c r="D1713" s="104" t="s">
        <v>30</v>
      </c>
      <c r="E1713" s="97" t="s">
        <v>8</v>
      </c>
      <c r="F1713" s="97" t="str">
        <f>VLOOKUP(E1713,Emp_Data!$B$2:$C$9,2,)</f>
        <v>Jeff</v>
      </c>
      <c r="G1713" s="97" t="s">
        <v>9</v>
      </c>
      <c r="H1713" s="97" t="s">
        <v>43</v>
      </c>
      <c r="I1713" s="97">
        <v>69</v>
      </c>
      <c r="J1713" s="97">
        <v>7</v>
      </c>
      <c r="K1713" s="97">
        <f t="shared" si="26"/>
        <v>483</v>
      </c>
      <c r="L1713" s="97">
        <f>_xlfn.XLOOKUP(E1713,Emp_Data!$B$2:$B$9,Emp_Data!$A$2:$A$9)</f>
        <v>3</v>
      </c>
    </row>
    <row r="1714" spans="1:12">
      <c r="A1714" s="99">
        <v>451</v>
      </c>
      <c r="B1714" s="101">
        <v>44332</v>
      </c>
      <c r="C1714" s="96">
        <v>10</v>
      </c>
      <c r="D1714" s="104" t="s">
        <v>34</v>
      </c>
      <c r="E1714" s="97" t="s">
        <v>27</v>
      </c>
      <c r="F1714" s="97" t="str">
        <f>VLOOKUP(E1714,Emp_Data!$B$2:$C$9,2,)</f>
        <v>Philip</v>
      </c>
      <c r="G1714" s="97" t="s">
        <v>12</v>
      </c>
      <c r="H1714" s="97" t="s">
        <v>43</v>
      </c>
      <c r="I1714" s="97">
        <v>69</v>
      </c>
      <c r="J1714" s="97">
        <v>7</v>
      </c>
      <c r="K1714" s="97">
        <f t="shared" si="26"/>
        <v>483</v>
      </c>
      <c r="L1714" s="97">
        <f>_xlfn.XLOOKUP(E1714,Emp_Data!$B$2:$B$9,Emp_Data!$A$2:$A$9)</f>
        <v>8</v>
      </c>
    </row>
    <row r="1715" spans="1:12">
      <c r="A1715" s="99">
        <v>452</v>
      </c>
      <c r="B1715" s="101">
        <v>44332</v>
      </c>
      <c r="C1715" s="96">
        <v>7</v>
      </c>
      <c r="D1715" s="104" t="s">
        <v>28</v>
      </c>
      <c r="E1715" s="97" t="s">
        <v>11</v>
      </c>
      <c r="F1715" s="97" t="str">
        <f>VLOOKUP(E1715,Emp_Data!$B$2:$C$9,2,)</f>
        <v>Steve</v>
      </c>
      <c r="G1715" s="97" t="s">
        <v>12</v>
      </c>
      <c r="H1715" s="97" t="s">
        <v>43</v>
      </c>
      <c r="I1715" s="97">
        <v>69</v>
      </c>
      <c r="J1715" s="97">
        <v>3</v>
      </c>
      <c r="K1715" s="97">
        <f t="shared" si="26"/>
        <v>207</v>
      </c>
      <c r="L1715" s="97">
        <f>_xlfn.XLOOKUP(E1715,Emp_Data!$B$2:$B$9,Emp_Data!$A$2:$A$9)</f>
        <v>4</v>
      </c>
    </row>
    <row r="1716" spans="1:12">
      <c r="A1716" s="99">
        <v>455</v>
      </c>
      <c r="B1716" s="101">
        <v>44333</v>
      </c>
      <c r="C1716" s="96">
        <v>14</v>
      </c>
      <c r="D1716" s="104" t="s">
        <v>33</v>
      </c>
      <c r="E1716" s="97" t="s">
        <v>24</v>
      </c>
      <c r="F1716" s="97" t="str">
        <f>VLOOKUP(E1716,Emp_Data!$B$2:$C$9,2,)</f>
        <v>Steve</v>
      </c>
      <c r="G1716" s="97" t="s">
        <v>19</v>
      </c>
      <c r="H1716" s="97" t="s">
        <v>43</v>
      </c>
      <c r="I1716" s="97">
        <v>69</v>
      </c>
      <c r="J1716" s="97">
        <v>9</v>
      </c>
      <c r="K1716" s="97">
        <f t="shared" si="26"/>
        <v>621</v>
      </c>
      <c r="L1716" s="97">
        <f>_xlfn.XLOOKUP(E1716,Emp_Data!$B$2:$B$9,Emp_Data!$A$2:$A$9)</f>
        <v>6</v>
      </c>
    </row>
    <row r="1717" spans="1:12">
      <c r="A1717" s="99">
        <v>480</v>
      </c>
      <c r="B1717" s="101">
        <v>44339</v>
      </c>
      <c r="C1717" s="96">
        <v>18</v>
      </c>
      <c r="D1717" s="104" t="s">
        <v>30</v>
      </c>
      <c r="E1717" s="97" t="s">
        <v>25</v>
      </c>
      <c r="F1717" s="97" t="str">
        <f>VLOOKUP(E1717,Emp_Data!$B$2:$C$9,2,)</f>
        <v>Jeff</v>
      </c>
      <c r="G1717" s="97" t="s">
        <v>9</v>
      </c>
      <c r="H1717" s="97" t="s">
        <v>43</v>
      </c>
      <c r="I1717" s="97">
        <v>69</v>
      </c>
      <c r="J1717" s="97">
        <v>9</v>
      </c>
      <c r="K1717" s="97">
        <f t="shared" si="26"/>
        <v>621</v>
      </c>
      <c r="L1717" s="97">
        <f>_xlfn.XLOOKUP(E1717,Emp_Data!$B$2:$B$9,Emp_Data!$A$2:$A$9)</f>
        <v>5</v>
      </c>
    </row>
    <row r="1718" spans="1:12">
      <c r="A1718" s="99">
        <v>482</v>
      </c>
      <c r="B1718" s="101">
        <v>44340</v>
      </c>
      <c r="C1718" s="96">
        <v>11</v>
      </c>
      <c r="D1718" s="104" t="s">
        <v>38</v>
      </c>
      <c r="E1718" s="97" t="s">
        <v>18</v>
      </c>
      <c r="F1718" s="97" t="str">
        <f>VLOOKUP(E1718,Emp_Data!$B$2:$C$9,2,)</f>
        <v>Sara</v>
      </c>
      <c r="G1718" s="97" t="s">
        <v>19</v>
      </c>
      <c r="H1718" s="97" t="s">
        <v>43</v>
      </c>
      <c r="I1718" s="97">
        <v>69</v>
      </c>
      <c r="J1718" s="97">
        <v>6</v>
      </c>
      <c r="K1718" s="97">
        <f t="shared" si="26"/>
        <v>414</v>
      </c>
      <c r="L1718" s="97">
        <f>_xlfn.XLOOKUP(E1718,Emp_Data!$B$2:$B$9,Emp_Data!$A$2:$A$9)</f>
        <v>5</v>
      </c>
    </row>
    <row r="1719" spans="1:12">
      <c r="A1719" s="99">
        <v>483</v>
      </c>
      <c r="B1719" s="101">
        <v>44340</v>
      </c>
      <c r="C1719" s="96">
        <v>16</v>
      </c>
      <c r="D1719" s="104" t="s">
        <v>37</v>
      </c>
      <c r="E1719" s="97" t="s">
        <v>25</v>
      </c>
      <c r="F1719" s="97" t="str">
        <f>VLOOKUP(E1719,Emp_Data!$B$2:$C$9,2,)</f>
        <v>Jeff</v>
      </c>
      <c r="G1719" s="97" t="s">
        <v>9</v>
      </c>
      <c r="H1719" s="97" t="s">
        <v>43</v>
      </c>
      <c r="I1719" s="97">
        <v>69</v>
      </c>
      <c r="J1719" s="97">
        <v>6</v>
      </c>
      <c r="K1719" s="97">
        <f t="shared" si="26"/>
        <v>414</v>
      </c>
      <c r="L1719" s="97">
        <f>_xlfn.XLOOKUP(E1719,Emp_Data!$B$2:$B$9,Emp_Data!$A$2:$A$9)</f>
        <v>5</v>
      </c>
    </row>
    <row r="1720" spans="1:12">
      <c r="A1720" s="99">
        <v>491</v>
      </c>
      <c r="B1720" s="101">
        <v>44341</v>
      </c>
      <c r="C1720" s="96">
        <v>17</v>
      </c>
      <c r="D1720" s="104" t="s">
        <v>32</v>
      </c>
      <c r="E1720" s="97" t="s">
        <v>8</v>
      </c>
      <c r="F1720" s="97" t="str">
        <f>VLOOKUP(E1720,Emp_Data!$B$2:$C$9,2,)</f>
        <v>Jeff</v>
      </c>
      <c r="G1720" s="97" t="s">
        <v>9</v>
      </c>
      <c r="H1720" s="97" t="s">
        <v>43</v>
      </c>
      <c r="I1720" s="97">
        <v>69</v>
      </c>
      <c r="J1720" s="97">
        <v>3</v>
      </c>
      <c r="K1720" s="97">
        <f t="shared" si="26"/>
        <v>207</v>
      </c>
      <c r="L1720" s="97">
        <f>_xlfn.XLOOKUP(E1720,Emp_Data!$B$2:$B$9,Emp_Data!$A$2:$A$9)</f>
        <v>3</v>
      </c>
    </row>
    <row r="1721" spans="1:12">
      <c r="A1721" s="99">
        <v>498</v>
      </c>
      <c r="B1721" s="101">
        <v>44342</v>
      </c>
      <c r="C1721" s="96">
        <v>8</v>
      </c>
      <c r="D1721" s="104" t="s">
        <v>36</v>
      </c>
      <c r="E1721" s="97" t="s">
        <v>11</v>
      </c>
      <c r="F1721" s="97" t="str">
        <f>VLOOKUP(E1721,Emp_Data!$B$2:$C$9,2,)</f>
        <v>Steve</v>
      </c>
      <c r="G1721" s="97" t="s">
        <v>12</v>
      </c>
      <c r="H1721" s="97" t="s">
        <v>43</v>
      </c>
      <c r="I1721" s="97">
        <v>69</v>
      </c>
      <c r="J1721" s="97">
        <v>8</v>
      </c>
      <c r="K1721" s="97">
        <f t="shared" si="26"/>
        <v>552</v>
      </c>
      <c r="L1721" s="97">
        <f>_xlfn.XLOOKUP(E1721,Emp_Data!$B$2:$B$9,Emp_Data!$A$2:$A$9)</f>
        <v>4</v>
      </c>
    </row>
    <row r="1722" spans="1:12">
      <c r="A1722" s="99">
        <v>506</v>
      </c>
      <c r="B1722" s="101">
        <v>44345</v>
      </c>
      <c r="C1722" s="96">
        <v>17</v>
      </c>
      <c r="D1722" s="104" t="s">
        <v>32</v>
      </c>
      <c r="E1722" s="97" t="s">
        <v>25</v>
      </c>
      <c r="F1722" s="97" t="str">
        <f>VLOOKUP(E1722,Emp_Data!$B$2:$C$9,2,)</f>
        <v>Jeff</v>
      </c>
      <c r="G1722" s="97" t="s">
        <v>9</v>
      </c>
      <c r="H1722" s="97" t="s">
        <v>43</v>
      </c>
      <c r="I1722" s="97">
        <v>69</v>
      </c>
      <c r="J1722" s="97">
        <v>4</v>
      </c>
      <c r="K1722" s="97">
        <f t="shared" si="26"/>
        <v>276</v>
      </c>
      <c r="L1722" s="97">
        <f>_xlfn.XLOOKUP(E1722,Emp_Data!$B$2:$B$9,Emp_Data!$A$2:$A$9)</f>
        <v>5</v>
      </c>
    </row>
    <row r="1723" spans="1:12">
      <c r="A1723" s="99">
        <v>510</v>
      </c>
      <c r="B1723" s="101">
        <v>44346</v>
      </c>
      <c r="C1723" s="96">
        <v>2</v>
      </c>
      <c r="D1723" s="104" t="s">
        <v>35</v>
      </c>
      <c r="E1723" s="97" t="s">
        <v>14</v>
      </c>
      <c r="F1723" s="97" t="str">
        <f>VLOOKUP(E1723,Emp_Data!$B$2:$C$9,2,)</f>
        <v>Jeff</v>
      </c>
      <c r="G1723" s="97" t="s">
        <v>15</v>
      </c>
      <c r="H1723" s="97" t="s">
        <v>43</v>
      </c>
      <c r="I1723" s="97">
        <v>69</v>
      </c>
      <c r="J1723" s="97">
        <v>5</v>
      </c>
      <c r="K1723" s="97">
        <f t="shared" si="26"/>
        <v>345</v>
      </c>
      <c r="L1723" s="97">
        <f>_xlfn.XLOOKUP(E1723,Emp_Data!$B$2:$B$9,Emp_Data!$A$2:$A$9)</f>
        <v>2</v>
      </c>
    </row>
    <row r="1724" spans="1:12">
      <c r="A1724" s="99">
        <v>512</v>
      </c>
      <c r="B1724" s="101">
        <v>44346</v>
      </c>
      <c r="C1724" s="96">
        <v>2</v>
      </c>
      <c r="D1724" s="104" t="s">
        <v>35</v>
      </c>
      <c r="E1724" s="97" t="s">
        <v>21</v>
      </c>
      <c r="F1724" s="97" t="str">
        <f>VLOOKUP(E1724,Emp_Data!$B$2:$C$9,2,)</f>
        <v>Sara</v>
      </c>
      <c r="G1724" s="97" t="s">
        <v>15</v>
      </c>
      <c r="H1724" s="97" t="s">
        <v>43</v>
      </c>
      <c r="I1724" s="97">
        <v>69</v>
      </c>
      <c r="J1724" s="97">
        <v>9</v>
      </c>
      <c r="K1724" s="97">
        <f t="shared" si="26"/>
        <v>621</v>
      </c>
      <c r="L1724" s="97">
        <f>_xlfn.XLOOKUP(E1724,Emp_Data!$B$2:$B$9,Emp_Data!$A$2:$A$9)</f>
        <v>2</v>
      </c>
    </row>
    <row r="1725" spans="1:12">
      <c r="A1725" s="99">
        <v>513</v>
      </c>
      <c r="B1725" s="101">
        <v>44347</v>
      </c>
      <c r="C1725" s="96">
        <v>14</v>
      </c>
      <c r="D1725" s="104" t="s">
        <v>33</v>
      </c>
      <c r="E1725" s="97" t="s">
        <v>24</v>
      </c>
      <c r="F1725" s="97" t="str">
        <f>VLOOKUP(E1725,Emp_Data!$B$2:$C$9,2,)</f>
        <v>Steve</v>
      </c>
      <c r="G1725" s="97" t="s">
        <v>19</v>
      </c>
      <c r="H1725" s="97" t="s">
        <v>43</v>
      </c>
      <c r="I1725" s="97">
        <v>69</v>
      </c>
      <c r="J1725" s="97">
        <v>3</v>
      </c>
      <c r="K1725" s="97">
        <f t="shared" si="26"/>
        <v>207</v>
      </c>
      <c r="L1725" s="97">
        <f>_xlfn.XLOOKUP(E1725,Emp_Data!$B$2:$B$9,Emp_Data!$A$2:$A$9)</f>
        <v>6</v>
      </c>
    </row>
    <row r="1726" spans="1:12">
      <c r="A1726" s="99">
        <v>514</v>
      </c>
      <c r="B1726" s="101">
        <v>44348</v>
      </c>
      <c r="C1726" s="96">
        <v>14</v>
      </c>
      <c r="D1726" s="104" t="s">
        <v>33</v>
      </c>
      <c r="E1726" s="97" t="s">
        <v>18</v>
      </c>
      <c r="F1726" s="97" t="str">
        <f>VLOOKUP(E1726,Emp_Data!$B$2:$C$9,2,)</f>
        <v>Sara</v>
      </c>
      <c r="G1726" s="97" t="s">
        <v>19</v>
      </c>
      <c r="H1726" s="97" t="s">
        <v>43</v>
      </c>
      <c r="I1726" s="97">
        <v>69</v>
      </c>
      <c r="J1726" s="97">
        <v>0</v>
      </c>
      <c r="K1726" s="97">
        <f t="shared" si="26"/>
        <v>0</v>
      </c>
      <c r="L1726" s="97">
        <f>_xlfn.XLOOKUP(E1726,Emp_Data!$B$2:$B$9,Emp_Data!$A$2:$A$9)</f>
        <v>5</v>
      </c>
    </row>
    <row r="1727" spans="1:12">
      <c r="A1727" s="99">
        <v>524</v>
      </c>
      <c r="B1727" s="101">
        <v>44350</v>
      </c>
      <c r="C1727" s="96">
        <v>4</v>
      </c>
      <c r="D1727" s="104" t="s">
        <v>13</v>
      </c>
      <c r="E1727" s="97" t="s">
        <v>14</v>
      </c>
      <c r="F1727" s="97" t="str">
        <f>VLOOKUP(E1727,Emp_Data!$B$2:$C$9,2,)</f>
        <v>Jeff</v>
      </c>
      <c r="G1727" s="97" t="s">
        <v>15</v>
      </c>
      <c r="H1727" s="97" t="s">
        <v>43</v>
      </c>
      <c r="I1727" s="97">
        <v>69</v>
      </c>
      <c r="J1727" s="97">
        <v>9</v>
      </c>
      <c r="K1727" s="97">
        <f t="shared" si="26"/>
        <v>621</v>
      </c>
      <c r="L1727" s="97">
        <f>_xlfn.XLOOKUP(E1727,Emp_Data!$B$2:$B$9,Emp_Data!$A$2:$A$9)</f>
        <v>2</v>
      </c>
    </row>
    <row r="1728" spans="1:12">
      <c r="A1728" s="99">
        <v>536</v>
      </c>
      <c r="B1728" s="101">
        <v>44352</v>
      </c>
      <c r="C1728" s="96">
        <v>17</v>
      </c>
      <c r="D1728" s="104" t="s">
        <v>32</v>
      </c>
      <c r="E1728" s="97" t="s">
        <v>8</v>
      </c>
      <c r="F1728" s="97" t="str">
        <f>VLOOKUP(E1728,Emp_Data!$B$2:$C$9,2,)</f>
        <v>Jeff</v>
      </c>
      <c r="G1728" s="97" t="s">
        <v>9</v>
      </c>
      <c r="H1728" s="97" t="s">
        <v>43</v>
      </c>
      <c r="I1728" s="97">
        <v>69</v>
      </c>
      <c r="J1728" s="97">
        <v>0</v>
      </c>
      <c r="K1728" s="97">
        <f t="shared" si="26"/>
        <v>0</v>
      </c>
      <c r="L1728" s="97">
        <f>_xlfn.XLOOKUP(E1728,Emp_Data!$B$2:$B$9,Emp_Data!$A$2:$A$9)</f>
        <v>3</v>
      </c>
    </row>
    <row r="1729" spans="1:12">
      <c r="A1729" s="99">
        <v>547</v>
      </c>
      <c r="B1729" s="101">
        <v>44358</v>
      </c>
      <c r="C1729" s="96">
        <v>6</v>
      </c>
      <c r="D1729" s="104" t="s">
        <v>10</v>
      </c>
      <c r="E1729" s="97" t="s">
        <v>27</v>
      </c>
      <c r="F1729" s="97" t="str">
        <f>VLOOKUP(E1729,Emp_Data!$B$2:$C$9,2,)</f>
        <v>Philip</v>
      </c>
      <c r="G1729" s="97" t="s">
        <v>12</v>
      </c>
      <c r="H1729" s="97" t="s">
        <v>43</v>
      </c>
      <c r="I1729" s="97">
        <v>69</v>
      </c>
      <c r="J1729" s="97">
        <v>7</v>
      </c>
      <c r="K1729" s="97">
        <f t="shared" si="26"/>
        <v>483</v>
      </c>
      <c r="L1729" s="97">
        <f>_xlfn.XLOOKUP(E1729,Emp_Data!$B$2:$B$9,Emp_Data!$A$2:$A$9)</f>
        <v>8</v>
      </c>
    </row>
    <row r="1730" spans="1:12">
      <c r="A1730" s="99">
        <v>551</v>
      </c>
      <c r="B1730" s="101">
        <v>44358</v>
      </c>
      <c r="C1730" s="96">
        <v>5</v>
      </c>
      <c r="D1730" s="104" t="s">
        <v>16</v>
      </c>
      <c r="E1730" s="97" t="s">
        <v>14</v>
      </c>
      <c r="F1730" s="97" t="str">
        <f>VLOOKUP(E1730,Emp_Data!$B$2:$C$9,2,)</f>
        <v>Jeff</v>
      </c>
      <c r="G1730" s="97" t="s">
        <v>15</v>
      </c>
      <c r="H1730" s="97" t="s">
        <v>43</v>
      </c>
      <c r="I1730" s="97">
        <v>69</v>
      </c>
      <c r="J1730" s="97">
        <v>5</v>
      </c>
      <c r="K1730" s="97">
        <f t="shared" si="26"/>
        <v>345</v>
      </c>
      <c r="L1730" s="97">
        <f>_xlfn.XLOOKUP(E1730,Emp_Data!$B$2:$B$9,Emp_Data!$A$2:$A$9)</f>
        <v>2</v>
      </c>
    </row>
    <row r="1731" spans="1:12">
      <c r="A1731" s="99">
        <v>575</v>
      </c>
      <c r="B1731" s="101">
        <v>44367</v>
      </c>
      <c r="C1731" s="96">
        <v>18</v>
      </c>
      <c r="D1731" s="104" t="s">
        <v>30</v>
      </c>
      <c r="E1731" s="97" t="s">
        <v>8</v>
      </c>
      <c r="F1731" s="97" t="str">
        <f>VLOOKUP(E1731,Emp_Data!$B$2:$C$9,2,)</f>
        <v>Jeff</v>
      </c>
      <c r="G1731" s="97" t="s">
        <v>9</v>
      </c>
      <c r="H1731" s="97" t="s">
        <v>43</v>
      </c>
      <c r="I1731" s="97">
        <v>69</v>
      </c>
      <c r="J1731" s="97">
        <v>1</v>
      </c>
      <c r="K1731" s="97">
        <f t="shared" ref="K1731:K1794" si="27">SUMPRODUCT(I1731,J1731)</f>
        <v>69</v>
      </c>
      <c r="L1731" s="97">
        <f>_xlfn.XLOOKUP(E1731,Emp_Data!$B$2:$B$9,Emp_Data!$A$2:$A$9)</f>
        <v>3</v>
      </c>
    </row>
    <row r="1732" spans="1:12">
      <c r="A1732" s="99">
        <v>576</v>
      </c>
      <c r="B1732" s="101">
        <v>44367</v>
      </c>
      <c r="C1732" s="96">
        <v>4</v>
      </c>
      <c r="D1732" s="104" t="s">
        <v>13</v>
      </c>
      <c r="E1732" s="97" t="s">
        <v>21</v>
      </c>
      <c r="F1732" s="97" t="str">
        <f>VLOOKUP(E1732,Emp_Data!$B$2:$C$9,2,)</f>
        <v>Sara</v>
      </c>
      <c r="G1732" s="97" t="s">
        <v>15</v>
      </c>
      <c r="H1732" s="97" t="s">
        <v>43</v>
      </c>
      <c r="I1732" s="97">
        <v>69</v>
      </c>
      <c r="J1732" s="97">
        <v>3</v>
      </c>
      <c r="K1732" s="97">
        <f t="shared" si="27"/>
        <v>207</v>
      </c>
      <c r="L1732" s="97">
        <f>_xlfn.XLOOKUP(E1732,Emp_Data!$B$2:$B$9,Emp_Data!$A$2:$A$9)</f>
        <v>2</v>
      </c>
    </row>
    <row r="1733" spans="1:12">
      <c r="A1733" s="99">
        <v>584</v>
      </c>
      <c r="B1733" s="101">
        <v>44369</v>
      </c>
      <c r="C1733" s="96">
        <v>18</v>
      </c>
      <c r="D1733" s="104" t="s">
        <v>30</v>
      </c>
      <c r="E1733" s="97" t="s">
        <v>8</v>
      </c>
      <c r="F1733" s="97" t="str">
        <f>VLOOKUP(E1733,Emp_Data!$B$2:$C$9,2,)</f>
        <v>Jeff</v>
      </c>
      <c r="G1733" s="97" t="s">
        <v>9</v>
      </c>
      <c r="H1733" s="97" t="s">
        <v>43</v>
      </c>
      <c r="I1733" s="97">
        <v>69</v>
      </c>
      <c r="J1733" s="97">
        <v>0</v>
      </c>
      <c r="K1733" s="97">
        <f t="shared" si="27"/>
        <v>0</v>
      </c>
      <c r="L1733" s="97">
        <f>_xlfn.XLOOKUP(E1733,Emp_Data!$B$2:$B$9,Emp_Data!$A$2:$A$9)</f>
        <v>3</v>
      </c>
    </row>
    <row r="1734" spans="1:12">
      <c r="A1734" s="99">
        <v>587</v>
      </c>
      <c r="B1734" s="101">
        <v>44369</v>
      </c>
      <c r="C1734" s="96">
        <v>20</v>
      </c>
      <c r="D1734" s="104" t="s">
        <v>7</v>
      </c>
      <c r="E1734" s="97" t="s">
        <v>8</v>
      </c>
      <c r="F1734" s="97" t="str">
        <f>VLOOKUP(E1734,Emp_Data!$B$2:$C$9,2,)</f>
        <v>Jeff</v>
      </c>
      <c r="G1734" s="97" t="s">
        <v>9</v>
      </c>
      <c r="H1734" s="97" t="s">
        <v>43</v>
      </c>
      <c r="I1734" s="97">
        <v>69</v>
      </c>
      <c r="J1734" s="97">
        <v>3</v>
      </c>
      <c r="K1734" s="97">
        <f t="shared" si="27"/>
        <v>207</v>
      </c>
      <c r="L1734" s="97">
        <f>_xlfn.XLOOKUP(E1734,Emp_Data!$B$2:$B$9,Emp_Data!$A$2:$A$9)</f>
        <v>3</v>
      </c>
    </row>
    <row r="1735" spans="1:12">
      <c r="A1735" s="99">
        <v>588</v>
      </c>
      <c r="B1735" s="101">
        <v>44370</v>
      </c>
      <c r="C1735" s="96">
        <v>17</v>
      </c>
      <c r="D1735" s="104" t="s">
        <v>32</v>
      </c>
      <c r="E1735" s="97" t="s">
        <v>25</v>
      </c>
      <c r="F1735" s="97" t="str">
        <f>VLOOKUP(E1735,Emp_Data!$B$2:$C$9,2,)</f>
        <v>Jeff</v>
      </c>
      <c r="G1735" s="97" t="s">
        <v>9</v>
      </c>
      <c r="H1735" s="97" t="s">
        <v>43</v>
      </c>
      <c r="I1735" s="97">
        <v>69</v>
      </c>
      <c r="J1735" s="97">
        <v>1</v>
      </c>
      <c r="K1735" s="97">
        <f t="shared" si="27"/>
        <v>69</v>
      </c>
      <c r="L1735" s="97">
        <f>_xlfn.XLOOKUP(E1735,Emp_Data!$B$2:$B$9,Emp_Data!$A$2:$A$9)</f>
        <v>5</v>
      </c>
    </row>
    <row r="1736" spans="1:12">
      <c r="A1736" s="99">
        <v>593</v>
      </c>
      <c r="B1736" s="101">
        <v>44373</v>
      </c>
      <c r="C1736" s="96">
        <v>17</v>
      </c>
      <c r="D1736" s="104" t="s">
        <v>32</v>
      </c>
      <c r="E1736" s="97" t="s">
        <v>25</v>
      </c>
      <c r="F1736" s="97" t="str">
        <f>VLOOKUP(E1736,Emp_Data!$B$2:$C$9,2,)</f>
        <v>Jeff</v>
      </c>
      <c r="G1736" s="97" t="s">
        <v>9</v>
      </c>
      <c r="H1736" s="97" t="s">
        <v>43</v>
      </c>
      <c r="I1736" s="97">
        <v>69</v>
      </c>
      <c r="J1736" s="97">
        <v>9</v>
      </c>
      <c r="K1736" s="97">
        <f t="shared" si="27"/>
        <v>621</v>
      </c>
      <c r="L1736" s="97">
        <f>_xlfn.XLOOKUP(E1736,Emp_Data!$B$2:$B$9,Emp_Data!$A$2:$A$9)</f>
        <v>5</v>
      </c>
    </row>
    <row r="1737" spans="1:12">
      <c r="A1737" s="99">
        <v>597</v>
      </c>
      <c r="B1737" s="101">
        <v>44374</v>
      </c>
      <c r="C1737" s="96">
        <v>4</v>
      </c>
      <c r="D1737" s="104" t="s">
        <v>13</v>
      </c>
      <c r="E1737" s="97" t="s">
        <v>14</v>
      </c>
      <c r="F1737" s="97" t="str">
        <f>VLOOKUP(E1737,Emp_Data!$B$2:$C$9,2,)</f>
        <v>Jeff</v>
      </c>
      <c r="G1737" s="97" t="s">
        <v>15</v>
      </c>
      <c r="H1737" s="97" t="s">
        <v>43</v>
      </c>
      <c r="I1737" s="97">
        <v>69</v>
      </c>
      <c r="J1737" s="97">
        <v>8</v>
      </c>
      <c r="K1737" s="97">
        <f t="shared" si="27"/>
        <v>552</v>
      </c>
      <c r="L1737" s="97">
        <f>_xlfn.XLOOKUP(E1737,Emp_Data!$B$2:$B$9,Emp_Data!$A$2:$A$9)</f>
        <v>2</v>
      </c>
    </row>
    <row r="1738" spans="1:12">
      <c r="A1738" s="99">
        <v>601</v>
      </c>
      <c r="B1738" s="101">
        <v>44375</v>
      </c>
      <c r="C1738" s="96">
        <v>10</v>
      </c>
      <c r="D1738" s="104" t="s">
        <v>34</v>
      </c>
      <c r="E1738" s="97" t="s">
        <v>11</v>
      </c>
      <c r="F1738" s="97" t="str">
        <f>VLOOKUP(E1738,Emp_Data!$B$2:$C$9,2,)</f>
        <v>Steve</v>
      </c>
      <c r="G1738" s="97" t="s">
        <v>12</v>
      </c>
      <c r="H1738" s="97" t="s">
        <v>43</v>
      </c>
      <c r="I1738" s="97">
        <v>69</v>
      </c>
      <c r="J1738" s="97">
        <v>3</v>
      </c>
      <c r="K1738" s="97">
        <f t="shared" si="27"/>
        <v>207</v>
      </c>
      <c r="L1738" s="97">
        <f>_xlfn.XLOOKUP(E1738,Emp_Data!$B$2:$B$9,Emp_Data!$A$2:$A$9)</f>
        <v>4</v>
      </c>
    </row>
    <row r="1739" spans="1:12">
      <c r="A1739" s="99">
        <v>608</v>
      </c>
      <c r="B1739" s="101">
        <v>44377</v>
      </c>
      <c r="C1739" s="96">
        <v>12</v>
      </c>
      <c r="D1739" s="104" t="s">
        <v>17</v>
      </c>
      <c r="E1739" s="97" t="s">
        <v>18</v>
      </c>
      <c r="F1739" s="97" t="str">
        <f>VLOOKUP(E1739,Emp_Data!$B$2:$C$9,2,)</f>
        <v>Sara</v>
      </c>
      <c r="G1739" s="97" t="s">
        <v>19</v>
      </c>
      <c r="H1739" s="97" t="s">
        <v>43</v>
      </c>
      <c r="I1739" s="97">
        <v>69</v>
      </c>
      <c r="J1739" s="97">
        <v>4</v>
      </c>
      <c r="K1739" s="97">
        <f t="shared" si="27"/>
        <v>276</v>
      </c>
      <c r="L1739" s="97">
        <f>_xlfn.XLOOKUP(E1739,Emp_Data!$B$2:$B$9,Emp_Data!$A$2:$A$9)</f>
        <v>5</v>
      </c>
    </row>
    <row r="1740" spans="1:12">
      <c r="A1740" s="99">
        <v>609</v>
      </c>
      <c r="B1740" s="101">
        <v>44377</v>
      </c>
      <c r="C1740" s="96">
        <v>19</v>
      </c>
      <c r="D1740" s="104" t="s">
        <v>22</v>
      </c>
      <c r="E1740" s="97" t="s">
        <v>25</v>
      </c>
      <c r="F1740" s="97" t="str">
        <f>VLOOKUP(E1740,Emp_Data!$B$2:$C$9,2,)</f>
        <v>Jeff</v>
      </c>
      <c r="G1740" s="97" t="s">
        <v>9</v>
      </c>
      <c r="H1740" s="97" t="s">
        <v>43</v>
      </c>
      <c r="I1740" s="97">
        <v>69</v>
      </c>
      <c r="J1740" s="97">
        <v>4</v>
      </c>
      <c r="K1740" s="97">
        <f t="shared" si="27"/>
        <v>276</v>
      </c>
      <c r="L1740" s="97">
        <f>_xlfn.XLOOKUP(E1740,Emp_Data!$B$2:$B$9,Emp_Data!$A$2:$A$9)</f>
        <v>5</v>
      </c>
    </row>
    <row r="1741" spans="1:12">
      <c r="A1741" s="99">
        <v>610</v>
      </c>
      <c r="B1741" s="101">
        <v>44378</v>
      </c>
      <c r="C1741" s="96">
        <v>12</v>
      </c>
      <c r="D1741" s="104" t="s">
        <v>17</v>
      </c>
      <c r="E1741" s="97" t="s">
        <v>24</v>
      </c>
      <c r="F1741" s="97" t="str">
        <f>VLOOKUP(E1741,Emp_Data!$B$2:$C$9,2,)</f>
        <v>Steve</v>
      </c>
      <c r="G1741" s="97" t="s">
        <v>19</v>
      </c>
      <c r="H1741" s="97" t="s">
        <v>43</v>
      </c>
      <c r="I1741" s="97">
        <v>69</v>
      </c>
      <c r="J1741" s="97">
        <v>8</v>
      </c>
      <c r="K1741" s="97">
        <f t="shared" si="27"/>
        <v>552</v>
      </c>
      <c r="L1741" s="97">
        <f>_xlfn.XLOOKUP(E1741,Emp_Data!$B$2:$B$9,Emp_Data!$A$2:$A$9)</f>
        <v>6</v>
      </c>
    </row>
    <row r="1742" spans="1:12">
      <c r="A1742" s="99">
        <v>613</v>
      </c>
      <c r="B1742" s="101">
        <v>44379</v>
      </c>
      <c r="C1742" s="96">
        <v>15</v>
      </c>
      <c r="D1742" s="104" t="s">
        <v>29</v>
      </c>
      <c r="E1742" s="97" t="s">
        <v>24</v>
      </c>
      <c r="F1742" s="97" t="str">
        <f>VLOOKUP(E1742,Emp_Data!$B$2:$C$9,2,)</f>
        <v>Steve</v>
      </c>
      <c r="G1742" s="97" t="s">
        <v>19</v>
      </c>
      <c r="H1742" s="97" t="s">
        <v>43</v>
      </c>
      <c r="I1742" s="97">
        <v>69</v>
      </c>
      <c r="J1742" s="97">
        <v>2</v>
      </c>
      <c r="K1742" s="97">
        <f t="shared" si="27"/>
        <v>138</v>
      </c>
      <c r="L1742" s="97">
        <f>_xlfn.XLOOKUP(E1742,Emp_Data!$B$2:$B$9,Emp_Data!$A$2:$A$9)</f>
        <v>6</v>
      </c>
    </row>
    <row r="1743" spans="1:12">
      <c r="A1743" s="99">
        <v>616</v>
      </c>
      <c r="B1743" s="101">
        <v>44382</v>
      </c>
      <c r="C1743" s="96">
        <v>11</v>
      </c>
      <c r="D1743" s="104" t="s">
        <v>38</v>
      </c>
      <c r="E1743" s="97" t="s">
        <v>24</v>
      </c>
      <c r="F1743" s="97" t="str">
        <f>VLOOKUP(E1743,Emp_Data!$B$2:$C$9,2,)</f>
        <v>Steve</v>
      </c>
      <c r="G1743" s="97" t="s">
        <v>19</v>
      </c>
      <c r="H1743" s="97" t="s">
        <v>43</v>
      </c>
      <c r="I1743" s="97">
        <v>69</v>
      </c>
      <c r="J1743" s="97">
        <v>7</v>
      </c>
      <c r="K1743" s="97">
        <f t="shared" si="27"/>
        <v>483</v>
      </c>
      <c r="L1743" s="97">
        <f>_xlfn.XLOOKUP(E1743,Emp_Data!$B$2:$B$9,Emp_Data!$A$2:$A$9)</f>
        <v>6</v>
      </c>
    </row>
    <row r="1744" spans="1:12">
      <c r="A1744" s="99">
        <v>627</v>
      </c>
      <c r="B1744" s="101">
        <v>44385</v>
      </c>
      <c r="C1744" s="96">
        <v>18</v>
      </c>
      <c r="D1744" s="104" t="s">
        <v>30</v>
      </c>
      <c r="E1744" s="97" t="s">
        <v>25</v>
      </c>
      <c r="F1744" s="97" t="str">
        <f>VLOOKUP(E1744,Emp_Data!$B$2:$C$9,2,)</f>
        <v>Jeff</v>
      </c>
      <c r="G1744" s="97" t="s">
        <v>9</v>
      </c>
      <c r="H1744" s="97" t="s">
        <v>43</v>
      </c>
      <c r="I1744" s="97">
        <v>69</v>
      </c>
      <c r="J1744" s="97">
        <v>4</v>
      </c>
      <c r="K1744" s="97">
        <f t="shared" si="27"/>
        <v>276</v>
      </c>
      <c r="L1744" s="97">
        <f>_xlfn.XLOOKUP(E1744,Emp_Data!$B$2:$B$9,Emp_Data!$A$2:$A$9)</f>
        <v>5</v>
      </c>
    </row>
    <row r="1745" spans="1:12">
      <c r="A1745" s="99">
        <v>629</v>
      </c>
      <c r="B1745" s="101">
        <v>44385</v>
      </c>
      <c r="C1745" s="96">
        <v>2</v>
      </c>
      <c r="D1745" s="104" t="s">
        <v>35</v>
      </c>
      <c r="E1745" s="97" t="s">
        <v>21</v>
      </c>
      <c r="F1745" s="97" t="str">
        <f>VLOOKUP(E1745,Emp_Data!$B$2:$C$9,2,)</f>
        <v>Sara</v>
      </c>
      <c r="G1745" s="97" t="s">
        <v>15</v>
      </c>
      <c r="H1745" s="97" t="s">
        <v>43</v>
      </c>
      <c r="I1745" s="97">
        <v>69</v>
      </c>
      <c r="J1745" s="97">
        <v>6</v>
      </c>
      <c r="K1745" s="97">
        <f t="shared" si="27"/>
        <v>414</v>
      </c>
      <c r="L1745" s="97">
        <f>_xlfn.XLOOKUP(E1745,Emp_Data!$B$2:$B$9,Emp_Data!$A$2:$A$9)</f>
        <v>2</v>
      </c>
    </row>
    <row r="1746" spans="1:12">
      <c r="A1746" s="99">
        <v>632</v>
      </c>
      <c r="B1746" s="101">
        <v>44387</v>
      </c>
      <c r="C1746" s="96">
        <v>17</v>
      </c>
      <c r="D1746" s="104" t="s">
        <v>32</v>
      </c>
      <c r="E1746" s="97" t="s">
        <v>25</v>
      </c>
      <c r="F1746" s="97" t="str">
        <f>VLOOKUP(E1746,Emp_Data!$B$2:$C$9,2,)</f>
        <v>Jeff</v>
      </c>
      <c r="G1746" s="97" t="s">
        <v>9</v>
      </c>
      <c r="H1746" s="97" t="s">
        <v>43</v>
      </c>
      <c r="I1746" s="97">
        <v>69</v>
      </c>
      <c r="J1746" s="97">
        <v>3</v>
      </c>
      <c r="K1746" s="97">
        <f t="shared" si="27"/>
        <v>207</v>
      </c>
      <c r="L1746" s="97">
        <f>_xlfn.XLOOKUP(E1746,Emp_Data!$B$2:$B$9,Emp_Data!$A$2:$A$9)</f>
        <v>5</v>
      </c>
    </row>
    <row r="1747" spans="1:12">
      <c r="A1747" s="99">
        <v>636</v>
      </c>
      <c r="B1747" s="101">
        <v>44389</v>
      </c>
      <c r="C1747" s="96">
        <v>16</v>
      </c>
      <c r="D1747" s="104" t="s">
        <v>37</v>
      </c>
      <c r="E1747" s="97" t="s">
        <v>25</v>
      </c>
      <c r="F1747" s="97" t="str">
        <f>VLOOKUP(E1747,Emp_Data!$B$2:$C$9,2,)</f>
        <v>Jeff</v>
      </c>
      <c r="G1747" s="97" t="s">
        <v>9</v>
      </c>
      <c r="H1747" s="97" t="s">
        <v>43</v>
      </c>
      <c r="I1747" s="97">
        <v>69</v>
      </c>
      <c r="J1747" s="97">
        <v>5</v>
      </c>
      <c r="K1747" s="97">
        <f t="shared" si="27"/>
        <v>345</v>
      </c>
      <c r="L1747" s="97">
        <f>_xlfn.XLOOKUP(E1747,Emp_Data!$B$2:$B$9,Emp_Data!$A$2:$A$9)</f>
        <v>5</v>
      </c>
    </row>
    <row r="1748" spans="1:12">
      <c r="A1748" s="99">
        <v>645</v>
      </c>
      <c r="B1748" s="101">
        <v>44393</v>
      </c>
      <c r="C1748" s="96">
        <v>1</v>
      </c>
      <c r="D1748" s="104" t="s">
        <v>31</v>
      </c>
      <c r="E1748" s="97" t="s">
        <v>14</v>
      </c>
      <c r="F1748" s="97" t="str">
        <f>VLOOKUP(E1748,Emp_Data!$B$2:$C$9,2,)</f>
        <v>Jeff</v>
      </c>
      <c r="G1748" s="97" t="s">
        <v>15</v>
      </c>
      <c r="H1748" s="97" t="s">
        <v>43</v>
      </c>
      <c r="I1748" s="97">
        <v>69</v>
      </c>
      <c r="J1748" s="97">
        <v>9</v>
      </c>
      <c r="K1748" s="97">
        <f t="shared" si="27"/>
        <v>621</v>
      </c>
      <c r="L1748" s="97">
        <f>_xlfn.XLOOKUP(E1748,Emp_Data!$B$2:$B$9,Emp_Data!$A$2:$A$9)</f>
        <v>2</v>
      </c>
    </row>
    <row r="1749" spans="1:12">
      <c r="A1749" s="99">
        <v>654</v>
      </c>
      <c r="B1749" s="101">
        <v>44395</v>
      </c>
      <c r="C1749" s="96">
        <v>1</v>
      </c>
      <c r="D1749" s="104" t="s">
        <v>31</v>
      </c>
      <c r="E1749" s="97" t="s">
        <v>14</v>
      </c>
      <c r="F1749" s="97" t="str">
        <f>VLOOKUP(E1749,Emp_Data!$B$2:$C$9,2,)</f>
        <v>Jeff</v>
      </c>
      <c r="G1749" s="97" t="s">
        <v>15</v>
      </c>
      <c r="H1749" s="97" t="s">
        <v>43</v>
      </c>
      <c r="I1749" s="97">
        <v>69</v>
      </c>
      <c r="J1749" s="97">
        <v>0</v>
      </c>
      <c r="K1749" s="97">
        <f t="shared" si="27"/>
        <v>0</v>
      </c>
      <c r="L1749" s="97">
        <f>_xlfn.XLOOKUP(E1749,Emp_Data!$B$2:$B$9,Emp_Data!$A$2:$A$9)</f>
        <v>2</v>
      </c>
    </row>
    <row r="1750" spans="1:12">
      <c r="A1750" s="99">
        <v>657</v>
      </c>
      <c r="B1750" s="101">
        <v>44395</v>
      </c>
      <c r="C1750" s="96">
        <v>6</v>
      </c>
      <c r="D1750" s="104" t="s">
        <v>10</v>
      </c>
      <c r="E1750" s="97" t="s">
        <v>11</v>
      </c>
      <c r="F1750" s="97" t="str">
        <f>VLOOKUP(E1750,Emp_Data!$B$2:$C$9,2,)</f>
        <v>Steve</v>
      </c>
      <c r="G1750" s="97" t="s">
        <v>12</v>
      </c>
      <c r="H1750" s="97" t="s">
        <v>43</v>
      </c>
      <c r="I1750" s="97">
        <v>69</v>
      </c>
      <c r="J1750" s="97">
        <v>3</v>
      </c>
      <c r="K1750" s="97">
        <f t="shared" si="27"/>
        <v>207</v>
      </c>
      <c r="L1750" s="97">
        <f>_xlfn.XLOOKUP(E1750,Emp_Data!$B$2:$B$9,Emp_Data!$A$2:$A$9)</f>
        <v>4</v>
      </c>
    </row>
    <row r="1751" spans="1:12">
      <c r="A1751" s="99">
        <v>662</v>
      </c>
      <c r="B1751" s="101">
        <v>44397</v>
      </c>
      <c r="C1751" s="96">
        <v>9</v>
      </c>
      <c r="D1751" s="104" t="s">
        <v>26</v>
      </c>
      <c r="E1751" s="97" t="s">
        <v>11</v>
      </c>
      <c r="F1751" s="97" t="str">
        <f>VLOOKUP(E1751,Emp_Data!$B$2:$C$9,2,)</f>
        <v>Steve</v>
      </c>
      <c r="G1751" s="97" t="s">
        <v>12</v>
      </c>
      <c r="H1751" s="97" t="s">
        <v>43</v>
      </c>
      <c r="I1751" s="97">
        <v>69</v>
      </c>
      <c r="J1751" s="97">
        <v>2</v>
      </c>
      <c r="K1751" s="97">
        <f t="shared" si="27"/>
        <v>138</v>
      </c>
      <c r="L1751" s="97">
        <f>_xlfn.XLOOKUP(E1751,Emp_Data!$B$2:$B$9,Emp_Data!$A$2:$A$9)</f>
        <v>4</v>
      </c>
    </row>
    <row r="1752" spans="1:12">
      <c r="A1752" s="99">
        <v>666</v>
      </c>
      <c r="B1752" s="101">
        <v>44399</v>
      </c>
      <c r="C1752" s="96">
        <v>13</v>
      </c>
      <c r="D1752" s="104" t="s">
        <v>23</v>
      </c>
      <c r="E1752" s="97" t="s">
        <v>24</v>
      </c>
      <c r="F1752" s="97" t="str">
        <f>VLOOKUP(E1752,Emp_Data!$B$2:$C$9,2,)</f>
        <v>Steve</v>
      </c>
      <c r="G1752" s="97" t="s">
        <v>19</v>
      </c>
      <c r="H1752" s="97" t="s">
        <v>43</v>
      </c>
      <c r="I1752" s="97">
        <v>69</v>
      </c>
      <c r="J1752" s="97">
        <v>0</v>
      </c>
      <c r="K1752" s="97">
        <f t="shared" si="27"/>
        <v>0</v>
      </c>
      <c r="L1752" s="97">
        <f>_xlfn.XLOOKUP(E1752,Emp_Data!$B$2:$B$9,Emp_Data!$A$2:$A$9)</f>
        <v>6</v>
      </c>
    </row>
    <row r="1753" spans="1:12">
      <c r="A1753" s="99">
        <v>667</v>
      </c>
      <c r="B1753" s="101">
        <v>44400</v>
      </c>
      <c r="C1753" s="96">
        <v>14</v>
      </c>
      <c r="D1753" s="104" t="s">
        <v>33</v>
      </c>
      <c r="E1753" s="97" t="s">
        <v>24</v>
      </c>
      <c r="F1753" s="97" t="str">
        <f>VLOOKUP(E1753,Emp_Data!$B$2:$C$9,2,)</f>
        <v>Steve</v>
      </c>
      <c r="G1753" s="97" t="s">
        <v>19</v>
      </c>
      <c r="H1753" s="97" t="s">
        <v>43</v>
      </c>
      <c r="I1753" s="97">
        <v>69</v>
      </c>
      <c r="J1753" s="97">
        <v>8</v>
      </c>
      <c r="K1753" s="97">
        <f t="shared" si="27"/>
        <v>552</v>
      </c>
      <c r="L1753" s="97">
        <f>_xlfn.XLOOKUP(E1753,Emp_Data!$B$2:$B$9,Emp_Data!$A$2:$A$9)</f>
        <v>6</v>
      </c>
    </row>
    <row r="1754" spans="1:12">
      <c r="A1754" s="99">
        <v>668</v>
      </c>
      <c r="B1754" s="101">
        <v>44401</v>
      </c>
      <c r="C1754" s="96">
        <v>10</v>
      </c>
      <c r="D1754" s="104" t="s">
        <v>34</v>
      </c>
      <c r="E1754" s="97" t="s">
        <v>27</v>
      </c>
      <c r="F1754" s="97" t="str">
        <f>VLOOKUP(E1754,Emp_Data!$B$2:$C$9,2,)</f>
        <v>Philip</v>
      </c>
      <c r="G1754" s="97" t="s">
        <v>12</v>
      </c>
      <c r="H1754" s="97" t="s">
        <v>43</v>
      </c>
      <c r="I1754" s="97">
        <v>69</v>
      </c>
      <c r="J1754" s="97">
        <v>2</v>
      </c>
      <c r="K1754" s="97">
        <f t="shared" si="27"/>
        <v>138</v>
      </c>
      <c r="L1754" s="97">
        <f>_xlfn.XLOOKUP(E1754,Emp_Data!$B$2:$B$9,Emp_Data!$A$2:$A$9)</f>
        <v>8</v>
      </c>
    </row>
    <row r="1755" spans="1:12">
      <c r="A1755" s="99">
        <v>676</v>
      </c>
      <c r="B1755" s="101">
        <v>44403</v>
      </c>
      <c r="C1755" s="96">
        <v>15</v>
      </c>
      <c r="D1755" s="104" t="s">
        <v>29</v>
      </c>
      <c r="E1755" s="97" t="s">
        <v>18</v>
      </c>
      <c r="F1755" s="97" t="str">
        <f>VLOOKUP(E1755,Emp_Data!$B$2:$C$9,2,)</f>
        <v>Sara</v>
      </c>
      <c r="G1755" s="97" t="s">
        <v>19</v>
      </c>
      <c r="H1755" s="97" t="s">
        <v>43</v>
      </c>
      <c r="I1755" s="97">
        <v>69</v>
      </c>
      <c r="J1755" s="97">
        <v>4</v>
      </c>
      <c r="K1755" s="97">
        <f t="shared" si="27"/>
        <v>276</v>
      </c>
      <c r="L1755" s="97">
        <f>_xlfn.XLOOKUP(E1755,Emp_Data!$B$2:$B$9,Emp_Data!$A$2:$A$9)</f>
        <v>5</v>
      </c>
    </row>
    <row r="1756" spans="1:12">
      <c r="A1756" s="99">
        <v>678</v>
      </c>
      <c r="B1756" s="101">
        <v>44403</v>
      </c>
      <c r="C1756" s="96">
        <v>18</v>
      </c>
      <c r="D1756" s="104" t="s">
        <v>30</v>
      </c>
      <c r="E1756" s="97" t="s">
        <v>8</v>
      </c>
      <c r="F1756" s="97" t="str">
        <f>VLOOKUP(E1756,Emp_Data!$B$2:$C$9,2,)</f>
        <v>Jeff</v>
      </c>
      <c r="G1756" s="97" t="s">
        <v>9</v>
      </c>
      <c r="H1756" s="97" t="s">
        <v>43</v>
      </c>
      <c r="I1756" s="97">
        <v>69</v>
      </c>
      <c r="J1756" s="97">
        <v>6</v>
      </c>
      <c r="K1756" s="97">
        <f t="shared" si="27"/>
        <v>414</v>
      </c>
      <c r="L1756" s="97">
        <f>_xlfn.XLOOKUP(E1756,Emp_Data!$B$2:$B$9,Emp_Data!$A$2:$A$9)</f>
        <v>3</v>
      </c>
    </row>
    <row r="1757" spans="1:12">
      <c r="A1757" s="99">
        <v>680</v>
      </c>
      <c r="B1757" s="101">
        <v>44403</v>
      </c>
      <c r="C1757" s="96">
        <v>13</v>
      </c>
      <c r="D1757" s="104" t="s">
        <v>23</v>
      </c>
      <c r="E1757" s="97" t="s">
        <v>18</v>
      </c>
      <c r="F1757" s="97" t="str">
        <f>VLOOKUP(E1757,Emp_Data!$B$2:$C$9,2,)</f>
        <v>Sara</v>
      </c>
      <c r="G1757" s="97" t="s">
        <v>19</v>
      </c>
      <c r="H1757" s="97" t="s">
        <v>43</v>
      </c>
      <c r="I1757" s="97">
        <v>69</v>
      </c>
      <c r="J1757" s="97">
        <v>3</v>
      </c>
      <c r="K1757" s="97">
        <f t="shared" si="27"/>
        <v>207</v>
      </c>
      <c r="L1757" s="97">
        <f>_xlfn.XLOOKUP(E1757,Emp_Data!$B$2:$B$9,Emp_Data!$A$2:$A$9)</f>
        <v>5</v>
      </c>
    </row>
    <row r="1758" spans="1:12">
      <c r="A1758" s="99">
        <v>681</v>
      </c>
      <c r="B1758" s="101">
        <v>44403</v>
      </c>
      <c r="C1758" s="96">
        <v>3</v>
      </c>
      <c r="D1758" s="104" t="s">
        <v>20</v>
      </c>
      <c r="E1758" s="97" t="s">
        <v>21</v>
      </c>
      <c r="F1758" s="97" t="str">
        <f>VLOOKUP(E1758,Emp_Data!$B$2:$C$9,2,)</f>
        <v>Sara</v>
      </c>
      <c r="G1758" s="97" t="s">
        <v>15</v>
      </c>
      <c r="H1758" s="97" t="s">
        <v>43</v>
      </c>
      <c r="I1758" s="97">
        <v>69</v>
      </c>
      <c r="J1758" s="97">
        <v>4</v>
      </c>
      <c r="K1758" s="97">
        <f t="shared" si="27"/>
        <v>276</v>
      </c>
      <c r="L1758" s="97">
        <f>_xlfn.XLOOKUP(E1758,Emp_Data!$B$2:$B$9,Emp_Data!$A$2:$A$9)</f>
        <v>2</v>
      </c>
    </row>
    <row r="1759" spans="1:12">
      <c r="A1759" s="99">
        <v>686</v>
      </c>
      <c r="B1759" s="101">
        <v>44404</v>
      </c>
      <c r="C1759" s="96">
        <v>1</v>
      </c>
      <c r="D1759" s="104" t="s">
        <v>31</v>
      </c>
      <c r="E1759" s="97" t="s">
        <v>21</v>
      </c>
      <c r="F1759" s="97" t="str">
        <f>VLOOKUP(E1759,Emp_Data!$B$2:$C$9,2,)</f>
        <v>Sara</v>
      </c>
      <c r="G1759" s="97" t="s">
        <v>15</v>
      </c>
      <c r="H1759" s="97" t="s">
        <v>43</v>
      </c>
      <c r="I1759" s="97">
        <v>69</v>
      </c>
      <c r="J1759" s="97">
        <v>1</v>
      </c>
      <c r="K1759" s="97">
        <f t="shared" si="27"/>
        <v>69</v>
      </c>
      <c r="L1759" s="97">
        <f>_xlfn.XLOOKUP(E1759,Emp_Data!$B$2:$B$9,Emp_Data!$A$2:$A$9)</f>
        <v>2</v>
      </c>
    </row>
    <row r="1760" spans="1:12">
      <c r="A1760" s="99">
        <v>687</v>
      </c>
      <c r="B1760" s="101">
        <v>44404</v>
      </c>
      <c r="C1760" s="96">
        <v>15</v>
      </c>
      <c r="D1760" s="104" t="s">
        <v>29</v>
      </c>
      <c r="E1760" s="97" t="s">
        <v>24</v>
      </c>
      <c r="F1760" s="97" t="str">
        <f>VLOOKUP(E1760,Emp_Data!$B$2:$C$9,2,)</f>
        <v>Steve</v>
      </c>
      <c r="G1760" s="97" t="s">
        <v>19</v>
      </c>
      <c r="H1760" s="97" t="s">
        <v>43</v>
      </c>
      <c r="I1760" s="97">
        <v>69</v>
      </c>
      <c r="J1760" s="97">
        <v>0</v>
      </c>
      <c r="K1760" s="97">
        <f t="shared" si="27"/>
        <v>0</v>
      </c>
      <c r="L1760" s="97">
        <f>_xlfn.XLOOKUP(E1760,Emp_Data!$B$2:$B$9,Emp_Data!$A$2:$A$9)</f>
        <v>6</v>
      </c>
    </row>
    <row r="1761" spans="1:12">
      <c r="A1761" s="99">
        <v>716</v>
      </c>
      <c r="B1761" s="101">
        <v>44413</v>
      </c>
      <c r="C1761" s="96">
        <v>4</v>
      </c>
      <c r="D1761" s="104" t="s">
        <v>13</v>
      </c>
      <c r="E1761" s="97" t="s">
        <v>14</v>
      </c>
      <c r="F1761" s="97" t="str">
        <f>VLOOKUP(E1761,Emp_Data!$B$2:$C$9,2,)</f>
        <v>Jeff</v>
      </c>
      <c r="G1761" s="97" t="s">
        <v>15</v>
      </c>
      <c r="H1761" s="97" t="s">
        <v>43</v>
      </c>
      <c r="I1761" s="97">
        <v>69</v>
      </c>
      <c r="J1761" s="97">
        <v>8</v>
      </c>
      <c r="K1761" s="97">
        <f t="shared" si="27"/>
        <v>552</v>
      </c>
      <c r="L1761" s="97">
        <f>_xlfn.XLOOKUP(E1761,Emp_Data!$B$2:$B$9,Emp_Data!$A$2:$A$9)</f>
        <v>2</v>
      </c>
    </row>
    <row r="1762" spans="1:12">
      <c r="A1762" s="99">
        <v>727</v>
      </c>
      <c r="B1762" s="101">
        <v>44416</v>
      </c>
      <c r="C1762" s="96">
        <v>17</v>
      </c>
      <c r="D1762" s="104" t="s">
        <v>32</v>
      </c>
      <c r="E1762" s="97" t="s">
        <v>8</v>
      </c>
      <c r="F1762" s="97" t="str">
        <f>VLOOKUP(E1762,Emp_Data!$B$2:$C$9,2,)</f>
        <v>Jeff</v>
      </c>
      <c r="G1762" s="97" t="s">
        <v>9</v>
      </c>
      <c r="H1762" s="97" t="s">
        <v>43</v>
      </c>
      <c r="I1762" s="97">
        <v>69</v>
      </c>
      <c r="J1762" s="97">
        <v>3</v>
      </c>
      <c r="K1762" s="97">
        <f t="shared" si="27"/>
        <v>207</v>
      </c>
      <c r="L1762" s="97">
        <f>_xlfn.XLOOKUP(E1762,Emp_Data!$B$2:$B$9,Emp_Data!$A$2:$A$9)</f>
        <v>3</v>
      </c>
    </row>
    <row r="1763" spans="1:12">
      <c r="A1763" s="99">
        <v>739</v>
      </c>
      <c r="B1763" s="101">
        <v>44421</v>
      </c>
      <c r="C1763" s="96">
        <v>1</v>
      </c>
      <c r="D1763" s="104" t="s">
        <v>31</v>
      </c>
      <c r="E1763" s="97" t="s">
        <v>21</v>
      </c>
      <c r="F1763" s="97" t="str">
        <f>VLOOKUP(E1763,Emp_Data!$B$2:$C$9,2,)</f>
        <v>Sara</v>
      </c>
      <c r="G1763" s="97" t="s">
        <v>15</v>
      </c>
      <c r="H1763" s="97" t="s">
        <v>43</v>
      </c>
      <c r="I1763" s="97">
        <v>69</v>
      </c>
      <c r="J1763" s="97">
        <v>6</v>
      </c>
      <c r="K1763" s="97">
        <f t="shared" si="27"/>
        <v>414</v>
      </c>
      <c r="L1763" s="97">
        <f>_xlfn.XLOOKUP(E1763,Emp_Data!$B$2:$B$9,Emp_Data!$A$2:$A$9)</f>
        <v>2</v>
      </c>
    </row>
    <row r="1764" spans="1:12">
      <c r="A1764" s="99">
        <v>743</v>
      </c>
      <c r="B1764" s="101">
        <v>44423</v>
      </c>
      <c r="C1764" s="96">
        <v>19</v>
      </c>
      <c r="D1764" s="104" t="s">
        <v>22</v>
      </c>
      <c r="E1764" s="97" t="s">
        <v>25</v>
      </c>
      <c r="F1764" s="97" t="str">
        <f>VLOOKUP(E1764,Emp_Data!$B$2:$C$9,2,)</f>
        <v>Jeff</v>
      </c>
      <c r="G1764" s="97" t="s">
        <v>9</v>
      </c>
      <c r="H1764" s="97" t="s">
        <v>43</v>
      </c>
      <c r="I1764" s="97">
        <v>69</v>
      </c>
      <c r="J1764" s="97">
        <v>9</v>
      </c>
      <c r="K1764" s="97">
        <f t="shared" si="27"/>
        <v>621</v>
      </c>
      <c r="L1764" s="97">
        <f>_xlfn.XLOOKUP(E1764,Emp_Data!$B$2:$B$9,Emp_Data!$A$2:$A$9)</f>
        <v>5</v>
      </c>
    </row>
    <row r="1765" spans="1:12">
      <c r="A1765" s="99">
        <v>744</v>
      </c>
      <c r="B1765" s="101">
        <v>44424</v>
      </c>
      <c r="C1765" s="96">
        <v>12</v>
      </c>
      <c r="D1765" s="104" t="s">
        <v>17</v>
      </c>
      <c r="E1765" s="97" t="s">
        <v>24</v>
      </c>
      <c r="F1765" s="97" t="str">
        <f>VLOOKUP(E1765,Emp_Data!$B$2:$C$9,2,)</f>
        <v>Steve</v>
      </c>
      <c r="G1765" s="97" t="s">
        <v>19</v>
      </c>
      <c r="H1765" s="97" t="s">
        <v>43</v>
      </c>
      <c r="I1765" s="97">
        <v>69</v>
      </c>
      <c r="J1765" s="97">
        <v>5</v>
      </c>
      <c r="K1765" s="97">
        <f t="shared" si="27"/>
        <v>345</v>
      </c>
      <c r="L1765" s="97">
        <f>_xlfn.XLOOKUP(E1765,Emp_Data!$B$2:$B$9,Emp_Data!$A$2:$A$9)</f>
        <v>6</v>
      </c>
    </row>
    <row r="1766" spans="1:12">
      <c r="A1766" s="99">
        <v>763</v>
      </c>
      <c r="B1766" s="101">
        <v>44429</v>
      </c>
      <c r="C1766" s="96">
        <v>17</v>
      </c>
      <c r="D1766" s="104" t="s">
        <v>32</v>
      </c>
      <c r="E1766" s="97" t="s">
        <v>25</v>
      </c>
      <c r="F1766" s="97" t="str">
        <f>VLOOKUP(E1766,Emp_Data!$B$2:$C$9,2,)</f>
        <v>Jeff</v>
      </c>
      <c r="G1766" s="97" t="s">
        <v>9</v>
      </c>
      <c r="H1766" s="97" t="s">
        <v>43</v>
      </c>
      <c r="I1766" s="97">
        <v>69</v>
      </c>
      <c r="J1766" s="97">
        <v>8</v>
      </c>
      <c r="K1766" s="97">
        <f t="shared" si="27"/>
        <v>552</v>
      </c>
      <c r="L1766" s="97">
        <f>_xlfn.XLOOKUP(E1766,Emp_Data!$B$2:$B$9,Emp_Data!$A$2:$A$9)</f>
        <v>5</v>
      </c>
    </row>
    <row r="1767" spans="1:12">
      <c r="A1767" s="99">
        <v>773</v>
      </c>
      <c r="B1767" s="101">
        <v>44434</v>
      </c>
      <c r="C1767" s="96">
        <v>20</v>
      </c>
      <c r="D1767" s="104" t="s">
        <v>7</v>
      </c>
      <c r="E1767" s="97" t="s">
        <v>8</v>
      </c>
      <c r="F1767" s="97" t="str">
        <f>VLOOKUP(E1767,Emp_Data!$B$2:$C$9,2,)</f>
        <v>Jeff</v>
      </c>
      <c r="G1767" s="97" t="s">
        <v>9</v>
      </c>
      <c r="H1767" s="97" t="s">
        <v>43</v>
      </c>
      <c r="I1767" s="97">
        <v>69</v>
      </c>
      <c r="J1767" s="97">
        <v>0</v>
      </c>
      <c r="K1767" s="97">
        <f t="shared" si="27"/>
        <v>0</v>
      </c>
      <c r="L1767" s="97">
        <f>_xlfn.XLOOKUP(E1767,Emp_Data!$B$2:$B$9,Emp_Data!$A$2:$A$9)</f>
        <v>3</v>
      </c>
    </row>
    <row r="1768" spans="1:12">
      <c r="A1768" s="99">
        <v>774</v>
      </c>
      <c r="B1768" s="101">
        <v>44434</v>
      </c>
      <c r="C1768" s="96">
        <v>15</v>
      </c>
      <c r="D1768" s="104" t="s">
        <v>29</v>
      </c>
      <c r="E1768" s="97" t="s">
        <v>18</v>
      </c>
      <c r="F1768" s="97" t="str">
        <f>VLOOKUP(E1768,Emp_Data!$B$2:$C$9,2,)</f>
        <v>Sara</v>
      </c>
      <c r="G1768" s="97" t="s">
        <v>19</v>
      </c>
      <c r="H1768" s="97" t="s">
        <v>43</v>
      </c>
      <c r="I1768" s="97">
        <v>69</v>
      </c>
      <c r="J1768" s="97">
        <v>2</v>
      </c>
      <c r="K1768" s="97">
        <f t="shared" si="27"/>
        <v>138</v>
      </c>
      <c r="L1768" s="97">
        <f>_xlfn.XLOOKUP(E1768,Emp_Data!$B$2:$B$9,Emp_Data!$A$2:$A$9)</f>
        <v>5</v>
      </c>
    </row>
    <row r="1769" spans="1:12">
      <c r="A1769" s="99">
        <v>781</v>
      </c>
      <c r="B1769" s="101">
        <v>44436</v>
      </c>
      <c r="C1769" s="96">
        <v>11</v>
      </c>
      <c r="D1769" s="104" t="s">
        <v>38</v>
      </c>
      <c r="E1769" s="97" t="s">
        <v>24</v>
      </c>
      <c r="F1769" s="97" t="str">
        <f>VLOOKUP(E1769,Emp_Data!$B$2:$C$9,2,)</f>
        <v>Steve</v>
      </c>
      <c r="G1769" s="97" t="s">
        <v>19</v>
      </c>
      <c r="H1769" s="97" t="s">
        <v>43</v>
      </c>
      <c r="I1769" s="97">
        <v>69</v>
      </c>
      <c r="J1769" s="97">
        <v>6</v>
      </c>
      <c r="K1769" s="97">
        <f t="shared" si="27"/>
        <v>414</v>
      </c>
      <c r="L1769" s="97">
        <f>_xlfn.XLOOKUP(E1769,Emp_Data!$B$2:$B$9,Emp_Data!$A$2:$A$9)</f>
        <v>6</v>
      </c>
    </row>
    <row r="1770" spans="1:12">
      <c r="A1770" s="99">
        <v>787</v>
      </c>
      <c r="B1770" s="101">
        <v>44438</v>
      </c>
      <c r="C1770" s="96">
        <v>14</v>
      </c>
      <c r="D1770" s="104" t="s">
        <v>33</v>
      </c>
      <c r="E1770" s="97" t="s">
        <v>18</v>
      </c>
      <c r="F1770" s="97" t="str">
        <f>VLOOKUP(E1770,Emp_Data!$B$2:$C$9,2,)</f>
        <v>Sara</v>
      </c>
      <c r="G1770" s="97" t="s">
        <v>19</v>
      </c>
      <c r="H1770" s="97" t="s">
        <v>43</v>
      </c>
      <c r="I1770" s="97">
        <v>69</v>
      </c>
      <c r="J1770" s="97">
        <v>1</v>
      </c>
      <c r="K1770" s="97">
        <f t="shared" si="27"/>
        <v>69</v>
      </c>
      <c r="L1770" s="97">
        <f>_xlfn.XLOOKUP(E1770,Emp_Data!$B$2:$B$9,Emp_Data!$A$2:$A$9)</f>
        <v>5</v>
      </c>
    </row>
    <row r="1771" spans="1:12">
      <c r="A1771" s="99">
        <v>797</v>
      </c>
      <c r="B1771" s="101">
        <v>44441</v>
      </c>
      <c r="C1771" s="96">
        <v>4</v>
      </c>
      <c r="D1771" s="104" t="s">
        <v>13</v>
      </c>
      <c r="E1771" s="97" t="s">
        <v>21</v>
      </c>
      <c r="F1771" s="97" t="str">
        <f>VLOOKUP(E1771,Emp_Data!$B$2:$C$9,2,)</f>
        <v>Sara</v>
      </c>
      <c r="G1771" s="97" t="s">
        <v>15</v>
      </c>
      <c r="H1771" s="97" t="s">
        <v>43</v>
      </c>
      <c r="I1771" s="97">
        <v>69</v>
      </c>
      <c r="J1771" s="97">
        <v>2</v>
      </c>
      <c r="K1771" s="97">
        <f t="shared" si="27"/>
        <v>138</v>
      </c>
      <c r="L1771" s="97">
        <f>_xlfn.XLOOKUP(E1771,Emp_Data!$B$2:$B$9,Emp_Data!$A$2:$A$9)</f>
        <v>2</v>
      </c>
    </row>
    <row r="1772" spans="1:12">
      <c r="A1772" s="99">
        <v>798</v>
      </c>
      <c r="B1772" s="101">
        <v>44441</v>
      </c>
      <c r="C1772" s="96">
        <v>20</v>
      </c>
      <c r="D1772" s="104" t="s">
        <v>7</v>
      </c>
      <c r="E1772" s="97" t="s">
        <v>8</v>
      </c>
      <c r="F1772" s="97" t="str">
        <f>VLOOKUP(E1772,Emp_Data!$B$2:$C$9,2,)</f>
        <v>Jeff</v>
      </c>
      <c r="G1772" s="97" t="s">
        <v>9</v>
      </c>
      <c r="H1772" s="97" t="s">
        <v>43</v>
      </c>
      <c r="I1772" s="97">
        <v>69</v>
      </c>
      <c r="J1772" s="97">
        <v>6</v>
      </c>
      <c r="K1772" s="97">
        <f t="shared" si="27"/>
        <v>414</v>
      </c>
      <c r="L1772" s="97">
        <f>_xlfn.XLOOKUP(E1772,Emp_Data!$B$2:$B$9,Emp_Data!$A$2:$A$9)</f>
        <v>3</v>
      </c>
    </row>
    <row r="1773" spans="1:12">
      <c r="A1773" s="99">
        <v>804</v>
      </c>
      <c r="B1773" s="101">
        <v>44443</v>
      </c>
      <c r="C1773" s="96">
        <v>16</v>
      </c>
      <c r="D1773" s="104" t="s">
        <v>37</v>
      </c>
      <c r="E1773" s="97" t="s">
        <v>25</v>
      </c>
      <c r="F1773" s="97" t="str">
        <f>VLOOKUP(E1773,Emp_Data!$B$2:$C$9,2,)</f>
        <v>Jeff</v>
      </c>
      <c r="G1773" s="97" t="s">
        <v>9</v>
      </c>
      <c r="H1773" s="97" t="s">
        <v>43</v>
      </c>
      <c r="I1773" s="97">
        <v>69</v>
      </c>
      <c r="J1773" s="97">
        <v>1</v>
      </c>
      <c r="K1773" s="97">
        <f t="shared" si="27"/>
        <v>69</v>
      </c>
      <c r="L1773" s="97">
        <f>_xlfn.XLOOKUP(E1773,Emp_Data!$B$2:$B$9,Emp_Data!$A$2:$A$9)</f>
        <v>5</v>
      </c>
    </row>
    <row r="1774" spans="1:12">
      <c r="A1774" s="99">
        <v>808</v>
      </c>
      <c r="B1774" s="101">
        <v>44445</v>
      </c>
      <c r="C1774" s="96">
        <v>13</v>
      </c>
      <c r="D1774" s="104" t="s">
        <v>23</v>
      </c>
      <c r="E1774" s="97" t="s">
        <v>24</v>
      </c>
      <c r="F1774" s="97" t="str">
        <f>VLOOKUP(E1774,Emp_Data!$B$2:$C$9,2,)</f>
        <v>Steve</v>
      </c>
      <c r="G1774" s="97" t="s">
        <v>19</v>
      </c>
      <c r="H1774" s="97" t="s">
        <v>43</v>
      </c>
      <c r="I1774" s="97">
        <v>69</v>
      </c>
      <c r="J1774" s="97">
        <v>5</v>
      </c>
      <c r="K1774" s="97">
        <f t="shared" si="27"/>
        <v>345</v>
      </c>
      <c r="L1774" s="97">
        <f>_xlfn.XLOOKUP(E1774,Emp_Data!$B$2:$B$9,Emp_Data!$A$2:$A$9)</f>
        <v>6</v>
      </c>
    </row>
    <row r="1775" spans="1:12">
      <c r="A1775" s="99">
        <v>810</v>
      </c>
      <c r="B1775" s="101">
        <v>44445</v>
      </c>
      <c r="C1775" s="96">
        <v>15</v>
      </c>
      <c r="D1775" s="104" t="s">
        <v>29</v>
      </c>
      <c r="E1775" s="97" t="s">
        <v>18</v>
      </c>
      <c r="F1775" s="97" t="str">
        <f>VLOOKUP(E1775,Emp_Data!$B$2:$C$9,2,)</f>
        <v>Sara</v>
      </c>
      <c r="G1775" s="97" t="s">
        <v>19</v>
      </c>
      <c r="H1775" s="97" t="s">
        <v>43</v>
      </c>
      <c r="I1775" s="97">
        <v>69</v>
      </c>
      <c r="J1775" s="97">
        <v>5</v>
      </c>
      <c r="K1775" s="97">
        <f t="shared" si="27"/>
        <v>345</v>
      </c>
      <c r="L1775" s="97">
        <f>_xlfn.XLOOKUP(E1775,Emp_Data!$B$2:$B$9,Emp_Data!$A$2:$A$9)</f>
        <v>5</v>
      </c>
    </row>
    <row r="1776" spans="1:12">
      <c r="A1776" s="99">
        <v>811</v>
      </c>
      <c r="B1776" s="101">
        <v>44445</v>
      </c>
      <c r="C1776" s="96">
        <v>14</v>
      </c>
      <c r="D1776" s="104" t="s">
        <v>33</v>
      </c>
      <c r="E1776" s="97" t="s">
        <v>18</v>
      </c>
      <c r="F1776" s="97" t="str">
        <f>VLOOKUP(E1776,Emp_Data!$B$2:$C$9,2,)</f>
        <v>Sara</v>
      </c>
      <c r="G1776" s="97" t="s">
        <v>19</v>
      </c>
      <c r="H1776" s="97" t="s">
        <v>43</v>
      </c>
      <c r="I1776" s="97">
        <v>69</v>
      </c>
      <c r="J1776" s="97">
        <v>9</v>
      </c>
      <c r="K1776" s="97">
        <f t="shared" si="27"/>
        <v>621</v>
      </c>
      <c r="L1776" s="97">
        <f>_xlfn.XLOOKUP(E1776,Emp_Data!$B$2:$B$9,Emp_Data!$A$2:$A$9)</f>
        <v>5</v>
      </c>
    </row>
    <row r="1777" spans="1:12">
      <c r="A1777" s="99">
        <v>817</v>
      </c>
      <c r="B1777" s="101">
        <v>44447</v>
      </c>
      <c r="C1777" s="96">
        <v>20</v>
      </c>
      <c r="D1777" s="104" t="s">
        <v>7</v>
      </c>
      <c r="E1777" s="97" t="s">
        <v>25</v>
      </c>
      <c r="F1777" s="97" t="str">
        <f>VLOOKUP(E1777,Emp_Data!$B$2:$C$9,2,)</f>
        <v>Jeff</v>
      </c>
      <c r="G1777" s="97" t="s">
        <v>9</v>
      </c>
      <c r="H1777" s="97" t="s">
        <v>43</v>
      </c>
      <c r="I1777" s="97">
        <v>69</v>
      </c>
      <c r="J1777" s="97">
        <v>5</v>
      </c>
      <c r="K1777" s="97">
        <f t="shared" si="27"/>
        <v>345</v>
      </c>
      <c r="L1777" s="97">
        <f>_xlfn.XLOOKUP(E1777,Emp_Data!$B$2:$B$9,Emp_Data!$A$2:$A$9)</f>
        <v>5</v>
      </c>
    </row>
    <row r="1778" spans="1:12">
      <c r="A1778" s="99">
        <v>823</v>
      </c>
      <c r="B1778" s="101">
        <v>44449</v>
      </c>
      <c r="C1778" s="96">
        <v>11</v>
      </c>
      <c r="D1778" s="104" t="s">
        <v>38</v>
      </c>
      <c r="E1778" s="97" t="s">
        <v>24</v>
      </c>
      <c r="F1778" s="97" t="str">
        <f>VLOOKUP(E1778,Emp_Data!$B$2:$C$9,2,)</f>
        <v>Steve</v>
      </c>
      <c r="G1778" s="97" t="s">
        <v>19</v>
      </c>
      <c r="H1778" s="97" t="s">
        <v>43</v>
      </c>
      <c r="I1778" s="97">
        <v>69</v>
      </c>
      <c r="J1778" s="97">
        <v>8</v>
      </c>
      <c r="K1778" s="97">
        <f t="shared" si="27"/>
        <v>552</v>
      </c>
      <c r="L1778" s="97">
        <f>_xlfn.XLOOKUP(E1778,Emp_Data!$B$2:$B$9,Emp_Data!$A$2:$A$9)</f>
        <v>6</v>
      </c>
    </row>
    <row r="1779" spans="1:12">
      <c r="A1779" s="99">
        <v>829</v>
      </c>
      <c r="B1779" s="101">
        <v>44451</v>
      </c>
      <c r="C1779" s="96">
        <v>14</v>
      </c>
      <c r="D1779" s="104" t="s">
        <v>33</v>
      </c>
      <c r="E1779" s="97" t="s">
        <v>18</v>
      </c>
      <c r="F1779" s="97" t="str">
        <f>VLOOKUP(E1779,Emp_Data!$B$2:$C$9,2,)</f>
        <v>Sara</v>
      </c>
      <c r="G1779" s="97" t="s">
        <v>19</v>
      </c>
      <c r="H1779" s="97" t="s">
        <v>43</v>
      </c>
      <c r="I1779" s="97">
        <v>69</v>
      </c>
      <c r="J1779" s="97">
        <v>4</v>
      </c>
      <c r="K1779" s="97">
        <f t="shared" si="27"/>
        <v>276</v>
      </c>
      <c r="L1779" s="97">
        <f>_xlfn.XLOOKUP(E1779,Emp_Data!$B$2:$B$9,Emp_Data!$A$2:$A$9)</f>
        <v>5</v>
      </c>
    </row>
    <row r="1780" spans="1:12">
      <c r="A1780" s="99">
        <v>834</v>
      </c>
      <c r="B1780" s="101">
        <v>44454</v>
      </c>
      <c r="C1780" s="96">
        <v>6</v>
      </c>
      <c r="D1780" s="104" t="s">
        <v>10</v>
      </c>
      <c r="E1780" s="97" t="s">
        <v>11</v>
      </c>
      <c r="F1780" s="97" t="str">
        <f>VLOOKUP(E1780,Emp_Data!$B$2:$C$9,2,)</f>
        <v>Steve</v>
      </c>
      <c r="G1780" s="97" t="s">
        <v>12</v>
      </c>
      <c r="H1780" s="97" t="s">
        <v>43</v>
      </c>
      <c r="I1780" s="97">
        <v>69</v>
      </c>
      <c r="J1780" s="97">
        <v>6</v>
      </c>
      <c r="K1780" s="97">
        <f t="shared" si="27"/>
        <v>414</v>
      </c>
      <c r="L1780" s="97">
        <f>_xlfn.XLOOKUP(E1780,Emp_Data!$B$2:$B$9,Emp_Data!$A$2:$A$9)</f>
        <v>4</v>
      </c>
    </row>
    <row r="1781" spans="1:12">
      <c r="A1781" s="99">
        <v>836</v>
      </c>
      <c r="B1781" s="101">
        <v>44455</v>
      </c>
      <c r="C1781" s="96">
        <v>5</v>
      </c>
      <c r="D1781" s="104" t="s">
        <v>16</v>
      </c>
      <c r="E1781" s="97" t="s">
        <v>14</v>
      </c>
      <c r="F1781" s="97" t="str">
        <f>VLOOKUP(E1781,Emp_Data!$B$2:$C$9,2,)</f>
        <v>Jeff</v>
      </c>
      <c r="G1781" s="97" t="s">
        <v>15</v>
      </c>
      <c r="H1781" s="97" t="s">
        <v>43</v>
      </c>
      <c r="I1781" s="97">
        <v>69</v>
      </c>
      <c r="J1781" s="97">
        <v>6</v>
      </c>
      <c r="K1781" s="97">
        <f t="shared" si="27"/>
        <v>414</v>
      </c>
      <c r="L1781" s="97">
        <f>_xlfn.XLOOKUP(E1781,Emp_Data!$B$2:$B$9,Emp_Data!$A$2:$A$9)</f>
        <v>2</v>
      </c>
    </row>
    <row r="1782" spans="1:12">
      <c r="A1782" s="99">
        <v>858</v>
      </c>
      <c r="B1782" s="101">
        <v>44463</v>
      </c>
      <c r="C1782" s="96">
        <v>17</v>
      </c>
      <c r="D1782" s="104" t="s">
        <v>32</v>
      </c>
      <c r="E1782" s="97" t="s">
        <v>25</v>
      </c>
      <c r="F1782" s="97" t="str">
        <f>VLOOKUP(E1782,Emp_Data!$B$2:$C$9,2,)</f>
        <v>Jeff</v>
      </c>
      <c r="G1782" s="97" t="s">
        <v>9</v>
      </c>
      <c r="H1782" s="97" t="s">
        <v>43</v>
      </c>
      <c r="I1782" s="97">
        <v>69</v>
      </c>
      <c r="J1782" s="97">
        <v>5</v>
      </c>
      <c r="K1782" s="97">
        <f t="shared" si="27"/>
        <v>345</v>
      </c>
      <c r="L1782" s="97">
        <f>_xlfn.XLOOKUP(E1782,Emp_Data!$B$2:$B$9,Emp_Data!$A$2:$A$9)</f>
        <v>5</v>
      </c>
    </row>
    <row r="1783" spans="1:12">
      <c r="A1783" s="99">
        <v>862</v>
      </c>
      <c r="B1783" s="101">
        <v>44464</v>
      </c>
      <c r="C1783" s="96">
        <v>17</v>
      </c>
      <c r="D1783" s="104" t="s">
        <v>32</v>
      </c>
      <c r="E1783" s="97" t="s">
        <v>25</v>
      </c>
      <c r="F1783" s="97" t="str">
        <f>VLOOKUP(E1783,Emp_Data!$B$2:$C$9,2,)</f>
        <v>Jeff</v>
      </c>
      <c r="G1783" s="97" t="s">
        <v>9</v>
      </c>
      <c r="H1783" s="97" t="s">
        <v>43</v>
      </c>
      <c r="I1783" s="97">
        <v>69</v>
      </c>
      <c r="J1783" s="97">
        <v>8</v>
      </c>
      <c r="K1783" s="97">
        <f t="shared" si="27"/>
        <v>552</v>
      </c>
      <c r="L1783" s="97">
        <f>_xlfn.XLOOKUP(E1783,Emp_Data!$B$2:$B$9,Emp_Data!$A$2:$A$9)</f>
        <v>5</v>
      </c>
    </row>
    <row r="1784" spans="1:12">
      <c r="A1784" s="99">
        <v>865</v>
      </c>
      <c r="B1784" s="101">
        <v>44465</v>
      </c>
      <c r="C1784" s="96">
        <v>16</v>
      </c>
      <c r="D1784" s="104" t="s">
        <v>37</v>
      </c>
      <c r="E1784" s="97" t="s">
        <v>25</v>
      </c>
      <c r="F1784" s="97" t="str">
        <f>VLOOKUP(E1784,Emp_Data!$B$2:$C$9,2,)</f>
        <v>Jeff</v>
      </c>
      <c r="G1784" s="97" t="s">
        <v>9</v>
      </c>
      <c r="H1784" s="97" t="s">
        <v>43</v>
      </c>
      <c r="I1784" s="97">
        <v>69</v>
      </c>
      <c r="J1784" s="97">
        <v>6</v>
      </c>
      <c r="K1784" s="97">
        <f t="shared" si="27"/>
        <v>414</v>
      </c>
      <c r="L1784" s="97">
        <f>_xlfn.XLOOKUP(E1784,Emp_Data!$B$2:$B$9,Emp_Data!$A$2:$A$9)</f>
        <v>5</v>
      </c>
    </row>
    <row r="1785" spans="1:12">
      <c r="A1785" s="99">
        <v>866</v>
      </c>
      <c r="B1785" s="101">
        <v>44465</v>
      </c>
      <c r="C1785" s="96">
        <v>19</v>
      </c>
      <c r="D1785" s="104" t="s">
        <v>22</v>
      </c>
      <c r="E1785" s="97" t="s">
        <v>8</v>
      </c>
      <c r="F1785" s="97" t="str">
        <f>VLOOKUP(E1785,Emp_Data!$B$2:$C$9,2,)</f>
        <v>Jeff</v>
      </c>
      <c r="G1785" s="97" t="s">
        <v>9</v>
      </c>
      <c r="H1785" s="97" t="s">
        <v>43</v>
      </c>
      <c r="I1785" s="97">
        <v>69</v>
      </c>
      <c r="J1785" s="97">
        <v>2</v>
      </c>
      <c r="K1785" s="97">
        <f t="shared" si="27"/>
        <v>138</v>
      </c>
      <c r="L1785" s="97">
        <f>_xlfn.XLOOKUP(E1785,Emp_Data!$B$2:$B$9,Emp_Data!$A$2:$A$9)</f>
        <v>3</v>
      </c>
    </row>
    <row r="1786" spans="1:12">
      <c r="A1786" s="99">
        <v>868</v>
      </c>
      <c r="B1786" s="101">
        <v>44466</v>
      </c>
      <c r="C1786" s="96">
        <v>9</v>
      </c>
      <c r="D1786" s="104" t="s">
        <v>26</v>
      </c>
      <c r="E1786" s="97" t="s">
        <v>11</v>
      </c>
      <c r="F1786" s="97" t="str">
        <f>VLOOKUP(E1786,Emp_Data!$B$2:$C$9,2,)</f>
        <v>Steve</v>
      </c>
      <c r="G1786" s="97" t="s">
        <v>12</v>
      </c>
      <c r="H1786" s="97" t="s">
        <v>43</v>
      </c>
      <c r="I1786" s="97">
        <v>69</v>
      </c>
      <c r="J1786" s="97">
        <v>7</v>
      </c>
      <c r="K1786" s="97">
        <f t="shared" si="27"/>
        <v>483</v>
      </c>
      <c r="L1786" s="97">
        <f>_xlfn.XLOOKUP(E1786,Emp_Data!$B$2:$B$9,Emp_Data!$A$2:$A$9)</f>
        <v>4</v>
      </c>
    </row>
    <row r="1787" spans="1:12">
      <c r="A1787" s="99">
        <v>871</v>
      </c>
      <c r="B1787" s="101">
        <v>44467</v>
      </c>
      <c r="C1787" s="96">
        <v>9</v>
      </c>
      <c r="D1787" s="104" t="s">
        <v>26</v>
      </c>
      <c r="E1787" s="97" t="s">
        <v>11</v>
      </c>
      <c r="F1787" s="97" t="str">
        <f>VLOOKUP(E1787,Emp_Data!$B$2:$C$9,2,)</f>
        <v>Steve</v>
      </c>
      <c r="G1787" s="97" t="s">
        <v>12</v>
      </c>
      <c r="H1787" s="97" t="s">
        <v>43</v>
      </c>
      <c r="I1787" s="97">
        <v>69</v>
      </c>
      <c r="J1787" s="97">
        <v>6</v>
      </c>
      <c r="K1787" s="97">
        <f t="shared" si="27"/>
        <v>414</v>
      </c>
      <c r="L1787" s="97">
        <f>_xlfn.XLOOKUP(E1787,Emp_Data!$B$2:$B$9,Emp_Data!$A$2:$A$9)</f>
        <v>4</v>
      </c>
    </row>
    <row r="1788" spans="1:12">
      <c r="A1788" s="99">
        <v>875</v>
      </c>
      <c r="B1788" s="101">
        <v>44468</v>
      </c>
      <c r="C1788" s="96">
        <v>4</v>
      </c>
      <c r="D1788" s="104" t="s">
        <v>13</v>
      </c>
      <c r="E1788" s="97" t="s">
        <v>21</v>
      </c>
      <c r="F1788" s="97" t="str">
        <f>VLOOKUP(E1788,Emp_Data!$B$2:$C$9,2,)</f>
        <v>Sara</v>
      </c>
      <c r="G1788" s="97" t="s">
        <v>15</v>
      </c>
      <c r="H1788" s="97" t="s">
        <v>43</v>
      </c>
      <c r="I1788" s="97">
        <v>69</v>
      </c>
      <c r="J1788" s="97">
        <v>6</v>
      </c>
      <c r="K1788" s="97">
        <f t="shared" si="27"/>
        <v>414</v>
      </c>
      <c r="L1788" s="97">
        <f>_xlfn.XLOOKUP(E1788,Emp_Data!$B$2:$B$9,Emp_Data!$A$2:$A$9)</f>
        <v>2</v>
      </c>
    </row>
    <row r="1789" spans="1:12">
      <c r="A1789" s="99">
        <v>893</v>
      </c>
      <c r="B1789" s="101">
        <v>44474</v>
      </c>
      <c r="C1789" s="96">
        <v>5</v>
      </c>
      <c r="D1789" s="104" t="s">
        <v>16</v>
      </c>
      <c r="E1789" s="97" t="s">
        <v>21</v>
      </c>
      <c r="F1789" s="97" t="str">
        <f>VLOOKUP(E1789,Emp_Data!$B$2:$C$9,2,)</f>
        <v>Sara</v>
      </c>
      <c r="G1789" s="97" t="s">
        <v>15</v>
      </c>
      <c r="H1789" s="97" t="s">
        <v>43</v>
      </c>
      <c r="I1789" s="97">
        <v>69</v>
      </c>
      <c r="J1789" s="97">
        <v>3</v>
      </c>
      <c r="K1789" s="97">
        <f t="shared" si="27"/>
        <v>207</v>
      </c>
      <c r="L1789" s="97">
        <f>_xlfn.XLOOKUP(E1789,Emp_Data!$B$2:$B$9,Emp_Data!$A$2:$A$9)</f>
        <v>2</v>
      </c>
    </row>
    <row r="1790" spans="1:12">
      <c r="A1790" s="99">
        <v>911</v>
      </c>
      <c r="B1790" s="101">
        <v>44482</v>
      </c>
      <c r="C1790" s="96">
        <v>18</v>
      </c>
      <c r="D1790" s="104" t="s">
        <v>30</v>
      </c>
      <c r="E1790" s="97" t="s">
        <v>25</v>
      </c>
      <c r="F1790" s="97" t="str">
        <f>VLOOKUP(E1790,Emp_Data!$B$2:$C$9,2,)</f>
        <v>Jeff</v>
      </c>
      <c r="G1790" s="97" t="s">
        <v>9</v>
      </c>
      <c r="H1790" s="97" t="s">
        <v>43</v>
      </c>
      <c r="I1790" s="97">
        <v>69</v>
      </c>
      <c r="J1790" s="97">
        <v>9</v>
      </c>
      <c r="K1790" s="97">
        <f t="shared" si="27"/>
        <v>621</v>
      </c>
      <c r="L1790" s="97">
        <f>_xlfn.XLOOKUP(E1790,Emp_Data!$B$2:$B$9,Emp_Data!$A$2:$A$9)</f>
        <v>5</v>
      </c>
    </row>
    <row r="1791" spans="1:12">
      <c r="A1791" s="99">
        <v>915</v>
      </c>
      <c r="B1791" s="101">
        <v>44483</v>
      </c>
      <c r="C1791" s="96">
        <v>3</v>
      </c>
      <c r="D1791" s="104" t="s">
        <v>20</v>
      </c>
      <c r="E1791" s="97" t="s">
        <v>14</v>
      </c>
      <c r="F1791" s="97" t="str">
        <f>VLOOKUP(E1791,Emp_Data!$B$2:$C$9,2,)</f>
        <v>Jeff</v>
      </c>
      <c r="G1791" s="97" t="s">
        <v>15</v>
      </c>
      <c r="H1791" s="97" t="s">
        <v>43</v>
      </c>
      <c r="I1791" s="97">
        <v>69</v>
      </c>
      <c r="J1791" s="97">
        <v>2</v>
      </c>
      <c r="K1791" s="97">
        <f t="shared" si="27"/>
        <v>138</v>
      </c>
      <c r="L1791" s="97">
        <f>_xlfn.XLOOKUP(E1791,Emp_Data!$B$2:$B$9,Emp_Data!$A$2:$A$9)</f>
        <v>2</v>
      </c>
    </row>
    <row r="1792" spans="1:12">
      <c r="A1792" s="99">
        <v>917</v>
      </c>
      <c r="B1792" s="101">
        <v>44484</v>
      </c>
      <c r="C1792" s="96">
        <v>18</v>
      </c>
      <c r="D1792" s="104" t="s">
        <v>30</v>
      </c>
      <c r="E1792" s="97" t="s">
        <v>8</v>
      </c>
      <c r="F1792" s="97" t="str">
        <f>VLOOKUP(E1792,Emp_Data!$B$2:$C$9,2,)</f>
        <v>Jeff</v>
      </c>
      <c r="G1792" s="97" t="s">
        <v>9</v>
      </c>
      <c r="H1792" s="97" t="s">
        <v>43</v>
      </c>
      <c r="I1792" s="97">
        <v>69</v>
      </c>
      <c r="J1792" s="97">
        <v>2</v>
      </c>
      <c r="K1792" s="97">
        <f t="shared" si="27"/>
        <v>138</v>
      </c>
      <c r="L1792" s="97">
        <f>_xlfn.XLOOKUP(E1792,Emp_Data!$B$2:$B$9,Emp_Data!$A$2:$A$9)</f>
        <v>3</v>
      </c>
    </row>
    <row r="1793" spans="1:12">
      <c r="A1793" s="99">
        <v>936</v>
      </c>
      <c r="B1793" s="101">
        <v>44489</v>
      </c>
      <c r="C1793" s="96">
        <v>2</v>
      </c>
      <c r="D1793" s="104" t="s">
        <v>35</v>
      </c>
      <c r="E1793" s="97" t="s">
        <v>14</v>
      </c>
      <c r="F1793" s="97" t="str">
        <f>VLOOKUP(E1793,Emp_Data!$B$2:$C$9,2,)</f>
        <v>Jeff</v>
      </c>
      <c r="G1793" s="97" t="s">
        <v>15</v>
      </c>
      <c r="H1793" s="97" t="s">
        <v>43</v>
      </c>
      <c r="I1793" s="97">
        <v>69</v>
      </c>
      <c r="J1793" s="97">
        <v>8</v>
      </c>
      <c r="K1793" s="97">
        <f t="shared" si="27"/>
        <v>552</v>
      </c>
      <c r="L1793" s="97">
        <f>_xlfn.XLOOKUP(E1793,Emp_Data!$B$2:$B$9,Emp_Data!$A$2:$A$9)</f>
        <v>2</v>
      </c>
    </row>
    <row r="1794" spans="1:12">
      <c r="A1794" s="99">
        <v>937</v>
      </c>
      <c r="B1794" s="101">
        <v>44490</v>
      </c>
      <c r="C1794" s="96">
        <v>17</v>
      </c>
      <c r="D1794" s="104" t="s">
        <v>32</v>
      </c>
      <c r="E1794" s="97" t="s">
        <v>25</v>
      </c>
      <c r="F1794" s="97" t="str">
        <f>VLOOKUP(E1794,Emp_Data!$B$2:$C$9,2,)</f>
        <v>Jeff</v>
      </c>
      <c r="G1794" s="97" t="s">
        <v>9</v>
      </c>
      <c r="H1794" s="97" t="s">
        <v>43</v>
      </c>
      <c r="I1794" s="97">
        <v>69</v>
      </c>
      <c r="J1794" s="97">
        <v>5</v>
      </c>
      <c r="K1794" s="97">
        <f t="shared" si="27"/>
        <v>345</v>
      </c>
      <c r="L1794" s="97">
        <f>_xlfn.XLOOKUP(E1794,Emp_Data!$B$2:$B$9,Emp_Data!$A$2:$A$9)</f>
        <v>5</v>
      </c>
    </row>
    <row r="1795" spans="1:12">
      <c r="A1795" s="99">
        <v>947</v>
      </c>
      <c r="B1795" s="101">
        <v>44494</v>
      </c>
      <c r="C1795" s="96">
        <v>15</v>
      </c>
      <c r="D1795" s="104" t="s">
        <v>29</v>
      </c>
      <c r="E1795" s="97" t="s">
        <v>18</v>
      </c>
      <c r="F1795" s="97" t="str">
        <f>VLOOKUP(E1795,Emp_Data!$B$2:$C$9,2,)</f>
        <v>Sara</v>
      </c>
      <c r="G1795" s="97" t="s">
        <v>19</v>
      </c>
      <c r="H1795" s="97" t="s">
        <v>43</v>
      </c>
      <c r="I1795" s="97">
        <v>69</v>
      </c>
      <c r="J1795" s="97">
        <v>4</v>
      </c>
      <c r="K1795" s="97">
        <f t="shared" ref="K1795:K1858" si="28">SUMPRODUCT(I1795,J1795)</f>
        <v>276</v>
      </c>
      <c r="L1795" s="97">
        <f>_xlfn.XLOOKUP(E1795,Emp_Data!$B$2:$B$9,Emp_Data!$A$2:$A$9)</f>
        <v>5</v>
      </c>
    </row>
    <row r="1796" spans="1:12">
      <c r="A1796" s="99">
        <v>950</v>
      </c>
      <c r="B1796" s="101">
        <v>44495</v>
      </c>
      <c r="C1796" s="96">
        <v>20</v>
      </c>
      <c r="D1796" s="104" t="s">
        <v>7</v>
      </c>
      <c r="E1796" s="97" t="s">
        <v>25</v>
      </c>
      <c r="F1796" s="97" t="str">
        <f>VLOOKUP(E1796,Emp_Data!$B$2:$C$9,2,)</f>
        <v>Jeff</v>
      </c>
      <c r="G1796" s="97" t="s">
        <v>9</v>
      </c>
      <c r="H1796" s="97" t="s">
        <v>43</v>
      </c>
      <c r="I1796" s="97">
        <v>69</v>
      </c>
      <c r="J1796" s="97">
        <v>8</v>
      </c>
      <c r="K1796" s="97">
        <f t="shared" si="28"/>
        <v>552</v>
      </c>
      <c r="L1796" s="97">
        <f>_xlfn.XLOOKUP(E1796,Emp_Data!$B$2:$B$9,Emp_Data!$A$2:$A$9)</f>
        <v>5</v>
      </c>
    </row>
    <row r="1797" spans="1:12">
      <c r="A1797" s="99">
        <v>959</v>
      </c>
      <c r="B1797" s="101">
        <v>44498</v>
      </c>
      <c r="C1797" s="96">
        <v>2</v>
      </c>
      <c r="D1797" s="104" t="s">
        <v>35</v>
      </c>
      <c r="E1797" s="97" t="s">
        <v>14</v>
      </c>
      <c r="F1797" s="97" t="str">
        <f>VLOOKUP(E1797,Emp_Data!$B$2:$C$9,2,)</f>
        <v>Jeff</v>
      </c>
      <c r="G1797" s="97" t="s">
        <v>15</v>
      </c>
      <c r="H1797" s="97" t="s">
        <v>43</v>
      </c>
      <c r="I1797" s="97">
        <v>69</v>
      </c>
      <c r="J1797" s="97">
        <v>6</v>
      </c>
      <c r="K1797" s="97">
        <f t="shared" si="28"/>
        <v>414</v>
      </c>
      <c r="L1797" s="97">
        <f>_xlfn.XLOOKUP(E1797,Emp_Data!$B$2:$B$9,Emp_Data!$A$2:$A$9)</f>
        <v>2</v>
      </c>
    </row>
    <row r="1798" spans="1:12">
      <c r="A1798" s="99">
        <v>960</v>
      </c>
      <c r="B1798" s="101">
        <v>44498</v>
      </c>
      <c r="C1798" s="96">
        <v>9</v>
      </c>
      <c r="D1798" s="104" t="s">
        <v>26</v>
      </c>
      <c r="E1798" s="97" t="s">
        <v>27</v>
      </c>
      <c r="F1798" s="97" t="str">
        <f>VLOOKUP(E1798,Emp_Data!$B$2:$C$9,2,)</f>
        <v>Philip</v>
      </c>
      <c r="G1798" s="97" t="s">
        <v>12</v>
      </c>
      <c r="H1798" s="97" t="s">
        <v>43</v>
      </c>
      <c r="I1798" s="97">
        <v>69</v>
      </c>
      <c r="J1798" s="97">
        <v>6</v>
      </c>
      <c r="K1798" s="97">
        <f t="shared" si="28"/>
        <v>414</v>
      </c>
      <c r="L1798" s="97">
        <f>_xlfn.XLOOKUP(E1798,Emp_Data!$B$2:$B$9,Emp_Data!$A$2:$A$9)</f>
        <v>8</v>
      </c>
    </row>
    <row r="1799" spans="1:12">
      <c r="A1799" s="99">
        <v>961</v>
      </c>
      <c r="B1799" s="101">
        <v>44498</v>
      </c>
      <c r="C1799" s="96">
        <v>18</v>
      </c>
      <c r="D1799" s="104" t="s">
        <v>30</v>
      </c>
      <c r="E1799" s="97" t="s">
        <v>8</v>
      </c>
      <c r="F1799" s="97" t="str">
        <f>VLOOKUP(E1799,Emp_Data!$B$2:$C$9,2,)</f>
        <v>Jeff</v>
      </c>
      <c r="G1799" s="97" t="s">
        <v>9</v>
      </c>
      <c r="H1799" s="97" t="s">
        <v>43</v>
      </c>
      <c r="I1799" s="97">
        <v>69</v>
      </c>
      <c r="J1799" s="97">
        <v>3</v>
      </c>
      <c r="K1799" s="97">
        <f t="shared" si="28"/>
        <v>207</v>
      </c>
      <c r="L1799" s="97">
        <f>_xlfn.XLOOKUP(E1799,Emp_Data!$B$2:$B$9,Emp_Data!$A$2:$A$9)</f>
        <v>3</v>
      </c>
    </row>
    <row r="1800" spans="1:12">
      <c r="A1800" s="99">
        <v>962</v>
      </c>
      <c r="B1800" s="101">
        <v>44498</v>
      </c>
      <c r="C1800" s="96">
        <v>9</v>
      </c>
      <c r="D1800" s="104" t="s">
        <v>26</v>
      </c>
      <c r="E1800" s="97" t="s">
        <v>27</v>
      </c>
      <c r="F1800" s="97" t="str">
        <f>VLOOKUP(E1800,Emp_Data!$B$2:$C$9,2,)</f>
        <v>Philip</v>
      </c>
      <c r="G1800" s="97" t="s">
        <v>12</v>
      </c>
      <c r="H1800" s="97" t="s">
        <v>43</v>
      </c>
      <c r="I1800" s="97">
        <v>69</v>
      </c>
      <c r="J1800" s="97">
        <v>2</v>
      </c>
      <c r="K1800" s="97">
        <f t="shared" si="28"/>
        <v>138</v>
      </c>
      <c r="L1800" s="97">
        <f>_xlfn.XLOOKUP(E1800,Emp_Data!$B$2:$B$9,Emp_Data!$A$2:$A$9)</f>
        <v>8</v>
      </c>
    </row>
    <row r="1801" spans="1:12">
      <c r="A1801" s="99">
        <v>968</v>
      </c>
      <c r="B1801" s="101">
        <v>44499</v>
      </c>
      <c r="C1801" s="96">
        <v>19</v>
      </c>
      <c r="D1801" s="104" t="s">
        <v>22</v>
      </c>
      <c r="E1801" s="97" t="s">
        <v>25</v>
      </c>
      <c r="F1801" s="97" t="str">
        <f>VLOOKUP(E1801,Emp_Data!$B$2:$C$9,2,)</f>
        <v>Jeff</v>
      </c>
      <c r="G1801" s="97" t="s">
        <v>9</v>
      </c>
      <c r="H1801" s="97" t="s">
        <v>43</v>
      </c>
      <c r="I1801" s="97">
        <v>69</v>
      </c>
      <c r="J1801" s="97">
        <v>3</v>
      </c>
      <c r="K1801" s="97">
        <f t="shared" si="28"/>
        <v>207</v>
      </c>
      <c r="L1801" s="97">
        <f>_xlfn.XLOOKUP(E1801,Emp_Data!$B$2:$B$9,Emp_Data!$A$2:$A$9)</f>
        <v>5</v>
      </c>
    </row>
    <row r="1802" spans="1:12">
      <c r="A1802" s="99">
        <v>974</v>
      </c>
      <c r="B1802" s="101">
        <v>44504</v>
      </c>
      <c r="C1802" s="96">
        <v>1</v>
      </c>
      <c r="D1802" s="104" t="s">
        <v>31</v>
      </c>
      <c r="E1802" s="97" t="s">
        <v>14</v>
      </c>
      <c r="F1802" s="97" t="str">
        <f>VLOOKUP(E1802,Emp_Data!$B$2:$C$9,2,)</f>
        <v>Jeff</v>
      </c>
      <c r="G1802" s="97" t="s">
        <v>15</v>
      </c>
      <c r="H1802" s="97" t="s">
        <v>43</v>
      </c>
      <c r="I1802" s="97">
        <v>69</v>
      </c>
      <c r="J1802" s="97">
        <v>7</v>
      </c>
      <c r="K1802" s="97">
        <f t="shared" si="28"/>
        <v>483</v>
      </c>
      <c r="L1802" s="97">
        <f>_xlfn.XLOOKUP(E1802,Emp_Data!$B$2:$B$9,Emp_Data!$A$2:$A$9)</f>
        <v>2</v>
      </c>
    </row>
    <row r="1803" spans="1:12">
      <c r="A1803" s="99">
        <v>976</v>
      </c>
      <c r="B1803" s="101">
        <v>44504</v>
      </c>
      <c r="C1803" s="96">
        <v>2</v>
      </c>
      <c r="D1803" s="104" t="s">
        <v>35</v>
      </c>
      <c r="E1803" s="97" t="s">
        <v>21</v>
      </c>
      <c r="F1803" s="97" t="str">
        <f>VLOOKUP(E1803,Emp_Data!$B$2:$C$9,2,)</f>
        <v>Sara</v>
      </c>
      <c r="G1803" s="97" t="s">
        <v>15</v>
      </c>
      <c r="H1803" s="97" t="s">
        <v>43</v>
      </c>
      <c r="I1803" s="97">
        <v>69</v>
      </c>
      <c r="J1803" s="97">
        <v>1</v>
      </c>
      <c r="K1803" s="97">
        <f t="shared" si="28"/>
        <v>69</v>
      </c>
      <c r="L1803" s="97">
        <f>_xlfn.XLOOKUP(E1803,Emp_Data!$B$2:$B$9,Emp_Data!$A$2:$A$9)</f>
        <v>2</v>
      </c>
    </row>
    <row r="1804" spans="1:12">
      <c r="A1804" s="99">
        <v>979</v>
      </c>
      <c r="B1804" s="101">
        <v>44507</v>
      </c>
      <c r="C1804" s="96">
        <v>16</v>
      </c>
      <c r="D1804" s="104" t="s">
        <v>37</v>
      </c>
      <c r="E1804" s="97" t="s">
        <v>25</v>
      </c>
      <c r="F1804" s="97" t="str">
        <f>VLOOKUP(E1804,Emp_Data!$B$2:$C$9,2,)</f>
        <v>Jeff</v>
      </c>
      <c r="G1804" s="97" t="s">
        <v>9</v>
      </c>
      <c r="H1804" s="97" t="s">
        <v>43</v>
      </c>
      <c r="I1804" s="97">
        <v>69</v>
      </c>
      <c r="J1804" s="97">
        <v>9</v>
      </c>
      <c r="K1804" s="97">
        <f t="shared" si="28"/>
        <v>621</v>
      </c>
      <c r="L1804" s="97">
        <f>_xlfn.XLOOKUP(E1804,Emp_Data!$B$2:$B$9,Emp_Data!$A$2:$A$9)</f>
        <v>5</v>
      </c>
    </row>
    <row r="1805" spans="1:12">
      <c r="A1805" s="99">
        <v>984</v>
      </c>
      <c r="B1805" s="101">
        <v>44508</v>
      </c>
      <c r="C1805" s="96">
        <v>12</v>
      </c>
      <c r="D1805" s="104" t="s">
        <v>17</v>
      </c>
      <c r="E1805" s="97" t="s">
        <v>18</v>
      </c>
      <c r="F1805" s="97" t="str">
        <f>VLOOKUP(E1805,Emp_Data!$B$2:$C$9,2,)</f>
        <v>Sara</v>
      </c>
      <c r="G1805" s="97" t="s">
        <v>19</v>
      </c>
      <c r="H1805" s="97" t="s">
        <v>43</v>
      </c>
      <c r="I1805" s="97">
        <v>69</v>
      </c>
      <c r="J1805" s="97">
        <v>0</v>
      </c>
      <c r="K1805" s="97">
        <f t="shared" si="28"/>
        <v>0</v>
      </c>
      <c r="L1805" s="97">
        <f>_xlfn.XLOOKUP(E1805,Emp_Data!$B$2:$B$9,Emp_Data!$A$2:$A$9)</f>
        <v>5</v>
      </c>
    </row>
    <row r="1806" spans="1:12">
      <c r="A1806" s="99">
        <v>995</v>
      </c>
      <c r="B1806" s="101">
        <v>44511</v>
      </c>
      <c r="C1806" s="96">
        <v>10</v>
      </c>
      <c r="D1806" s="104" t="s">
        <v>34</v>
      </c>
      <c r="E1806" s="97" t="s">
        <v>27</v>
      </c>
      <c r="F1806" s="97" t="str">
        <f>VLOOKUP(E1806,Emp_Data!$B$2:$C$9,2,)</f>
        <v>Philip</v>
      </c>
      <c r="G1806" s="97" t="s">
        <v>12</v>
      </c>
      <c r="H1806" s="97" t="s">
        <v>43</v>
      </c>
      <c r="I1806" s="97">
        <v>69</v>
      </c>
      <c r="J1806" s="97">
        <v>1</v>
      </c>
      <c r="K1806" s="97">
        <f t="shared" si="28"/>
        <v>69</v>
      </c>
      <c r="L1806" s="97">
        <f>_xlfn.XLOOKUP(E1806,Emp_Data!$B$2:$B$9,Emp_Data!$A$2:$A$9)</f>
        <v>8</v>
      </c>
    </row>
    <row r="1807" spans="1:12">
      <c r="A1807" s="99">
        <v>1013</v>
      </c>
      <c r="B1807" s="101">
        <v>44517</v>
      </c>
      <c r="C1807" s="96">
        <v>9</v>
      </c>
      <c r="D1807" s="104" t="s">
        <v>26</v>
      </c>
      <c r="E1807" s="97" t="s">
        <v>11</v>
      </c>
      <c r="F1807" s="97" t="str">
        <f>VLOOKUP(E1807,Emp_Data!$B$2:$C$9,2,)</f>
        <v>Steve</v>
      </c>
      <c r="G1807" s="97" t="s">
        <v>12</v>
      </c>
      <c r="H1807" s="97" t="s">
        <v>43</v>
      </c>
      <c r="I1807" s="97">
        <v>69</v>
      </c>
      <c r="J1807" s="97">
        <v>8</v>
      </c>
      <c r="K1807" s="97">
        <f t="shared" si="28"/>
        <v>552</v>
      </c>
      <c r="L1807" s="97">
        <f>_xlfn.XLOOKUP(E1807,Emp_Data!$B$2:$B$9,Emp_Data!$A$2:$A$9)</f>
        <v>4</v>
      </c>
    </row>
    <row r="1808" spans="1:12">
      <c r="A1808" s="99">
        <v>1020</v>
      </c>
      <c r="B1808" s="101">
        <v>44521</v>
      </c>
      <c r="C1808" s="96">
        <v>20</v>
      </c>
      <c r="D1808" s="104" t="s">
        <v>7</v>
      </c>
      <c r="E1808" s="97" t="s">
        <v>8</v>
      </c>
      <c r="F1808" s="97" t="str">
        <f>VLOOKUP(E1808,Emp_Data!$B$2:$C$9,2,)</f>
        <v>Jeff</v>
      </c>
      <c r="G1808" s="97" t="s">
        <v>9</v>
      </c>
      <c r="H1808" s="97" t="s">
        <v>43</v>
      </c>
      <c r="I1808" s="97">
        <v>69</v>
      </c>
      <c r="J1808" s="97">
        <v>9</v>
      </c>
      <c r="K1808" s="97">
        <f t="shared" si="28"/>
        <v>621</v>
      </c>
      <c r="L1808" s="97">
        <f>_xlfn.XLOOKUP(E1808,Emp_Data!$B$2:$B$9,Emp_Data!$A$2:$A$9)</f>
        <v>3</v>
      </c>
    </row>
    <row r="1809" spans="1:12">
      <c r="A1809" s="99">
        <v>1024</v>
      </c>
      <c r="B1809" s="101">
        <v>44522</v>
      </c>
      <c r="C1809" s="96">
        <v>15</v>
      </c>
      <c r="D1809" s="104" t="s">
        <v>29</v>
      </c>
      <c r="E1809" s="97" t="s">
        <v>24</v>
      </c>
      <c r="F1809" s="97" t="str">
        <f>VLOOKUP(E1809,Emp_Data!$B$2:$C$9,2,)</f>
        <v>Steve</v>
      </c>
      <c r="G1809" s="97" t="s">
        <v>19</v>
      </c>
      <c r="H1809" s="97" t="s">
        <v>43</v>
      </c>
      <c r="I1809" s="97">
        <v>69</v>
      </c>
      <c r="J1809" s="97">
        <v>7</v>
      </c>
      <c r="K1809" s="97">
        <f t="shared" si="28"/>
        <v>483</v>
      </c>
      <c r="L1809" s="97">
        <f>_xlfn.XLOOKUP(E1809,Emp_Data!$B$2:$B$9,Emp_Data!$A$2:$A$9)</f>
        <v>6</v>
      </c>
    </row>
    <row r="1810" spans="1:12">
      <c r="A1810" s="99">
        <v>1027</v>
      </c>
      <c r="B1810" s="101">
        <v>44522</v>
      </c>
      <c r="C1810" s="96">
        <v>3</v>
      </c>
      <c r="D1810" s="104" t="s">
        <v>20</v>
      </c>
      <c r="E1810" s="97" t="s">
        <v>21</v>
      </c>
      <c r="F1810" s="97" t="str">
        <f>VLOOKUP(E1810,Emp_Data!$B$2:$C$9,2,)</f>
        <v>Sara</v>
      </c>
      <c r="G1810" s="97" t="s">
        <v>15</v>
      </c>
      <c r="H1810" s="97" t="s">
        <v>43</v>
      </c>
      <c r="I1810" s="97">
        <v>69</v>
      </c>
      <c r="J1810" s="97">
        <v>5</v>
      </c>
      <c r="K1810" s="97">
        <f t="shared" si="28"/>
        <v>345</v>
      </c>
      <c r="L1810" s="97">
        <f>_xlfn.XLOOKUP(E1810,Emp_Data!$B$2:$B$9,Emp_Data!$A$2:$A$9)</f>
        <v>2</v>
      </c>
    </row>
    <row r="1811" spans="1:12">
      <c r="A1811" s="99">
        <v>1033</v>
      </c>
      <c r="B1811" s="101">
        <v>44523</v>
      </c>
      <c r="C1811" s="96">
        <v>15</v>
      </c>
      <c r="D1811" s="104" t="s">
        <v>29</v>
      </c>
      <c r="E1811" s="97" t="s">
        <v>18</v>
      </c>
      <c r="F1811" s="97" t="str">
        <f>VLOOKUP(E1811,Emp_Data!$B$2:$C$9,2,)</f>
        <v>Sara</v>
      </c>
      <c r="G1811" s="97" t="s">
        <v>19</v>
      </c>
      <c r="H1811" s="97" t="s">
        <v>43</v>
      </c>
      <c r="I1811" s="97">
        <v>69</v>
      </c>
      <c r="J1811" s="97">
        <v>7</v>
      </c>
      <c r="K1811" s="97">
        <f t="shared" si="28"/>
        <v>483</v>
      </c>
      <c r="L1811" s="97">
        <f>_xlfn.XLOOKUP(E1811,Emp_Data!$B$2:$B$9,Emp_Data!$A$2:$A$9)</f>
        <v>5</v>
      </c>
    </row>
    <row r="1812" spans="1:12">
      <c r="A1812" s="99">
        <v>1043</v>
      </c>
      <c r="B1812" s="101">
        <v>44524</v>
      </c>
      <c r="C1812" s="96">
        <v>3</v>
      </c>
      <c r="D1812" s="104" t="s">
        <v>20</v>
      </c>
      <c r="E1812" s="97" t="s">
        <v>21</v>
      </c>
      <c r="F1812" s="97" t="str">
        <f>VLOOKUP(E1812,Emp_Data!$B$2:$C$9,2,)</f>
        <v>Sara</v>
      </c>
      <c r="G1812" s="97" t="s">
        <v>15</v>
      </c>
      <c r="H1812" s="97" t="s">
        <v>43</v>
      </c>
      <c r="I1812" s="97">
        <v>69</v>
      </c>
      <c r="J1812" s="97">
        <v>4</v>
      </c>
      <c r="K1812" s="97">
        <f t="shared" si="28"/>
        <v>276</v>
      </c>
      <c r="L1812" s="97">
        <f>_xlfn.XLOOKUP(E1812,Emp_Data!$B$2:$B$9,Emp_Data!$A$2:$A$9)</f>
        <v>2</v>
      </c>
    </row>
    <row r="1813" spans="1:12">
      <c r="A1813" s="99">
        <v>1051</v>
      </c>
      <c r="B1813" s="101">
        <v>44527</v>
      </c>
      <c r="C1813" s="96">
        <v>1</v>
      </c>
      <c r="D1813" s="104" t="s">
        <v>31</v>
      </c>
      <c r="E1813" s="97" t="s">
        <v>21</v>
      </c>
      <c r="F1813" s="97" t="str">
        <f>VLOOKUP(E1813,Emp_Data!$B$2:$C$9,2,)</f>
        <v>Sara</v>
      </c>
      <c r="G1813" s="97" t="s">
        <v>15</v>
      </c>
      <c r="H1813" s="97" t="s">
        <v>43</v>
      </c>
      <c r="I1813" s="97">
        <v>69</v>
      </c>
      <c r="J1813" s="97">
        <v>9</v>
      </c>
      <c r="K1813" s="97">
        <f t="shared" si="28"/>
        <v>621</v>
      </c>
      <c r="L1813" s="97">
        <f>_xlfn.XLOOKUP(E1813,Emp_Data!$B$2:$B$9,Emp_Data!$A$2:$A$9)</f>
        <v>2</v>
      </c>
    </row>
    <row r="1814" spans="1:12">
      <c r="A1814" s="99">
        <v>1052</v>
      </c>
      <c r="B1814" s="101">
        <v>44528</v>
      </c>
      <c r="C1814" s="96">
        <v>10</v>
      </c>
      <c r="D1814" s="104" t="s">
        <v>34</v>
      </c>
      <c r="E1814" s="97" t="s">
        <v>27</v>
      </c>
      <c r="F1814" s="97" t="str">
        <f>VLOOKUP(E1814,Emp_Data!$B$2:$C$9,2,)</f>
        <v>Philip</v>
      </c>
      <c r="G1814" s="97" t="s">
        <v>12</v>
      </c>
      <c r="H1814" s="97" t="s">
        <v>43</v>
      </c>
      <c r="I1814" s="97">
        <v>69</v>
      </c>
      <c r="J1814" s="97">
        <v>7</v>
      </c>
      <c r="K1814" s="97">
        <f t="shared" si="28"/>
        <v>483</v>
      </c>
      <c r="L1814" s="97">
        <f>_xlfn.XLOOKUP(E1814,Emp_Data!$B$2:$B$9,Emp_Data!$A$2:$A$9)</f>
        <v>8</v>
      </c>
    </row>
    <row r="1815" spans="1:12">
      <c r="A1815" s="99">
        <v>1053</v>
      </c>
      <c r="B1815" s="101">
        <v>44528</v>
      </c>
      <c r="C1815" s="96">
        <v>15</v>
      </c>
      <c r="D1815" s="104" t="s">
        <v>29</v>
      </c>
      <c r="E1815" s="97" t="s">
        <v>24</v>
      </c>
      <c r="F1815" s="97" t="str">
        <f>VLOOKUP(E1815,Emp_Data!$B$2:$C$9,2,)</f>
        <v>Steve</v>
      </c>
      <c r="G1815" s="97" t="s">
        <v>19</v>
      </c>
      <c r="H1815" s="97" t="s">
        <v>43</v>
      </c>
      <c r="I1815" s="97">
        <v>69</v>
      </c>
      <c r="J1815" s="97">
        <v>1</v>
      </c>
      <c r="K1815" s="97">
        <f t="shared" si="28"/>
        <v>69</v>
      </c>
      <c r="L1815" s="97">
        <f>_xlfn.XLOOKUP(E1815,Emp_Data!$B$2:$B$9,Emp_Data!$A$2:$A$9)</f>
        <v>6</v>
      </c>
    </row>
    <row r="1816" spans="1:12">
      <c r="A1816" s="99">
        <v>1066</v>
      </c>
      <c r="B1816" s="101">
        <v>44534</v>
      </c>
      <c r="C1816" s="96">
        <v>2</v>
      </c>
      <c r="D1816" s="104" t="s">
        <v>35</v>
      </c>
      <c r="E1816" s="97" t="s">
        <v>14</v>
      </c>
      <c r="F1816" s="97" t="str">
        <f>VLOOKUP(E1816,Emp_Data!$B$2:$C$9,2,)</f>
        <v>Jeff</v>
      </c>
      <c r="G1816" s="97" t="s">
        <v>15</v>
      </c>
      <c r="H1816" s="97" t="s">
        <v>43</v>
      </c>
      <c r="I1816" s="97">
        <v>69</v>
      </c>
      <c r="J1816" s="97">
        <v>7</v>
      </c>
      <c r="K1816" s="97">
        <f t="shared" si="28"/>
        <v>483</v>
      </c>
      <c r="L1816" s="97">
        <f>_xlfn.XLOOKUP(E1816,Emp_Data!$B$2:$B$9,Emp_Data!$A$2:$A$9)</f>
        <v>2</v>
      </c>
    </row>
    <row r="1817" spans="1:12">
      <c r="A1817" s="99">
        <v>1072</v>
      </c>
      <c r="B1817" s="101">
        <v>44537</v>
      </c>
      <c r="C1817" s="96">
        <v>4</v>
      </c>
      <c r="D1817" s="104" t="s">
        <v>13</v>
      </c>
      <c r="E1817" s="97" t="s">
        <v>14</v>
      </c>
      <c r="F1817" s="97" t="str">
        <f>VLOOKUP(E1817,Emp_Data!$B$2:$C$9,2,)</f>
        <v>Jeff</v>
      </c>
      <c r="G1817" s="97" t="s">
        <v>15</v>
      </c>
      <c r="H1817" s="97" t="s">
        <v>43</v>
      </c>
      <c r="I1817" s="97">
        <v>69</v>
      </c>
      <c r="J1817" s="97">
        <v>7</v>
      </c>
      <c r="K1817" s="97">
        <f t="shared" si="28"/>
        <v>483</v>
      </c>
      <c r="L1817" s="97">
        <f>_xlfn.XLOOKUP(E1817,Emp_Data!$B$2:$B$9,Emp_Data!$A$2:$A$9)</f>
        <v>2</v>
      </c>
    </row>
    <row r="1818" spans="1:12">
      <c r="A1818" s="99">
        <v>1074</v>
      </c>
      <c r="B1818" s="101">
        <v>44538</v>
      </c>
      <c r="C1818" s="96">
        <v>10</v>
      </c>
      <c r="D1818" s="104" t="s">
        <v>34</v>
      </c>
      <c r="E1818" s="97" t="s">
        <v>27</v>
      </c>
      <c r="F1818" s="97" t="str">
        <f>VLOOKUP(E1818,Emp_Data!$B$2:$C$9,2,)</f>
        <v>Philip</v>
      </c>
      <c r="G1818" s="97" t="s">
        <v>12</v>
      </c>
      <c r="H1818" s="97" t="s">
        <v>43</v>
      </c>
      <c r="I1818" s="97">
        <v>69</v>
      </c>
      <c r="J1818" s="97">
        <v>7</v>
      </c>
      <c r="K1818" s="97">
        <f t="shared" si="28"/>
        <v>483</v>
      </c>
      <c r="L1818" s="97">
        <f>_xlfn.XLOOKUP(E1818,Emp_Data!$B$2:$B$9,Emp_Data!$A$2:$A$9)</f>
        <v>8</v>
      </c>
    </row>
    <row r="1819" spans="1:12">
      <c r="A1819" s="99">
        <v>1075</v>
      </c>
      <c r="B1819" s="101">
        <v>44538</v>
      </c>
      <c r="C1819" s="96">
        <v>4</v>
      </c>
      <c r="D1819" s="104" t="s">
        <v>13</v>
      </c>
      <c r="E1819" s="97" t="s">
        <v>14</v>
      </c>
      <c r="F1819" s="97" t="str">
        <f>VLOOKUP(E1819,Emp_Data!$B$2:$C$9,2,)</f>
        <v>Jeff</v>
      </c>
      <c r="G1819" s="97" t="s">
        <v>15</v>
      </c>
      <c r="H1819" s="97" t="s">
        <v>43</v>
      </c>
      <c r="I1819" s="97">
        <v>69</v>
      </c>
      <c r="J1819" s="97">
        <v>5</v>
      </c>
      <c r="K1819" s="97">
        <f t="shared" si="28"/>
        <v>345</v>
      </c>
      <c r="L1819" s="97">
        <f>_xlfn.XLOOKUP(E1819,Emp_Data!$B$2:$B$9,Emp_Data!$A$2:$A$9)</f>
        <v>2</v>
      </c>
    </row>
    <row r="1820" spans="1:12">
      <c r="A1820" s="99">
        <v>1079</v>
      </c>
      <c r="B1820" s="101">
        <v>44541</v>
      </c>
      <c r="C1820" s="96">
        <v>10</v>
      </c>
      <c r="D1820" s="104" t="s">
        <v>34</v>
      </c>
      <c r="E1820" s="97" t="s">
        <v>27</v>
      </c>
      <c r="F1820" s="97" t="str">
        <f>VLOOKUP(E1820,Emp_Data!$B$2:$C$9,2,)</f>
        <v>Philip</v>
      </c>
      <c r="G1820" s="97" t="s">
        <v>12</v>
      </c>
      <c r="H1820" s="97" t="s">
        <v>43</v>
      </c>
      <c r="I1820" s="97">
        <v>69</v>
      </c>
      <c r="J1820" s="97">
        <v>6</v>
      </c>
      <c r="K1820" s="97">
        <f t="shared" si="28"/>
        <v>414</v>
      </c>
      <c r="L1820" s="97">
        <f>_xlfn.XLOOKUP(E1820,Emp_Data!$B$2:$B$9,Emp_Data!$A$2:$A$9)</f>
        <v>8</v>
      </c>
    </row>
    <row r="1821" spans="1:12">
      <c r="A1821" s="99">
        <v>1086</v>
      </c>
      <c r="B1821" s="101">
        <v>44543</v>
      </c>
      <c r="C1821" s="96">
        <v>11</v>
      </c>
      <c r="D1821" s="104" t="s">
        <v>38</v>
      </c>
      <c r="E1821" s="97" t="s">
        <v>24</v>
      </c>
      <c r="F1821" s="97" t="str">
        <f>VLOOKUP(E1821,Emp_Data!$B$2:$C$9,2,)</f>
        <v>Steve</v>
      </c>
      <c r="G1821" s="97" t="s">
        <v>19</v>
      </c>
      <c r="H1821" s="97" t="s">
        <v>43</v>
      </c>
      <c r="I1821" s="97">
        <v>69</v>
      </c>
      <c r="J1821" s="97">
        <v>1</v>
      </c>
      <c r="K1821" s="97">
        <f t="shared" si="28"/>
        <v>69</v>
      </c>
      <c r="L1821" s="97">
        <f>_xlfn.XLOOKUP(E1821,Emp_Data!$B$2:$B$9,Emp_Data!$A$2:$A$9)</f>
        <v>6</v>
      </c>
    </row>
    <row r="1822" spans="1:12">
      <c r="A1822" s="99">
        <v>1087</v>
      </c>
      <c r="B1822" s="101">
        <v>44543</v>
      </c>
      <c r="C1822" s="96">
        <v>3</v>
      </c>
      <c r="D1822" s="104" t="s">
        <v>20</v>
      </c>
      <c r="E1822" s="97" t="s">
        <v>14</v>
      </c>
      <c r="F1822" s="97" t="str">
        <f>VLOOKUP(E1822,Emp_Data!$B$2:$C$9,2,)</f>
        <v>Jeff</v>
      </c>
      <c r="G1822" s="97" t="s">
        <v>15</v>
      </c>
      <c r="H1822" s="97" t="s">
        <v>43</v>
      </c>
      <c r="I1822" s="97">
        <v>69</v>
      </c>
      <c r="J1822" s="97">
        <v>5</v>
      </c>
      <c r="K1822" s="97">
        <f t="shared" si="28"/>
        <v>345</v>
      </c>
      <c r="L1822" s="97">
        <f>_xlfn.XLOOKUP(E1822,Emp_Data!$B$2:$B$9,Emp_Data!$A$2:$A$9)</f>
        <v>2</v>
      </c>
    </row>
    <row r="1823" spans="1:12">
      <c r="A1823" s="99">
        <v>1094</v>
      </c>
      <c r="B1823" s="101">
        <v>44546</v>
      </c>
      <c r="C1823" s="96">
        <v>5</v>
      </c>
      <c r="D1823" s="104" t="s">
        <v>16</v>
      </c>
      <c r="E1823" s="97" t="s">
        <v>21</v>
      </c>
      <c r="F1823" s="97" t="str">
        <f>VLOOKUP(E1823,Emp_Data!$B$2:$C$9,2,)</f>
        <v>Sara</v>
      </c>
      <c r="G1823" s="97" t="s">
        <v>15</v>
      </c>
      <c r="H1823" s="97" t="s">
        <v>43</v>
      </c>
      <c r="I1823" s="97">
        <v>69</v>
      </c>
      <c r="J1823" s="97">
        <v>1</v>
      </c>
      <c r="K1823" s="97">
        <f t="shared" si="28"/>
        <v>69</v>
      </c>
      <c r="L1823" s="97">
        <f>_xlfn.XLOOKUP(E1823,Emp_Data!$B$2:$B$9,Emp_Data!$A$2:$A$9)</f>
        <v>2</v>
      </c>
    </row>
    <row r="1824" spans="1:12">
      <c r="A1824" s="99">
        <v>1097</v>
      </c>
      <c r="B1824" s="101">
        <v>44547</v>
      </c>
      <c r="C1824" s="96">
        <v>1</v>
      </c>
      <c r="D1824" s="104" t="s">
        <v>31</v>
      </c>
      <c r="E1824" s="97" t="s">
        <v>14</v>
      </c>
      <c r="F1824" s="97" t="str">
        <f>VLOOKUP(E1824,Emp_Data!$B$2:$C$9,2,)</f>
        <v>Jeff</v>
      </c>
      <c r="G1824" s="97" t="s">
        <v>15</v>
      </c>
      <c r="H1824" s="97" t="s">
        <v>43</v>
      </c>
      <c r="I1824" s="97">
        <v>69</v>
      </c>
      <c r="J1824" s="97">
        <v>6</v>
      </c>
      <c r="K1824" s="97">
        <f t="shared" si="28"/>
        <v>414</v>
      </c>
      <c r="L1824" s="97">
        <f>_xlfn.XLOOKUP(E1824,Emp_Data!$B$2:$B$9,Emp_Data!$A$2:$A$9)</f>
        <v>2</v>
      </c>
    </row>
    <row r="1825" spans="1:12">
      <c r="A1825" s="99">
        <v>1099</v>
      </c>
      <c r="B1825" s="101">
        <v>44548</v>
      </c>
      <c r="C1825" s="96">
        <v>3</v>
      </c>
      <c r="D1825" s="104" t="s">
        <v>20</v>
      </c>
      <c r="E1825" s="97" t="s">
        <v>14</v>
      </c>
      <c r="F1825" s="97" t="str">
        <f>VLOOKUP(E1825,Emp_Data!$B$2:$C$9,2,)</f>
        <v>Jeff</v>
      </c>
      <c r="G1825" s="97" t="s">
        <v>15</v>
      </c>
      <c r="H1825" s="97" t="s">
        <v>43</v>
      </c>
      <c r="I1825" s="97">
        <v>69</v>
      </c>
      <c r="J1825" s="97">
        <v>2</v>
      </c>
      <c r="K1825" s="97">
        <f t="shared" si="28"/>
        <v>138</v>
      </c>
      <c r="L1825" s="97">
        <f>_xlfn.XLOOKUP(E1825,Emp_Data!$B$2:$B$9,Emp_Data!$A$2:$A$9)</f>
        <v>2</v>
      </c>
    </row>
    <row r="1826" spans="1:12">
      <c r="A1826" s="99">
        <v>1101</v>
      </c>
      <c r="B1826" s="101">
        <v>44548</v>
      </c>
      <c r="C1826" s="96">
        <v>8</v>
      </c>
      <c r="D1826" s="104" t="s">
        <v>36</v>
      </c>
      <c r="E1826" s="97" t="s">
        <v>27</v>
      </c>
      <c r="F1826" s="97" t="str">
        <f>VLOOKUP(E1826,Emp_Data!$B$2:$C$9,2,)</f>
        <v>Philip</v>
      </c>
      <c r="G1826" s="97" t="s">
        <v>12</v>
      </c>
      <c r="H1826" s="97" t="s">
        <v>43</v>
      </c>
      <c r="I1826" s="97">
        <v>69</v>
      </c>
      <c r="J1826" s="97">
        <v>9</v>
      </c>
      <c r="K1826" s="97">
        <f t="shared" si="28"/>
        <v>621</v>
      </c>
      <c r="L1826" s="97">
        <f>_xlfn.XLOOKUP(E1826,Emp_Data!$B$2:$B$9,Emp_Data!$A$2:$A$9)</f>
        <v>8</v>
      </c>
    </row>
    <row r="1827" spans="1:12">
      <c r="A1827" s="99">
        <v>1112</v>
      </c>
      <c r="B1827" s="101">
        <v>44550</v>
      </c>
      <c r="C1827" s="96">
        <v>10</v>
      </c>
      <c r="D1827" s="104" t="s">
        <v>34</v>
      </c>
      <c r="E1827" s="97" t="s">
        <v>27</v>
      </c>
      <c r="F1827" s="97" t="str">
        <f>VLOOKUP(E1827,Emp_Data!$B$2:$C$9,2,)</f>
        <v>Philip</v>
      </c>
      <c r="G1827" s="97" t="s">
        <v>12</v>
      </c>
      <c r="H1827" s="97" t="s">
        <v>43</v>
      </c>
      <c r="I1827" s="97">
        <v>69</v>
      </c>
      <c r="J1827" s="97">
        <v>6</v>
      </c>
      <c r="K1827" s="97">
        <f t="shared" si="28"/>
        <v>414</v>
      </c>
      <c r="L1827" s="97">
        <f>_xlfn.XLOOKUP(E1827,Emp_Data!$B$2:$B$9,Emp_Data!$A$2:$A$9)</f>
        <v>8</v>
      </c>
    </row>
    <row r="1828" spans="1:12">
      <c r="A1828" s="99">
        <v>1113</v>
      </c>
      <c r="B1828" s="101">
        <v>44550</v>
      </c>
      <c r="C1828" s="96">
        <v>19</v>
      </c>
      <c r="D1828" s="104" t="s">
        <v>22</v>
      </c>
      <c r="E1828" s="97" t="s">
        <v>25</v>
      </c>
      <c r="F1828" s="97" t="str">
        <f>VLOOKUP(E1828,Emp_Data!$B$2:$C$9,2,)</f>
        <v>Jeff</v>
      </c>
      <c r="G1828" s="97" t="s">
        <v>9</v>
      </c>
      <c r="H1828" s="97" t="s">
        <v>43</v>
      </c>
      <c r="I1828" s="97">
        <v>69</v>
      </c>
      <c r="J1828" s="97">
        <v>7</v>
      </c>
      <c r="K1828" s="97">
        <f t="shared" si="28"/>
        <v>483</v>
      </c>
      <c r="L1828" s="97">
        <f>_xlfn.XLOOKUP(E1828,Emp_Data!$B$2:$B$9,Emp_Data!$A$2:$A$9)</f>
        <v>5</v>
      </c>
    </row>
    <row r="1829" spans="1:12">
      <c r="A1829" s="99">
        <v>1114</v>
      </c>
      <c r="B1829" s="101">
        <v>44550</v>
      </c>
      <c r="C1829" s="96">
        <v>13</v>
      </c>
      <c r="D1829" s="104" t="s">
        <v>23</v>
      </c>
      <c r="E1829" s="97" t="s">
        <v>18</v>
      </c>
      <c r="F1829" s="97" t="str">
        <f>VLOOKUP(E1829,Emp_Data!$B$2:$C$9,2,)</f>
        <v>Sara</v>
      </c>
      <c r="G1829" s="97" t="s">
        <v>19</v>
      </c>
      <c r="H1829" s="97" t="s">
        <v>43</v>
      </c>
      <c r="I1829" s="97">
        <v>69</v>
      </c>
      <c r="J1829" s="97">
        <v>8</v>
      </c>
      <c r="K1829" s="97">
        <f t="shared" si="28"/>
        <v>552</v>
      </c>
      <c r="L1829" s="97">
        <f>_xlfn.XLOOKUP(E1829,Emp_Data!$B$2:$B$9,Emp_Data!$A$2:$A$9)</f>
        <v>5</v>
      </c>
    </row>
    <row r="1830" spans="1:12">
      <c r="A1830" s="99">
        <v>1125</v>
      </c>
      <c r="B1830" s="101">
        <v>44553</v>
      </c>
      <c r="C1830" s="96">
        <v>19</v>
      </c>
      <c r="D1830" s="104" t="s">
        <v>22</v>
      </c>
      <c r="E1830" s="97" t="s">
        <v>25</v>
      </c>
      <c r="F1830" s="97" t="str">
        <f>VLOOKUP(E1830,Emp_Data!$B$2:$C$9,2,)</f>
        <v>Jeff</v>
      </c>
      <c r="G1830" s="97" t="s">
        <v>9</v>
      </c>
      <c r="H1830" s="97" t="s">
        <v>43</v>
      </c>
      <c r="I1830" s="97">
        <v>69</v>
      </c>
      <c r="J1830" s="97">
        <v>5</v>
      </c>
      <c r="K1830" s="97">
        <f t="shared" si="28"/>
        <v>345</v>
      </c>
      <c r="L1830" s="97">
        <f>_xlfn.XLOOKUP(E1830,Emp_Data!$B$2:$B$9,Emp_Data!$A$2:$A$9)</f>
        <v>5</v>
      </c>
    </row>
    <row r="1831" spans="1:12">
      <c r="A1831" s="99">
        <v>1131</v>
      </c>
      <c r="B1831" s="101">
        <v>44555</v>
      </c>
      <c r="C1831" s="96">
        <v>4</v>
      </c>
      <c r="D1831" s="104" t="s">
        <v>13</v>
      </c>
      <c r="E1831" s="97" t="s">
        <v>21</v>
      </c>
      <c r="F1831" s="97" t="str">
        <f>VLOOKUP(E1831,Emp_Data!$B$2:$C$9,2,)</f>
        <v>Sara</v>
      </c>
      <c r="G1831" s="97" t="s">
        <v>15</v>
      </c>
      <c r="H1831" s="97" t="s">
        <v>43</v>
      </c>
      <c r="I1831" s="97">
        <v>69</v>
      </c>
      <c r="J1831" s="97">
        <v>7</v>
      </c>
      <c r="K1831" s="97">
        <f t="shared" si="28"/>
        <v>483</v>
      </c>
      <c r="L1831" s="97">
        <f>_xlfn.XLOOKUP(E1831,Emp_Data!$B$2:$B$9,Emp_Data!$A$2:$A$9)</f>
        <v>2</v>
      </c>
    </row>
    <row r="1832" spans="1:12">
      <c r="A1832" s="99">
        <v>1133</v>
      </c>
      <c r="B1832" s="101">
        <v>44555</v>
      </c>
      <c r="C1832" s="96">
        <v>8</v>
      </c>
      <c r="D1832" s="104" t="s">
        <v>36</v>
      </c>
      <c r="E1832" s="97" t="s">
        <v>11</v>
      </c>
      <c r="F1832" s="97" t="str">
        <f>VLOOKUP(E1832,Emp_Data!$B$2:$C$9,2,)</f>
        <v>Steve</v>
      </c>
      <c r="G1832" s="97" t="s">
        <v>12</v>
      </c>
      <c r="H1832" s="97" t="s">
        <v>43</v>
      </c>
      <c r="I1832" s="97">
        <v>69</v>
      </c>
      <c r="J1832" s="97">
        <v>2</v>
      </c>
      <c r="K1832" s="97">
        <f t="shared" si="28"/>
        <v>138</v>
      </c>
      <c r="L1832" s="97">
        <f>_xlfn.XLOOKUP(E1832,Emp_Data!$B$2:$B$9,Emp_Data!$A$2:$A$9)</f>
        <v>4</v>
      </c>
    </row>
    <row r="1833" spans="1:12">
      <c r="A1833" s="99">
        <v>1143</v>
      </c>
      <c r="B1833" s="101">
        <v>44558</v>
      </c>
      <c r="C1833" s="96">
        <v>17</v>
      </c>
      <c r="D1833" s="104" t="s">
        <v>32</v>
      </c>
      <c r="E1833" s="97" t="s">
        <v>25</v>
      </c>
      <c r="F1833" s="97" t="str">
        <f>VLOOKUP(E1833,Emp_Data!$B$2:$C$9,2,)</f>
        <v>Jeff</v>
      </c>
      <c r="G1833" s="97" t="s">
        <v>9</v>
      </c>
      <c r="H1833" s="97" t="s">
        <v>43</v>
      </c>
      <c r="I1833" s="97">
        <v>69</v>
      </c>
      <c r="J1833" s="97">
        <v>6</v>
      </c>
      <c r="K1833" s="97">
        <f t="shared" si="28"/>
        <v>414</v>
      </c>
      <c r="L1833" s="97">
        <f>_xlfn.XLOOKUP(E1833,Emp_Data!$B$2:$B$9,Emp_Data!$A$2:$A$9)</f>
        <v>5</v>
      </c>
    </row>
    <row r="1834" spans="1:12">
      <c r="A1834" s="99">
        <v>1152</v>
      </c>
      <c r="B1834" s="101">
        <v>44564</v>
      </c>
      <c r="C1834" s="96">
        <v>1</v>
      </c>
      <c r="D1834" s="104" t="s">
        <v>31</v>
      </c>
      <c r="E1834" s="97" t="s">
        <v>21</v>
      </c>
      <c r="F1834" s="97" t="str">
        <f>VLOOKUP(E1834,Emp_Data!$B$2:$C$9,2,)</f>
        <v>Sara</v>
      </c>
      <c r="G1834" s="97" t="s">
        <v>15</v>
      </c>
      <c r="H1834" s="97" t="s">
        <v>43</v>
      </c>
      <c r="I1834" s="97">
        <v>69</v>
      </c>
      <c r="J1834" s="97">
        <v>7</v>
      </c>
      <c r="K1834" s="97">
        <f t="shared" si="28"/>
        <v>483</v>
      </c>
      <c r="L1834" s="97">
        <f>_xlfn.XLOOKUP(E1834,Emp_Data!$B$2:$B$9,Emp_Data!$A$2:$A$9)</f>
        <v>2</v>
      </c>
    </row>
    <row r="1835" spans="1:12">
      <c r="A1835" s="99">
        <v>1154</v>
      </c>
      <c r="B1835" s="101">
        <v>44566</v>
      </c>
      <c r="C1835" s="96">
        <v>4</v>
      </c>
      <c r="D1835" s="104" t="s">
        <v>13</v>
      </c>
      <c r="E1835" s="97" t="s">
        <v>21</v>
      </c>
      <c r="F1835" s="97" t="str">
        <f>VLOOKUP(E1835,Emp_Data!$B$2:$C$9,2,)</f>
        <v>Sara</v>
      </c>
      <c r="G1835" s="97" t="s">
        <v>15</v>
      </c>
      <c r="H1835" s="97" t="s">
        <v>43</v>
      </c>
      <c r="I1835" s="97">
        <v>69</v>
      </c>
      <c r="J1835" s="97">
        <v>1</v>
      </c>
      <c r="K1835" s="97">
        <f t="shared" si="28"/>
        <v>69</v>
      </c>
      <c r="L1835" s="97">
        <f>_xlfn.XLOOKUP(E1835,Emp_Data!$B$2:$B$9,Emp_Data!$A$2:$A$9)</f>
        <v>2</v>
      </c>
    </row>
    <row r="1836" spans="1:12">
      <c r="A1836" s="99">
        <v>1155</v>
      </c>
      <c r="B1836" s="101">
        <v>44566</v>
      </c>
      <c r="C1836" s="96">
        <v>12</v>
      </c>
      <c r="D1836" s="104" t="s">
        <v>17</v>
      </c>
      <c r="E1836" s="97" t="s">
        <v>18</v>
      </c>
      <c r="F1836" s="97" t="str">
        <f>VLOOKUP(E1836,Emp_Data!$B$2:$C$9,2,)</f>
        <v>Sara</v>
      </c>
      <c r="G1836" s="97" t="s">
        <v>19</v>
      </c>
      <c r="H1836" s="97" t="s">
        <v>43</v>
      </c>
      <c r="I1836" s="97">
        <v>69</v>
      </c>
      <c r="J1836" s="97">
        <v>5</v>
      </c>
      <c r="K1836" s="97">
        <f t="shared" si="28"/>
        <v>345</v>
      </c>
      <c r="L1836" s="97">
        <f>_xlfn.XLOOKUP(E1836,Emp_Data!$B$2:$B$9,Emp_Data!$A$2:$A$9)</f>
        <v>5</v>
      </c>
    </row>
    <row r="1837" spans="1:12">
      <c r="A1837" s="99">
        <v>1157</v>
      </c>
      <c r="B1837" s="101">
        <v>44566</v>
      </c>
      <c r="C1837" s="96">
        <v>17</v>
      </c>
      <c r="D1837" s="104" t="s">
        <v>32</v>
      </c>
      <c r="E1837" s="97" t="s">
        <v>25</v>
      </c>
      <c r="F1837" s="97" t="str">
        <f>VLOOKUP(E1837,Emp_Data!$B$2:$C$9,2,)</f>
        <v>Jeff</v>
      </c>
      <c r="G1837" s="97" t="s">
        <v>9</v>
      </c>
      <c r="H1837" s="97" t="s">
        <v>43</v>
      </c>
      <c r="I1837" s="97">
        <v>69</v>
      </c>
      <c r="J1837" s="97">
        <v>6</v>
      </c>
      <c r="K1837" s="97">
        <f t="shared" si="28"/>
        <v>414</v>
      </c>
      <c r="L1837" s="97">
        <f>_xlfn.XLOOKUP(E1837,Emp_Data!$B$2:$B$9,Emp_Data!$A$2:$A$9)</f>
        <v>5</v>
      </c>
    </row>
    <row r="1838" spans="1:12">
      <c r="A1838" s="99">
        <v>1164</v>
      </c>
      <c r="B1838" s="101">
        <v>44568</v>
      </c>
      <c r="C1838" s="96">
        <v>7</v>
      </c>
      <c r="D1838" s="104" t="s">
        <v>28</v>
      </c>
      <c r="E1838" s="97" t="s">
        <v>27</v>
      </c>
      <c r="F1838" s="97" t="str">
        <f>VLOOKUP(E1838,Emp_Data!$B$2:$C$9,2,)</f>
        <v>Philip</v>
      </c>
      <c r="G1838" s="97" t="s">
        <v>12</v>
      </c>
      <c r="H1838" s="97" t="s">
        <v>43</v>
      </c>
      <c r="I1838" s="97">
        <v>69</v>
      </c>
      <c r="J1838" s="97">
        <v>6</v>
      </c>
      <c r="K1838" s="97">
        <f t="shared" si="28"/>
        <v>414</v>
      </c>
      <c r="L1838" s="97">
        <f>_xlfn.XLOOKUP(E1838,Emp_Data!$B$2:$B$9,Emp_Data!$A$2:$A$9)</f>
        <v>8</v>
      </c>
    </row>
    <row r="1839" spans="1:12">
      <c r="A1839" s="99">
        <v>1167</v>
      </c>
      <c r="B1839" s="101">
        <v>44569</v>
      </c>
      <c r="C1839" s="96">
        <v>13</v>
      </c>
      <c r="D1839" s="104" t="s">
        <v>23</v>
      </c>
      <c r="E1839" s="97" t="s">
        <v>24</v>
      </c>
      <c r="F1839" s="97" t="str">
        <f>VLOOKUP(E1839,Emp_Data!$B$2:$C$9,2,)</f>
        <v>Steve</v>
      </c>
      <c r="G1839" s="97" t="s">
        <v>19</v>
      </c>
      <c r="H1839" s="97" t="s">
        <v>43</v>
      </c>
      <c r="I1839" s="97">
        <v>69</v>
      </c>
      <c r="J1839" s="97">
        <v>9</v>
      </c>
      <c r="K1839" s="97">
        <f t="shared" si="28"/>
        <v>621</v>
      </c>
      <c r="L1839" s="97">
        <f>_xlfn.XLOOKUP(E1839,Emp_Data!$B$2:$B$9,Emp_Data!$A$2:$A$9)</f>
        <v>6</v>
      </c>
    </row>
    <row r="1840" spans="1:12">
      <c r="A1840" s="99">
        <v>1169</v>
      </c>
      <c r="B1840" s="101">
        <v>44569</v>
      </c>
      <c r="C1840" s="96">
        <v>13</v>
      </c>
      <c r="D1840" s="104" t="s">
        <v>23</v>
      </c>
      <c r="E1840" s="97" t="s">
        <v>24</v>
      </c>
      <c r="F1840" s="97" t="str">
        <f>VLOOKUP(E1840,Emp_Data!$B$2:$C$9,2,)</f>
        <v>Steve</v>
      </c>
      <c r="G1840" s="97" t="s">
        <v>19</v>
      </c>
      <c r="H1840" s="97" t="s">
        <v>43</v>
      </c>
      <c r="I1840" s="97">
        <v>69</v>
      </c>
      <c r="J1840" s="97">
        <v>6</v>
      </c>
      <c r="K1840" s="97">
        <f t="shared" si="28"/>
        <v>414</v>
      </c>
      <c r="L1840" s="97">
        <f>_xlfn.XLOOKUP(E1840,Emp_Data!$B$2:$B$9,Emp_Data!$A$2:$A$9)</f>
        <v>6</v>
      </c>
    </row>
    <row r="1841" spans="1:12">
      <c r="A1841" s="99">
        <v>1175</v>
      </c>
      <c r="B1841" s="101">
        <v>44573</v>
      </c>
      <c r="C1841" s="96">
        <v>16</v>
      </c>
      <c r="D1841" s="104" t="s">
        <v>37</v>
      </c>
      <c r="E1841" s="97" t="s">
        <v>8</v>
      </c>
      <c r="F1841" s="97" t="str">
        <f>VLOOKUP(E1841,Emp_Data!$B$2:$C$9,2,)</f>
        <v>Jeff</v>
      </c>
      <c r="G1841" s="97" t="s">
        <v>9</v>
      </c>
      <c r="H1841" s="97" t="s">
        <v>43</v>
      </c>
      <c r="I1841" s="97">
        <v>69</v>
      </c>
      <c r="J1841" s="97">
        <v>1</v>
      </c>
      <c r="K1841" s="97">
        <f t="shared" si="28"/>
        <v>69</v>
      </c>
      <c r="L1841" s="97">
        <f>_xlfn.XLOOKUP(E1841,Emp_Data!$B$2:$B$9,Emp_Data!$A$2:$A$9)</f>
        <v>3</v>
      </c>
    </row>
    <row r="1842" spans="1:12">
      <c r="A1842" s="99">
        <v>1176</v>
      </c>
      <c r="B1842" s="101">
        <v>44573</v>
      </c>
      <c r="C1842" s="96">
        <v>8</v>
      </c>
      <c r="D1842" s="104" t="s">
        <v>36</v>
      </c>
      <c r="E1842" s="97" t="s">
        <v>27</v>
      </c>
      <c r="F1842" s="97" t="str">
        <f>VLOOKUP(E1842,Emp_Data!$B$2:$C$9,2,)</f>
        <v>Philip</v>
      </c>
      <c r="G1842" s="97" t="s">
        <v>12</v>
      </c>
      <c r="H1842" s="97" t="s">
        <v>43</v>
      </c>
      <c r="I1842" s="97">
        <v>69</v>
      </c>
      <c r="J1842" s="97">
        <v>1</v>
      </c>
      <c r="K1842" s="97">
        <f t="shared" si="28"/>
        <v>69</v>
      </c>
      <c r="L1842" s="97">
        <f>_xlfn.XLOOKUP(E1842,Emp_Data!$B$2:$B$9,Emp_Data!$A$2:$A$9)</f>
        <v>8</v>
      </c>
    </row>
    <row r="1843" spans="1:12">
      <c r="A1843" s="99">
        <v>1180</v>
      </c>
      <c r="B1843" s="101">
        <v>44573</v>
      </c>
      <c r="C1843" s="96">
        <v>14</v>
      </c>
      <c r="D1843" s="104" t="s">
        <v>33</v>
      </c>
      <c r="E1843" s="97" t="s">
        <v>18</v>
      </c>
      <c r="F1843" s="97" t="str">
        <f>VLOOKUP(E1843,Emp_Data!$B$2:$C$9,2,)</f>
        <v>Sara</v>
      </c>
      <c r="G1843" s="97" t="s">
        <v>19</v>
      </c>
      <c r="H1843" s="97" t="s">
        <v>43</v>
      </c>
      <c r="I1843" s="97">
        <v>69</v>
      </c>
      <c r="J1843" s="97">
        <v>8</v>
      </c>
      <c r="K1843" s="97">
        <f t="shared" si="28"/>
        <v>552</v>
      </c>
      <c r="L1843" s="97">
        <f>_xlfn.XLOOKUP(E1843,Emp_Data!$B$2:$B$9,Emp_Data!$A$2:$A$9)</f>
        <v>5</v>
      </c>
    </row>
    <row r="1844" spans="1:12">
      <c r="A1844" s="99">
        <v>1189</v>
      </c>
      <c r="B1844" s="101">
        <v>44574</v>
      </c>
      <c r="C1844" s="96">
        <v>12</v>
      </c>
      <c r="D1844" s="104" t="s">
        <v>17</v>
      </c>
      <c r="E1844" s="97" t="s">
        <v>18</v>
      </c>
      <c r="F1844" s="97" t="str">
        <f>VLOOKUP(E1844,Emp_Data!$B$2:$C$9,2,)</f>
        <v>Sara</v>
      </c>
      <c r="G1844" s="97" t="s">
        <v>19</v>
      </c>
      <c r="H1844" s="97" t="s">
        <v>43</v>
      </c>
      <c r="I1844" s="97">
        <v>69</v>
      </c>
      <c r="J1844" s="97">
        <v>4</v>
      </c>
      <c r="K1844" s="97">
        <f t="shared" si="28"/>
        <v>276</v>
      </c>
      <c r="L1844" s="97">
        <f>_xlfn.XLOOKUP(E1844,Emp_Data!$B$2:$B$9,Emp_Data!$A$2:$A$9)</f>
        <v>5</v>
      </c>
    </row>
    <row r="1845" spans="1:12">
      <c r="A1845" s="99">
        <v>1193</v>
      </c>
      <c r="B1845" s="101">
        <v>44575</v>
      </c>
      <c r="C1845" s="96">
        <v>3</v>
      </c>
      <c r="D1845" s="104" t="s">
        <v>20</v>
      </c>
      <c r="E1845" s="97" t="s">
        <v>21</v>
      </c>
      <c r="F1845" s="97" t="str">
        <f>VLOOKUP(E1845,Emp_Data!$B$2:$C$9,2,)</f>
        <v>Sara</v>
      </c>
      <c r="G1845" s="97" t="s">
        <v>15</v>
      </c>
      <c r="H1845" s="97" t="s">
        <v>43</v>
      </c>
      <c r="I1845" s="97">
        <v>69</v>
      </c>
      <c r="J1845" s="97">
        <v>0</v>
      </c>
      <c r="K1845" s="97">
        <f t="shared" si="28"/>
        <v>0</v>
      </c>
      <c r="L1845" s="97">
        <f>_xlfn.XLOOKUP(E1845,Emp_Data!$B$2:$B$9,Emp_Data!$A$2:$A$9)</f>
        <v>2</v>
      </c>
    </row>
    <row r="1846" spans="1:12">
      <c r="A1846" s="99">
        <v>1198</v>
      </c>
      <c r="B1846" s="101">
        <v>44577</v>
      </c>
      <c r="C1846" s="96">
        <v>16</v>
      </c>
      <c r="D1846" s="104" t="s">
        <v>37</v>
      </c>
      <c r="E1846" s="97" t="s">
        <v>8</v>
      </c>
      <c r="F1846" s="97" t="str">
        <f>VLOOKUP(E1846,Emp_Data!$B$2:$C$9,2,)</f>
        <v>Jeff</v>
      </c>
      <c r="G1846" s="97" t="s">
        <v>9</v>
      </c>
      <c r="H1846" s="97" t="s">
        <v>43</v>
      </c>
      <c r="I1846" s="97">
        <v>69</v>
      </c>
      <c r="J1846" s="97">
        <v>9</v>
      </c>
      <c r="K1846" s="97">
        <f t="shared" si="28"/>
        <v>621</v>
      </c>
      <c r="L1846" s="97">
        <f>_xlfn.XLOOKUP(E1846,Emp_Data!$B$2:$B$9,Emp_Data!$A$2:$A$9)</f>
        <v>3</v>
      </c>
    </row>
    <row r="1847" spans="1:12">
      <c r="A1847" s="99">
        <v>1199</v>
      </c>
      <c r="B1847" s="101">
        <v>44577</v>
      </c>
      <c r="C1847" s="96">
        <v>16</v>
      </c>
      <c r="D1847" s="104" t="s">
        <v>37</v>
      </c>
      <c r="E1847" s="97" t="s">
        <v>8</v>
      </c>
      <c r="F1847" s="97" t="str">
        <f>VLOOKUP(E1847,Emp_Data!$B$2:$C$9,2,)</f>
        <v>Jeff</v>
      </c>
      <c r="G1847" s="97" t="s">
        <v>9</v>
      </c>
      <c r="H1847" s="97" t="s">
        <v>43</v>
      </c>
      <c r="I1847" s="97">
        <v>69</v>
      </c>
      <c r="J1847" s="97">
        <v>5</v>
      </c>
      <c r="K1847" s="97">
        <f t="shared" si="28"/>
        <v>345</v>
      </c>
      <c r="L1847" s="97">
        <f>_xlfn.XLOOKUP(E1847,Emp_Data!$B$2:$B$9,Emp_Data!$A$2:$A$9)</f>
        <v>3</v>
      </c>
    </row>
    <row r="1848" spans="1:12">
      <c r="A1848" s="99">
        <v>1200</v>
      </c>
      <c r="B1848" s="101">
        <v>44577</v>
      </c>
      <c r="C1848" s="96">
        <v>16</v>
      </c>
      <c r="D1848" s="104" t="s">
        <v>37</v>
      </c>
      <c r="E1848" s="97" t="s">
        <v>25</v>
      </c>
      <c r="F1848" s="97" t="str">
        <f>VLOOKUP(E1848,Emp_Data!$B$2:$C$9,2,)</f>
        <v>Jeff</v>
      </c>
      <c r="G1848" s="97" t="s">
        <v>9</v>
      </c>
      <c r="H1848" s="97" t="s">
        <v>43</v>
      </c>
      <c r="I1848" s="97">
        <v>69</v>
      </c>
      <c r="J1848" s="97">
        <v>2</v>
      </c>
      <c r="K1848" s="97">
        <f t="shared" si="28"/>
        <v>138</v>
      </c>
      <c r="L1848" s="97">
        <f>_xlfn.XLOOKUP(E1848,Emp_Data!$B$2:$B$9,Emp_Data!$A$2:$A$9)</f>
        <v>5</v>
      </c>
    </row>
    <row r="1849" spans="1:12">
      <c r="A1849" s="99">
        <v>1201</v>
      </c>
      <c r="B1849" s="101">
        <v>44578</v>
      </c>
      <c r="C1849" s="96">
        <v>16</v>
      </c>
      <c r="D1849" s="104" t="s">
        <v>37</v>
      </c>
      <c r="E1849" s="97" t="s">
        <v>25</v>
      </c>
      <c r="F1849" s="97" t="str">
        <f>VLOOKUP(E1849,Emp_Data!$B$2:$C$9,2,)</f>
        <v>Jeff</v>
      </c>
      <c r="G1849" s="97" t="s">
        <v>9</v>
      </c>
      <c r="H1849" s="97" t="s">
        <v>43</v>
      </c>
      <c r="I1849" s="97">
        <v>69</v>
      </c>
      <c r="J1849" s="97">
        <v>1</v>
      </c>
      <c r="K1849" s="97">
        <f t="shared" si="28"/>
        <v>69</v>
      </c>
      <c r="L1849" s="97">
        <f>_xlfn.XLOOKUP(E1849,Emp_Data!$B$2:$B$9,Emp_Data!$A$2:$A$9)</f>
        <v>5</v>
      </c>
    </row>
    <row r="1850" spans="1:12">
      <c r="A1850" s="99">
        <v>1204</v>
      </c>
      <c r="B1850" s="101">
        <v>44578</v>
      </c>
      <c r="C1850" s="96">
        <v>5</v>
      </c>
      <c r="D1850" s="104" t="s">
        <v>16</v>
      </c>
      <c r="E1850" s="97" t="s">
        <v>14</v>
      </c>
      <c r="F1850" s="97" t="str">
        <f>VLOOKUP(E1850,Emp_Data!$B$2:$C$9,2,)</f>
        <v>Jeff</v>
      </c>
      <c r="G1850" s="97" t="s">
        <v>15</v>
      </c>
      <c r="H1850" s="97" t="s">
        <v>43</v>
      </c>
      <c r="I1850" s="97">
        <v>69</v>
      </c>
      <c r="J1850" s="97">
        <v>3</v>
      </c>
      <c r="K1850" s="97">
        <f t="shared" si="28"/>
        <v>207</v>
      </c>
      <c r="L1850" s="97">
        <f>_xlfn.XLOOKUP(E1850,Emp_Data!$B$2:$B$9,Emp_Data!$A$2:$A$9)</f>
        <v>2</v>
      </c>
    </row>
    <row r="1851" spans="1:12">
      <c r="A1851" s="99">
        <v>1206</v>
      </c>
      <c r="B1851" s="101">
        <v>44578</v>
      </c>
      <c r="C1851" s="96">
        <v>17</v>
      </c>
      <c r="D1851" s="104" t="s">
        <v>32</v>
      </c>
      <c r="E1851" s="97" t="s">
        <v>25</v>
      </c>
      <c r="F1851" s="97" t="str">
        <f>VLOOKUP(E1851,Emp_Data!$B$2:$C$9,2,)</f>
        <v>Jeff</v>
      </c>
      <c r="G1851" s="97" t="s">
        <v>9</v>
      </c>
      <c r="H1851" s="97" t="s">
        <v>43</v>
      </c>
      <c r="I1851" s="97">
        <v>69</v>
      </c>
      <c r="J1851" s="97">
        <v>6</v>
      </c>
      <c r="K1851" s="97">
        <f t="shared" si="28"/>
        <v>414</v>
      </c>
      <c r="L1851" s="97">
        <f>_xlfn.XLOOKUP(E1851,Emp_Data!$B$2:$B$9,Emp_Data!$A$2:$A$9)</f>
        <v>5</v>
      </c>
    </row>
    <row r="1852" spans="1:12">
      <c r="A1852" s="99">
        <v>1213</v>
      </c>
      <c r="B1852" s="101">
        <v>44581</v>
      </c>
      <c r="C1852" s="96">
        <v>16</v>
      </c>
      <c r="D1852" s="104" t="s">
        <v>37</v>
      </c>
      <c r="E1852" s="97" t="s">
        <v>25</v>
      </c>
      <c r="F1852" s="97" t="str">
        <f>VLOOKUP(E1852,Emp_Data!$B$2:$C$9,2,)</f>
        <v>Jeff</v>
      </c>
      <c r="G1852" s="97" t="s">
        <v>9</v>
      </c>
      <c r="H1852" s="97" t="s">
        <v>43</v>
      </c>
      <c r="I1852" s="97">
        <v>69</v>
      </c>
      <c r="J1852" s="97">
        <v>2</v>
      </c>
      <c r="K1852" s="97">
        <f t="shared" si="28"/>
        <v>138</v>
      </c>
      <c r="L1852" s="97">
        <f>_xlfn.XLOOKUP(E1852,Emp_Data!$B$2:$B$9,Emp_Data!$A$2:$A$9)</f>
        <v>5</v>
      </c>
    </row>
    <row r="1853" spans="1:12">
      <c r="A1853" s="99">
        <v>1215</v>
      </c>
      <c r="B1853" s="101">
        <v>44582</v>
      </c>
      <c r="C1853" s="96">
        <v>4</v>
      </c>
      <c r="D1853" s="104" t="s">
        <v>13</v>
      </c>
      <c r="E1853" s="97" t="s">
        <v>14</v>
      </c>
      <c r="F1853" s="97" t="str">
        <f>VLOOKUP(E1853,Emp_Data!$B$2:$C$9,2,)</f>
        <v>Jeff</v>
      </c>
      <c r="G1853" s="97" t="s">
        <v>15</v>
      </c>
      <c r="H1853" s="97" t="s">
        <v>43</v>
      </c>
      <c r="I1853" s="97">
        <v>69</v>
      </c>
      <c r="J1853" s="97">
        <v>6</v>
      </c>
      <c r="K1853" s="97">
        <f t="shared" si="28"/>
        <v>414</v>
      </c>
      <c r="L1853" s="97">
        <f>_xlfn.XLOOKUP(E1853,Emp_Data!$B$2:$B$9,Emp_Data!$A$2:$A$9)</f>
        <v>2</v>
      </c>
    </row>
    <row r="1854" spans="1:12">
      <c r="A1854" s="99">
        <v>1218</v>
      </c>
      <c r="B1854" s="101">
        <v>44583</v>
      </c>
      <c r="C1854" s="96">
        <v>12</v>
      </c>
      <c r="D1854" s="104" t="s">
        <v>17</v>
      </c>
      <c r="E1854" s="97" t="s">
        <v>18</v>
      </c>
      <c r="F1854" s="97" t="str">
        <f>VLOOKUP(E1854,Emp_Data!$B$2:$C$9,2,)</f>
        <v>Sara</v>
      </c>
      <c r="G1854" s="97" t="s">
        <v>19</v>
      </c>
      <c r="H1854" s="97" t="s">
        <v>43</v>
      </c>
      <c r="I1854" s="97">
        <v>69</v>
      </c>
      <c r="J1854" s="97">
        <v>7</v>
      </c>
      <c r="K1854" s="97">
        <f t="shared" si="28"/>
        <v>483</v>
      </c>
      <c r="L1854" s="97">
        <f>_xlfn.XLOOKUP(E1854,Emp_Data!$B$2:$B$9,Emp_Data!$A$2:$A$9)</f>
        <v>5</v>
      </c>
    </row>
    <row r="1855" spans="1:12">
      <c r="A1855" s="99">
        <v>1231</v>
      </c>
      <c r="B1855" s="101">
        <v>44589</v>
      </c>
      <c r="C1855" s="96">
        <v>2</v>
      </c>
      <c r="D1855" s="104" t="s">
        <v>35</v>
      </c>
      <c r="E1855" s="97" t="s">
        <v>21</v>
      </c>
      <c r="F1855" s="97" t="str">
        <f>VLOOKUP(E1855,Emp_Data!$B$2:$C$9,2,)</f>
        <v>Sara</v>
      </c>
      <c r="G1855" s="97" t="s">
        <v>15</v>
      </c>
      <c r="H1855" s="97" t="s">
        <v>43</v>
      </c>
      <c r="I1855" s="97">
        <v>69</v>
      </c>
      <c r="J1855" s="97">
        <v>3</v>
      </c>
      <c r="K1855" s="97">
        <f t="shared" si="28"/>
        <v>207</v>
      </c>
      <c r="L1855" s="97">
        <f>_xlfn.XLOOKUP(E1855,Emp_Data!$B$2:$B$9,Emp_Data!$A$2:$A$9)</f>
        <v>2</v>
      </c>
    </row>
    <row r="1856" spans="1:12">
      <c r="A1856" s="99">
        <v>1233</v>
      </c>
      <c r="B1856" s="101">
        <v>44589</v>
      </c>
      <c r="C1856" s="96">
        <v>5</v>
      </c>
      <c r="D1856" s="104" t="s">
        <v>16</v>
      </c>
      <c r="E1856" s="97" t="s">
        <v>14</v>
      </c>
      <c r="F1856" s="97" t="str">
        <f>VLOOKUP(E1856,Emp_Data!$B$2:$C$9,2,)</f>
        <v>Jeff</v>
      </c>
      <c r="G1856" s="97" t="s">
        <v>15</v>
      </c>
      <c r="H1856" s="97" t="s">
        <v>43</v>
      </c>
      <c r="I1856" s="97">
        <v>69</v>
      </c>
      <c r="J1856" s="97">
        <v>2</v>
      </c>
      <c r="K1856" s="97">
        <f t="shared" si="28"/>
        <v>138</v>
      </c>
      <c r="L1856" s="97">
        <f>_xlfn.XLOOKUP(E1856,Emp_Data!$B$2:$B$9,Emp_Data!$A$2:$A$9)</f>
        <v>2</v>
      </c>
    </row>
    <row r="1857" spans="1:12">
      <c r="A1857" s="99">
        <v>1241</v>
      </c>
      <c r="B1857" s="101">
        <v>44595</v>
      </c>
      <c r="C1857" s="96">
        <v>6</v>
      </c>
      <c r="D1857" s="104" t="s">
        <v>10</v>
      </c>
      <c r="E1857" s="97" t="s">
        <v>11</v>
      </c>
      <c r="F1857" s="97" t="str">
        <f>VLOOKUP(E1857,Emp_Data!$B$2:$C$9,2,)</f>
        <v>Steve</v>
      </c>
      <c r="G1857" s="97" t="s">
        <v>12</v>
      </c>
      <c r="H1857" s="97" t="s">
        <v>43</v>
      </c>
      <c r="I1857" s="97">
        <v>69</v>
      </c>
      <c r="J1857" s="97">
        <v>5</v>
      </c>
      <c r="K1857" s="97">
        <f t="shared" si="28"/>
        <v>345</v>
      </c>
      <c r="L1857" s="97">
        <f>_xlfn.XLOOKUP(E1857,Emp_Data!$B$2:$B$9,Emp_Data!$A$2:$A$9)</f>
        <v>4</v>
      </c>
    </row>
    <row r="1858" spans="1:12">
      <c r="A1858" s="99">
        <v>1248</v>
      </c>
      <c r="B1858" s="101">
        <v>44597</v>
      </c>
      <c r="C1858" s="96">
        <v>11</v>
      </c>
      <c r="D1858" s="104" t="s">
        <v>38</v>
      </c>
      <c r="E1858" s="97" t="s">
        <v>18</v>
      </c>
      <c r="F1858" s="97" t="str">
        <f>VLOOKUP(E1858,Emp_Data!$B$2:$C$9,2,)</f>
        <v>Sara</v>
      </c>
      <c r="G1858" s="97" t="s">
        <v>19</v>
      </c>
      <c r="H1858" s="97" t="s">
        <v>43</v>
      </c>
      <c r="I1858" s="97">
        <v>69</v>
      </c>
      <c r="J1858" s="97">
        <v>4</v>
      </c>
      <c r="K1858" s="97">
        <f t="shared" si="28"/>
        <v>276</v>
      </c>
      <c r="L1858" s="97">
        <f>_xlfn.XLOOKUP(E1858,Emp_Data!$B$2:$B$9,Emp_Data!$A$2:$A$9)</f>
        <v>5</v>
      </c>
    </row>
    <row r="1859" spans="1:12">
      <c r="A1859" s="99">
        <v>1250</v>
      </c>
      <c r="B1859" s="101">
        <v>44597</v>
      </c>
      <c r="C1859" s="96">
        <v>3</v>
      </c>
      <c r="D1859" s="104" t="s">
        <v>20</v>
      </c>
      <c r="E1859" s="97" t="s">
        <v>14</v>
      </c>
      <c r="F1859" s="97" t="str">
        <f>VLOOKUP(E1859,Emp_Data!$B$2:$C$9,2,)</f>
        <v>Jeff</v>
      </c>
      <c r="G1859" s="97" t="s">
        <v>15</v>
      </c>
      <c r="H1859" s="97" t="s">
        <v>43</v>
      </c>
      <c r="I1859" s="97">
        <v>69</v>
      </c>
      <c r="J1859" s="97">
        <v>6</v>
      </c>
      <c r="K1859" s="97">
        <f t="shared" ref="K1859:K1922" si="29">SUMPRODUCT(I1859,J1859)</f>
        <v>414</v>
      </c>
      <c r="L1859" s="97">
        <f>_xlfn.XLOOKUP(E1859,Emp_Data!$B$2:$B$9,Emp_Data!$A$2:$A$9)</f>
        <v>2</v>
      </c>
    </row>
    <row r="1860" spans="1:12">
      <c r="A1860" s="99">
        <v>1258</v>
      </c>
      <c r="B1860" s="101">
        <v>44600</v>
      </c>
      <c r="C1860" s="96">
        <v>11</v>
      </c>
      <c r="D1860" s="104" t="s">
        <v>38</v>
      </c>
      <c r="E1860" s="97" t="s">
        <v>18</v>
      </c>
      <c r="F1860" s="97" t="str">
        <f>VLOOKUP(E1860,Emp_Data!$B$2:$C$9,2,)</f>
        <v>Sara</v>
      </c>
      <c r="G1860" s="97" t="s">
        <v>19</v>
      </c>
      <c r="H1860" s="97" t="s">
        <v>43</v>
      </c>
      <c r="I1860" s="97">
        <v>69</v>
      </c>
      <c r="J1860" s="97">
        <v>6</v>
      </c>
      <c r="K1860" s="97">
        <f t="shared" si="29"/>
        <v>414</v>
      </c>
      <c r="L1860" s="97">
        <f>_xlfn.XLOOKUP(E1860,Emp_Data!$B$2:$B$9,Emp_Data!$A$2:$A$9)</f>
        <v>5</v>
      </c>
    </row>
    <row r="1861" spans="1:12">
      <c r="A1861" s="99">
        <v>1268</v>
      </c>
      <c r="B1861" s="101">
        <v>44606</v>
      </c>
      <c r="C1861" s="96">
        <v>2</v>
      </c>
      <c r="D1861" s="104" t="s">
        <v>35</v>
      </c>
      <c r="E1861" s="97" t="s">
        <v>14</v>
      </c>
      <c r="F1861" s="97" t="str">
        <f>VLOOKUP(E1861,Emp_Data!$B$2:$C$9,2,)</f>
        <v>Jeff</v>
      </c>
      <c r="G1861" s="97" t="s">
        <v>15</v>
      </c>
      <c r="H1861" s="97" t="s">
        <v>43</v>
      </c>
      <c r="I1861" s="97">
        <v>69</v>
      </c>
      <c r="J1861" s="97">
        <v>9</v>
      </c>
      <c r="K1861" s="97">
        <f t="shared" si="29"/>
        <v>621</v>
      </c>
      <c r="L1861" s="97">
        <f>_xlfn.XLOOKUP(E1861,Emp_Data!$B$2:$B$9,Emp_Data!$A$2:$A$9)</f>
        <v>2</v>
      </c>
    </row>
    <row r="1862" spans="1:12">
      <c r="A1862" s="99">
        <v>1279</v>
      </c>
      <c r="B1862" s="101">
        <v>44611</v>
      </c>
      <c r="C1862" s="96">
        <v>17</v>
      </c>
      <c r="D1862" s="104" t="s">
        <v>32</v>
      </c>
      <c r="E1862" s="97" t="s">
        <v>25</v>
      </c>
      <c r="F1862" s="97" t="str">
        <f>VLOOKUP(E1862,Emp_Data!$B$2:$C$9,2,)</f>
        <v>Jeff</v>
      </c>
      <c r="G1862" s="97" t="s">
        <v>9</v>
      </c>
      <c r="H1862" s="97" t="s">
        <v>43</v>
      </c>
      <c r="I1862" s="97">
        <v>69</v>
      </c>
      <c r="J1862" s="97">
        <v>4</v>
      </c>
      <c r="K1862" s="97">
        <f t="shared" si="29"/>
        <v>276</v>
      </c>
      <c r="L1862" s="97">
        <f>_xlfn.XLOOKUP(E1862,Emp_Data!$B$2:$B$9,Emp_Data!$A$2:$A$9)</f>
        <v>5</v>
      </c>
    </row>
    <row r="1863" spans="1:12">
      <c r="A1863" s="99">
        <v>1282</v>
      </c>
      <c r="B1863" s="101">
        <v>44611</v>
      </c>
      <c r="C1863" s="96">
        <v>6</v>
      </c>
      <c r="D1863" s="104" t="s">
        <v>10</v>
      </c>
      <c r="E1863" s="97" t="s">
        <v>27</v>
      </c>
      <c r="F1863" s="97" t="str">
        <f>VLOOKUP(E1863,Emp_Data!$B$2:$C$9,2,)</f>
        <v>Philip</v>
      </c>
      <c r="G1863" s="97" t="s">
        <v>12</v>
      </c>
      <c r="H1863" s="97" t="s">
        <v>43</v>
      </c>
      <c r="I1863" s="97">
        <v>69</v>
      </c>
      <c r="J1863" s="97">
        <v>8</v>
      </c>
      <c r="K1863" s="97">
        <f t="shared" si="29"/>
        <v>552</v>
      </c>
      <c r="L1863" s="97">
        <f>_xlfn.XLOOKUP(E1863,Emp_Data!$B$2:$B$9,Emp_Data!$A$2:$A$9)</f>
        <v>8</v>
      </c>
    </row>
    <row r="1864" spans="1:12">
      <c r="A1864" s="99">
        <v>1285</v>
      </c>
      <c r="B1864" s="101">
        <v>44611</v>
      </c>
      <c r="C1864" s="96">
        <v>2</v>
      </c>
      <c r="D1864" s="104" t="s">
        <v>35</v>
      </c>
      <c r="E1864" s="97" t="s">
        <v>21</v>
      </c>
      <c r="F1864" s="97" t="str">
        <f>VLOOKUP(E1864,Emp_Data!$B$2:$C$9,2,)</f>
        <v>Sara</v>
      </c>
      <c r="G1864" s="97" t="s">
        <v>15</v>
      </c>
      <c r="H1864" s="97" t="s">
        <v>43</v>
      </c>
      <c r="I1864" s="97">
        <v>69</v>
      </c>
      <c r="J1864" s="97">
        <v>8</v>
      </c>
      <c r="K1864" s="97">
        <f t="shared" si="29"/>
        <v>552</v>
      </c>
      <c r="L1864" s="97">
        <f>_xlfn.XLOOKUP(E1864,Emp_Data!$B$2:$B$9,Emp_Data!$A$2:$A$9)</f>
        <v>2</v>
      </c>
    </row>
    <row r="1865" spans="1:12">
      <c r="A1865" s="99">
        <v>1306</v>
      </c>
      <c r="B1865" s="101">
        <v>44615</v>
      </c>
      <c r="C1865" s="96">
        <v>7</v>
      </c>
      <c r="D1865" s="104" t="s">
        <v>28</v>
      </c>
      <c r="E1865" s="97" t="s">
        <v>27</v>
      </c>
      <c r="F1865" s="97" t="str">
        <f>VLOOKUP(E1865,Emp_Data!$B$2:$C$9,2,)</f>
        <v>Philip</v>
      </c>
      <c r="G1865" s="97" t="s">
        <v>12</v>
      </c>
      <c r="H1865" s="97" t="s">
        <v>43</v>
      </c>
      <c r="I1865" s="97">
        <v>69</v>
      </c>
      <c r="J1865" s="97">
        <v>5</v>
      </c>
      <c r="K1865" s="97">
        <f t="shared" si="29"/>
        <v>345</v>
      </c>
      <c r="L1865" s="97">
        <f>_xlfn.XLOOKUP(E1865,Emp_Data!$B$2:$B$9,Emp_Data!$A$2:$A$9)</f>
        <v>8</v>
      </c>
    </row>
    <row r="1866" spans="1:12">
      <c r="A1866" s="99">
        <v>1311</v>
      </c>
      <c r="B1866" s="101">
        <v>44617</v>
      </c>
      <c r="C1866" s="96">
        <v>4</v>
      </c>
      <c r="D1866" s="104" t="s">
        <v>13</v>
      </c>
      <c r="E1866" s="97" t="s">
        <v>21</v>
      </c>
      <c r="F1866" s="97" t="str">
        <f>VLOOKUP(E1866,Emp_Data!$B$2:$C$9,2,)</f>
        <v>Sara</v>
      </c>
      <c r="G1866" s="97" t="s">
        <v>15</v>
      </c>
      <c r="H1866" s="97" t="s">
        <v>43</v>
      </c>
      <c r="I1866" s="97">
        <v>69</v>
      </c>
      <c r="J1866" s="97">
        <v>4</v>
      </c>
      <c r="K1866" s="97">
        <f t="shared" si="29"/>
        <v>276</v>
      </c>
      <c r="L1866" s="97">
        <f>_xlfn.XLOOKUP(E1866,Emp_Data!$B$2:$B$9,Emp_Data!$A$2:$A$9)</f>
        <v>2</v>
      </c>
    </row>
    <row r="1867" spans="1:12">
      <c r="A1867" s="99">
        <v>1315</v>
      </c>
      <c r="B1867" s="101">
        <v>44618</v>
      </c>
      <c r="C1867" s="96">
        <v>12</v>
      </c>
      <c r="D1867" s="104" t="s">
        <v>17</v>
      </c>
      <c r="E1867" s="97" t="s">
        <v>24</v>
      </c>
      <c r="F1867" s="97" t="str">
        <f>VLOOKUP(E1867,Emp_Data!$B$2:$C$9,2,)</f>
        <v>Steve</v>
      </c>
      <c r="G1867" s="97" t="s">
        <v>19</v>
      </c>
      <c r="H1867" s="97" t="s">
        <v>43</v>
      </c>
      <c r="I1867" s="97">
        <v>69</v>
      </c>
      <c r="J1867" s="97">
        <v>8</v>
      </c>
      <c r="K1867" s="97">
        <f t="shared" si="29"/>
        <v>552</v>
      </c>
      <c r="L1867" s="97">
        <f>_xlfn.XLOOKUP(E1867,Emp_Data!$B$2:$B$9,Emp_Data!$A$2:$A$9)</f>
        <v>6</v>
      </c>
    </row>
    <row r="1868" spans="1:12">
      <c r="A1868" s="99">
        <v>1316</v>
      </c>
      <c r="B1868" s="101">
        <v>44618</v>
      </c>
      <c r="C1868" s="96">
        <v>1</v>
      </c>
      <c r="D1868" s="104" t="s">
        <v>31</v>
      </c>
      <c r="E1868" s="97" t="s">
        <v>14</v>
      </c>
      <c r="F1868" s="97" t="str">
        <f>VLOOKUP(E1868,Emp_Data!$B$2:$C$9,2,)</f>
        <v>Jeff</v>
      </c>
      <c r="G1868" s="97" t="s">
        <v>15</v>
      </c>
      <c r="H1868" s="97" t="s">
        <v>43</v>
      </c>
      <c r="I1868" s="97">
        <v>69</v>
      </c>
      <c r="J1868" s="97">
        <v>9</v>
      </c>
      <c r="K1868" s="97">
        <f t="shared" si="29"/>
        <v>621</v>
      </c>
      <c r="L1868" s="97">
        <f>_xlfn.XLOOKUP(E1868,Emp_Data!$B$2:$B$9,Emp_Data!$A$2:$A$9)</f>
        <v>2</v>
      </c>
    </row>
    <row r="1869" spans="1:12">
      <c r="A1869" s="99">
        <v>1320</v>
      </c>
      <c r="B1869" s="101">
        <v>44619</v>
      </c>
      <c r="C1869" s="96">
        <v>8</v>
      </c>
      <c r="D1869" s="104" t="s">
        <v>36</v>
      </c>
      <c r="E1869" s="97" t="s">
        <v>27</v>
      </c>
      <c r="F1869" s="97" t="str">
        <f>VLOOKUP(E1869,Emp_Data!$B$2:$C$9,2,)</f>
        <v>Philip</v>
      </c>
      <c r="G1869" s="97" t="s">
        <v>12</v>
      </c>
      <c r="H1869" s="97" t="s">
        <v>43</v>
      </c>
      <c r="I1869" s="97">
        <v>69</v>
      </c>
      <c r="J1869" s="97">
        <v>4</v>
      </c>
      <c r="K1869" s="97">
        <f t="shared" si="29"/>
        <v>276</v>
      </c>
      <c r="L1869" s="97">
        <f>_xlfn.XLOOKUP(E1869,Emp_Data!$B$2:$B$9,Emp_Data!$A$2:$A$9)</f>
        <v>8</v>
      </c>
    </row>
    <row r="1870" spans="1:12">
      <c r="A1870" s="99">
        <v>1321</v>
      </c>
      <c r="B1870" s="101">
        <v>44620</v>
      </c>
      <c r="C1870" s="96">
        <v>10</v>
      </c>
      <c r="D1870" s="104" t="s">
        <v>34</v>
      </c>
      <c r="E1870" s="97" t="s">
        <v>27</v>
      </c>
      <c r="F1870" s="97" t="str">
        <f>VLOOKUP(E1870,Emp_Data!$B$2:$C$9,2,)</f>
        <v>Philip</v>
      </c>
      <c r="G1870" s="97" t="s">
        <v>12</v>
      </c>
      <c r="H1870" s="97" t="s">
        <v>43</v>
      </c>
      <c r="I1870" s="97">
        <v>69</v>
      </c>
      <c r="J1870" s="97">
        <v>9</v>
      </c>
      <c r="K1870" s="97">
        <f t="shared" si="29"/>
        <v>621</v>
      </c>
      <c r="L1870" s="97">
        <f>_xlfn.XLOOKUP(E1870,Emp_Data!$B$2:$B$9,Emp_Data!$A$2:$A$9)</f>
        <v>8</v>
      </c>
    </row>
    <row r="1871" spans="1:12">
      <c r="A1871" s="99">
        <v>1335</v>
      </c>
      <c r="B1871" s="101">
        <v>44626</v>
      </c>
      <c r="C1871" s="96">
        <v>18</v>
      </c>
      <c r="D1871" s="104" t="s">
        <v>30</v>
      </c>
      <c r="E1871" s="97" t="s">
        <v>25</v>
      </c>
      <c r="F1871" s="97" t="str">
        <f>VLOOKUP(E1871,Emp_Data!$B$2:$C$9,2,)</f>
        <v>Jeff</v>
      </c>
      <c r="G1871" s="97" t="s">
        <v>9</v>
      </c>
      <c r="H1871" s="97" t="s">
        <v>43</v>
      </c>
      <c r="I1871" s="97">
        <v>69</v>
      </c>
      <c r="J1871" s="97">
        <v>2</v>
      </c>
      <c r="K1871" s="97">
        <f t="shared" si="29"/>
        <v>138</v>
      </c>
      <c r="L1871" s="97">
        <f>_xlfn.XLOOKUP(E1871,Emp_Data!$B$2:$B$9,Emp_Data!$A$2:$A$9)</f>
        <v>5</v>
      </c>
    </row>
    <row r="1872" spans="1:12">
      <c r="A1872" s="99">
        <v>1339</v>
      </c>
      <c r="B1872" s="101">
        <v>44627</v>
      </c>
      <c r="C1872" s="96">
        <v>19</v>
      </c>
      <c r="D1872" s="104" t="s">
        <v>22</v>
      </c>
      <c r="E1872" s="97" t="s">
        <v>25</v>
      </c>
      <c r="F1872" s="97" t="str">
        <f>VLOOKUP(E1872,Emp_Data!$B$2:$C$9,2,)</f>
        <v>Jeff</v>
      </c>
      <c r="G1872" s="97" t="s">
        <v>9</v>
      </c>
      <c r="H1872" s="97" t="s">
        <v>43</v>
      </c>
      <c r="I1872" s="97">
        <v>69</v>
      </c>
      <c r="J1872" s="97">
        <v>7</v>
      </c>
      <c r="K1872" s="97">
        <f t="shared" si="29"/>
        <v>483</v>
      </c>
      <c r="L1872" s="97">
        <f>_xlfn.XLOOKUP(E1872,Emp_Data!$B$2:$B$9,Emp_Data!$A$2:$A$9)</f>
        <v>5</v>
      </c>
    </row>
    <row r="1873" spans="1:12">
      <c r="A1873" s="99">
        <v>1342</v>
      </c>
      <c r="B1873" s="101">
        <v>44627</v>
      </c>
      <c r="C1873" s="96">
        <v>17</v>
      </c>
      <c r="D1873" s="104" t="s">
        <v>32</v>
      </c>
      <c r="E1873" s="97" t="s">
        <v>8</v>
      </c>
      <c r="F1873" s="97" t="str">
        <f>VLOOKUP(E1873,Emp_Data!$B$2:$C$9,2,)</f>
        <v>Jeff</v>
      </c>
      <c r="G1873" s="97" t="s">
        <v>9</v>
      </c>
      <c r="H1873" s="97" t="s">
        <v>43</v>
      </c>
      <c r="I1873" s="97">
        <v>69</v>
      </c>
      <c r="J1873" s="97">
        <v>0</v>
      </c>
      <c r="K1873" s="97">
        <f t="shared" si="29"/>
        <v>0</v>
      </c>
      <c r="L1873" s="97">
        <f>_xlfn.XLOOKUP(E1873,Emp_Data!$B$2:$B$9,Emp_Data!$A$2:$A$9)</f>
        <v>3</v>
      </c>
    </row>
    <row r="1874" spans="1:12">
      <c r="A1874" s="99">
        <v>1346</v>
      </c>
      <c r="B1874" s="101">
        <v>44628</v>
      </c>
      <c r="C1874" s="96">
        <v>11</v>
      </c>
      <c r="D1874" s="104" t="s">
        <v>38</v>
      </c>
      <c r="E1874" s="97" t="s">
        <v>18</v>
      </c>
      <c r="F1874" s="97" t="str">
        <f>VLOOKUP(E1874,Emp_Data!$B$2:$C$9,2,)</f>
        <v>Sara</v>
      </c>
      <c r="G1874" s="97" t="s">
        <v>19</v>
      </c>
      <c r="H1874" s="97" t="s">
        <v>43</v>
      </c>
      <c r="I1874" s="97">
        <v>69</v>
      </c>
      <c r="J1874" s="97">
        <v>7</v>
      </c>
      <c r="K1874" s="97">
        <f t="shared" si="29"/>
        <v>483</v>
      </c>
      <c r="L1874" s="97">
        <f>_xlfn.XLOOKUP(E1874,Emp_Data!$B$2:$B$9,Emp_Data!$A$2:$A$9)</f>
        <v>5</v>
      </c>
    </row>
    <row r="1875" spans="1:12">
      <c r="A1875" s="99">
        <v>1353</v>
      </c>
      <c r="B1875" s="101">
        <v>44630</v>
      </c>
      <c r="C1875" s="96">
        <v>6</v>
      </c>
      <c r="D1875" s="104" t="s">
        <v>10</v>
      </c>
      <c r="E1875" s="97" t="s">
        <v>11</v>
      </c>
      <c r="F1875" s="97" t="str">
        <f>VLOOKUP(E1875,Emp_Data!$B$2:$C$9,2,)</f>
        <v>Steve</v>
      </c>
      <c r="G1875" s="97" t="s">
        <v>12</v>
      </c>
      <c r="H1875" s="97" t="s">
        <v>43</v>
      </c>
      <c r="I1875" s="97">
        <v>69</v>
      </c>
      <c r="J1875" s="97">
        <v>5</v>
      </c>
      <c r="K1875" s="97">
        <f t="shared" si="29"/>
        <v>345</v>
      </c>
      <c r="L1875" s="97">
        <f>_xlfn.XLOOKUP(E1875,Emp_Data!$B$2:$B$9,Emp_Data!$A$2:$A$9)</f>
        <v>4</v>
      </c>
    </row>
    <row r="1876" spans="1:12">
      <c r="A1876" s="99">
        <v>1356</v>
      </c>
      <c r="B1876" s="101">
        <v>44631</v>
      </c>
      <c r="C1876" s="96">
        <v>7</v>
      </c>
      <c r="D1876" s="104" t="s">
        <v>28</v>
      </c>
      <c r="E1876" s="97" t="s">
        <v>27</v>
      </c>
      <c r="F1876" s="97" t="str">
        <f>VLOOKUP(E1876,Emp_Data!$B$2:$C$9,2,)</f>
        <v>Philip</v>
      </c>
      <c r="G1876" s="97" t="s">
        <v>12</v>
      </c>
      <c r="H1876" s="97" t="s">
        <v>43</v>
      </c>
      <c r="I1876" s="97">
        <v>69</v>
      </c>
      <c r="J1876" s="97">
        <v>1</v>
      </c>
      <c r="K1876" s="97">
        <f t="shared" si="29"/>
        <v>69</v>
      </c>
      <c r="L1876" s="97">
        <f>_xlfn.XLOOKUP(E1876,Emp_Data!$B$2:$B$9,Emp_Data!$A$2:$A$9)</f>
        <v>8</v>
      </c>
    </row>
    <row r="1877" spans="1:12">
      <c r="A1877" s="99">
        <v>1358</v>
      </c>
      <c r="B1877" s="101">
        <v>44631</v>
      </c>
      <c r="C1877" s="96">
        <v>13</v>
      </c>
      <c r="D1877" s="104" t="s">
        <v>23</v>
      </c>
      <c r="E1877" s="97" t="s">
        <v>24</v>
      </c>
      <c r="F1877" s="97" t="str">
        <f>VLOOKUP(E1877,Emp_Data!$B$2:$C$9,2,)</f>
        <v>Steve</v>
      </c>
      <c r="G1877" s="97" t="s">
        <v>19</v>
      </c>
      <c r="H1877" s="97" t="s">
        <v>43</v>
      </c>
      <c r="I1877" s="97">
        <v>69</v>
      </c>
      <c r="J1877" s="97">
        <v>2</v>
      </c>
      <c r="K1877" s="97">
        <f t="shared" si="29"/>
        <v>138</v>
      </c>
      <c r="L1877" s="97">
        <f>_xlfn.XLOOKUP(E1877,Emp_Data!$B$2:$B$9,Emp_Data!$A$2:$A$9)</f>
        <v>6</v>
      </c>
    </row>
    <row r="1878" spans="1:12">
      <c r="A1878" s="99">
        <v>1363</v>
      </c>
      <c r="B1878" s="101">
        <v>44631</v>
      </c>
      <c r="C1878" s="96">
        <v>2</v>
      </c>
      <c r="D1878" s="104" t="s">
        <v>35</v>
      </c>
      <c r="E1878" s="97" t="s">
        <v>14</v>
      </c>
      <c r="F1878" s="97" t="str">
        <f>VLOOKUP(E1878,Emp_Data!$B$2:$C$9,2,)</f>
        <v>Jeff</v>
      </c>
      <c r="G1878" s="97" t="s">
        <v>15</v>
      </c>
      <c r="H1878" s="97" t="s">
        <v>43</v>
      </c>
      <c r="I1878" s="97">
        <v>69</v>
      </c>
      <c r="J1878" s="97">
        <v>4</v>
      </c>
      <c r="K1878" s="97">
        <f t="shared" si="29"/>
        <v>276</v>
      </c>
      <c r="L1878" s="97">
        <f>_xlfn.XLOOKUP(E1878,Emp_Data!$B$2:$B$9,Emp_Data!$A$2:$A$9)</f>
        <v>2</v>
      </c>
    </row>
    <row r="1879" spans="1:12">
      <c r="A1879" s="99">
        <v>1374</v>
      </c>
      <c r="B1879" s="101">
        <v>44636</v>
      </c>
      <c r="C1879" s="96">
        <v>13</v>
      </c>
      <c r="D1879" s="104" t="s">
        <v>23</v>
      </c>
      <c r="E1879" s="97" t="s">
        <v>24</v>
      </c>
      <c r="F1879" s="97" t="str">
        <f>VLOOKUP(E1879,Emp_Data!$B$2:$C$9,2,)</f>
        <v>Steve</v>
      </c>
      <c r="G1879" s="97" t="s">
        <v>19</v>
      </c>
      <c r="H1879" s="97" t="s">
        <v>43</v>
      </c>
      <c r="I1879" s="97">
        <v>69</v>
      </c>
      <c r="J1879" s="97">
        <v>9</v>
      </c>
      <c r="K1879" s="97">
        <f t="shared" si="29"/>
        <v>621</v>
      </c>
      <c r="L1879" s="97">
        <f>_xlfn.XLOOKUP(E1879,Emp_Data!$B$2:$B$9,Emp_Data!$A$2:$A$9)</f>
        <v>6</v>
      </c>
    </row>
    <row r="1880" spans="1:12">
      <c r="A1880" s="99">
        <v>1382</v>
      </c>
      <c r="B1880" s="101">
        <v>44639</v>
      </c>
      <c r="C1880" s="96">
        <v>5</v>
      </c>
      <c r="D1880" s="104" t="s">
        <v>16</v>
      </c>
      <c r="E1880" s="97" t="s">
        <v>21</v>
      </c>
      <c r="F1880" s="97" t="str">
        <f>VLOOKUP(E1880,Emp_Data!$B$2:$C$9,2,)</f>
        <v>Sara</v>
      </c>
      <c r="G1880" s="97" t="s">
        <v>15</v>
      </c>
      <c r="H1880" s="97" t="s">
        <v>43</v>
      </c>
      <c r="I1880" s="97">
        <v>69</v>
      </c>
      <c r="J1880" s="97">
        <v>1</v>
      </c>
      <c r="K1880" s="97">
        <f t="shared" si="29"/>
        <v>69</v>
      </c>
      <c r="L1880" s="97">
        <f>_xlfn.XLOOKUP(E1880,Emp_Data!$B$2:$B$9,Emp_Data!$A$2:$A$9)</f>
        <v>2</v>
      </c>
    </row>
    <row r="1881" spans="1:12">
      <c r="A1881" s="99">
        <v>1389</v>
      </c>
      <c r="B1881" s="101">
        <v>44639</v>
      </c>
      <c r="C1881" s="96">
        <v>1</v>
      </c>
      <c r="D1881" s="104" t="s">
        <v>31</v>
      </c>
      <c r="E1881" s="97" t="s">
        <v>14</v>
      </c>
      <c r="F1881" s="97" t="str">
        <f>VLOOKUP(E1881,Emp_Data!$B$2:$C$9,2,)</f>
        <v>Jeff</v>
      </c>
      <c r="G1881" s="97" t="s">
        <v>15</v>
      </c>
      <c r="H1881" s="97" t="s">
        <v>43</v>
      </c>
      <c r="I1881" s="97">
        <v>69</v>
      </c>
      <c r="J1881" s="97">
        <v>9</v>
      </c>
      <c r="K1881" s="97">
        <f t="shared" si="29"/>
        <v>621</v>
      </c>
      <c r="L1881" s="97">
        <f>_xlfn.XLOOKUP(E1881,Emp_Data!$B$2:$B$9,Emp_Data!$A$2:$A$9)</f>
        <v>2</v>
      </c>
    </row>
    <row r="1882" spans="1:12">
      <c r="A1882" s="99">
        <v>1393</v>
      </c>
      <c r="B1882" s="101">
        <v>44640</v>
      </c>
      <c r="C1882" s="96">
        <v>18</v>
      </c>
      <c r="D1882" s="104" t="s">
        <v>30</v>
      </c>
      <c r="E1882" s="97" t="s">
        <v>8</v>
      </c>
      <c r="F1882" s="97" t="str">
        <f>VLOOKUP(E1882,Emp_Data!$B$2:$C$9,2,)</f>
        <v>Jeff</v>
      </c>
      <c r="G1882" s="97" t="s">
        <v>9</v>
      </c>
      <c r="H1882" s="97" t="s">
        <v>43</v>
      </c>
      <c r="I1882" s="97">
        <v>69</v>
      </c>
      <c r="J1882" s="97">
        <v>3</v>
      </c>
      <c r="K1882" s="97">
        <f t="shared" si="29"/>
        <v>207</v>
      </c>
      <c r="L1882" s="97">
        <f>_xlfn.XLOOKUP(E1882,Emp_Data!$B$2:$B$9,Emp_Data!$A$2:$A$9)</f>
        <v>3</v>
      </c>
    </row>
    <row r="1883" spans="1:12">
      <c r="A1883" s="99">
        <v>1402</v>
      </c>
      <c r="B1883" s="101">
        <v>44643</v>
      </c>
      <c r="C1883" s="96">
        <v>8</v>
      </c>
      <c r="D1883" s="104" t="s">
        <v>36</v>
      </c>
      <c r="E1883" s="97" t="s">
        <v>11</v>
      </c>
      <c r="F1883" s="97" t="str">
        <f>VLOOKUP(E1883,Emp_Data!$B$2:$C$9,2,)</f>
        <v>Steve</v>
      </c>
      <c r="G1883" s="97" t="s">
        <v>12</v>
      </c>
      <c r="H1883" s="97" t="s">
        <v>43</v>
      </c>
      <c r="I1883" s="97">
        <v>69</v>
      </c>
      <c r="J1883" s="97">
        <v>8</v>
      </c>
      <c r="K1883" s="97">
        <f t="shared" si="29"/>
        <v>552</v>
      </c>
      <c r="L1883" s="97">
        <f>_xlfn.XLOOKUP(E1883,Emp_Data!$B$2:$B$9,Emp_Data!$A$2:$A$9)</f>
        <v>4</v>
      </c>
    </row>
    <row r="1884" spans="1:12">
      <c r="A1884" s="99">
        <v>1433</v>
      </c>
      <c r="B1884" s="101">
        <v>44655</v>
      </c>
      <c r="C1884" s="96">
        <v>5</v>
      </c>
      <c r="D1884" s="104" t="s">
        <v>16</v>
      </c>
      <c r="E1884" s="97" t="s">
        <v>21</v>
      </c>
      <c r="F1884" s="97" t="str">
        <f>VLOOKUP(E1884,Emp_Data!$B$2:$C$9,2,)</f>
        <v>Sara</v>
      </c>
      <c r="G1884" s="97" t="s">
        <v>15</v>
      </c>
      <c r="H1884" s="97" t="s">
        <v>43</v>
      </c>
      <c r="I1884" s="97">
        <v>69</v>
      </c>
      <c r="J1884" s="97">
        <v>5</v>
      </c>
      <c r="K1884" s="97">
        <f t="shared" si="29"/>
        <v>345</v>
      </c>
      <c r="L1884" s="97">
        <f>_xlfn.XLOOKUP(E1884,Emp_Data!$B$2:$B$9,Emp_Data!$A$2:$A$9)</f>
        <v>2</v>
      </c>
    </row>
    <row r="1885" spans="1:12">
      <c r="A1885" s="99">
        <v>1436</v>
      </c>
      <c r="B1885" s="101">
        <v>44655</v>
      </c>
      <c r="C1885" s="96">
        <v>20</v>
      </c>
      <c r="D1885" s="104" t="s">
        <v>7</v>
      </c>
      <c r="E1885" s="97" t="s">
        <v>25</v>
      </c>
      <c r="F1885" s="97" t="str">
        <f>VLOOKUP(E1885,Emp_Data!$B$2:$C$9,2,)</f>
        <v>Jeff</v>
      </c>
      <c r="G1885" s="97" t="s">
        <v>9</v>
      </c>
      <c r="H1885" s="97" t="s">
        <v>43</v>
      </c>
      <c r="I1885" s="97">
        <v>69</v>
      </c>
      <c r="J1885" s="97">
        <v>9</v>
      </c>
      <c r="K1885" s="97">
        <f t="shared" si="29"/>
        <v>621</v>
      </c>
      <c r="L1885" s="97">
        <f>_xlfn.XLOOKUP(E1885,Emp_Data!$B$2:$B$9,Emp_Data!$A$2:$A$9)</f>
        <v>5</v>
      </c>
    </row>
    <row r="1886" spans="1:12">
      <c r="A1886" s="99">
        <v>1438</v>
      </c>
      <c r="B1886" s="101">
        <v>44656</v>
      </c>
      <c r="C1886" s="96">
        <v>4</v>
      </c>
      <c r="D1886" s="104" t="s">
        <v>13</v>
      </c>
      <c r="E1886" s="97" t="s">
        <v>21</v>
      </c>
      <c r="F1886" s="97" t="str">
        <f>VLOOKUP(E1886,Emp_Data!$B$2:$C$9,2,)</f>
        <v>Sara</v>
      </c>
      <c r="G1886" s="97" t="s">
        <v>15</v>
      </c>
      <c r="H1886" s="97" t="s">
        <v>43</v>
      </c>
      <c r="I1886" s="97">
        <v>69</v>
      </c>
      <c r="J1886" s="97">
        <v>7</v>
      </c>
      <c r="K1886" s="97">
        <f t="shared" si="29"/>
        <v>483</v>
      </c>
      <c r="L1886" s="97">
        <f>_xlfn.XLOOKUP(E1886,Emp_Data!$B$2:$B$9,Emp_Data!$A$2:$A$9)</f>
        <v>2</v>
      </c>
    </row>
    <row r="1887" spans="1:12">
      <c r="A1887" s="99">
        <v>1442</v>
      </c>
      <c r="B1887" s="101">
        <v>44656</v>
      </c>
      <c r="C1887" s="96">
        <v>15</v>
      </c>
      <c r="D1887" s="104" t="s">
        <v>29</v>
      </c>
      <c r="E1887" s="97" t="s">
        <v>18</v>
      </c>
      <c r="F1887" s="97" t="str">
        <f>VLOOKUP(E1887,Emp_Data!$B$2:$C$9,2,)</f>
        <v>Sara</v>
      </c>
      <c r="G1887" s="97" t="s">
        <v>19</v>
      </c>
      <c r="H1887" s="97" t="s">
        <v>43</v>
      </c>
      <c r="I1887" s="97">
        <v>69</v>
      </c>
      <c r="J1887" s="97">
        <v>1</v>
      </c>
      <c r="K1887" s="97">
        <f t="shared" si="29"/>
        <v>69</v>
      </c>
      <c r="L1887" s="97">
        <f>_xlfn.XLOOKUP(E1887,Emp_Data!$B$2:$B$9,Emp_Data!$A$2:$A$9)</f>
        <v>5</v>
      </c>
    </row>
    <row r="1888" spans="1:12">
      <c r="A1888" s="99">
        <v>1447</v>
      </c>
      <c r="B1888" s="101">
        <v>44658</v>
      </c>
      <c r="C1888" s="96">
        <v>7</v>
      </c>
      <c r="D1888" s="104" t="s">
        <v>28</v>
      </c>
      <c r="E1888" s="97" t="s">
        <v>27</v>
      </c>
      <c r="F1888" s="97" t="str">
        <f>VLOOKUP(E1888,Emp_Data!$B$2:$C$9,2,)</f>
        <v>Philip</v>
      </c>
      <c r="G1888" s="97" t="s">
        <v>12</v>
      </c>
      <c r="H1888" s="97" t="s">
        <v>43</v>
      </c>
      <c r="I1888" s="97">
        <v>69</v>
      </c>
      <c r="J1888" s="97">
        <v>6</v>
      </c>
      <c r="K1888" s="97">
        <f t="shared" si="29"/>
        <v>414</v>
      </c>
      <c r="L1888" s="97">
        <f>_xlfn.XLOOKUP(E1888,Emp_Data!$B$2:$B$9,Emp_Data!$A$2:$A$9)</f>
        <v>8</v>
      </c>
    </row>
    <row r="1889" spans="1:12">
      <c r="A1889" s="99">
        <v>1453</v>
      </c>
      <c r="B1889" s="101">
        <v>44660</v>
      </c>
      <c r="C1889" s="96">
        <v>9</v>
      </c>
      <c r="D1889" s="104" t="s">
        <v>26</v>
      </c>
      <c r="E1889" s="97" t="s">
        <v>27</v>
      </c>
      <c r="F1889" s="97" t="str">
        <f>VLOOKUP(E1889,Emp_Data!$B$2:$C$9,2,)</f>
        <v>Philip</v>
      </c>
      <c r="G1889" s="97" t="s">
        <v>12</v>
      </c>
      <c r="H1889" s="97" t="s">
        <v>43</v>
      </c>
      <c r="I1889" s="97">
        <v>69</v>
      </c>
      <c r="J1889" s="97">
        <v>6</v>
      </c>
      <c r="K1889" s="97">
        <f t="shared" si="29"/>
        <v>414</v>
      </c>
      <c r="L1889" s="97">
        <f>_xlfn.XLOOKUP(E1889,Emp_Data!$B$2:$B$9,Emp_Data!$A$2:$A$9)</f>
        <v>8</v>
      </c>
    </row>
    <row r="1890" spans="1:12">
      <c r="A1890" s="99">
        <v>1457</v>
      </c>
      <c r="B1890" s="101">
        <v>44660</v>
      </c>
      <c r="C1890" s="96">
        <v>17</v>
      </c>
      <c r="D1890" s="104" t="s">
        <v>32</v>
      </c>
      <c r="E1890" s="97" t="s">
        <v>8</v>
      </c>
      <c r="F1890" s="97" t="str">
        <f>VLOOKUP(E1890,Emp_Data!$B$2:$C$9,2,)</f>
        <v>Jeff</v>
      </c>
      <c r="G1890" s="97" t="s">
        <v>9</v>
      </c>
      <c r="H1890" s="97" t="s">
        <v>43</v>
      </c>
      <c r="I1890" s="97">
        <v>69</v>
      </c>
      <c r="J1890" s="97">
        <v>5</v>
      </c>
      <c r="K1890" s="97">
        <f t="shared" si="29"/>
        <v>345</v>
      </c>
      <c r="L1890" s="97">
        <f>_xlfn.XLOOKUP(E1890,Emp_Data!$B$2:$B$9,Emp_Data!$A$2:$A$9)</f>
        <v>3</v>
      </c>
    </row>
    <row r="1891" spans="1:12">
      <c r="A1891" s="99">
        <v>1458</v>
      </c>
      <c r="B1891" s="101">
        <v>44661</v>
      </c>
      <c r="C1891" s="96">
        <v>15</v>
      </c>
      <c r="D1891" s="104" t="s">
        <v>29</v>
      </c>
      <c r="E1891" s="97" t="s">
        <v>18</v>
      </c>
      <c r="F1891" s="97" t="str">
        <f>VLOOKUP(E1891,Emp_Data!$B$2:$C$9,2,)</f>
        <v>Sara</v>
      </c>
      <c r="G1891" s="97" t="s">
        <v>19</v>
      </c>
      <c r="H1891" s="97" t="s">
        <v>43</v>
      </c>
      <c r="I1891" s="97">
        <v>69</v>
      </c>
      <c r="J1891" s="97">
        <v>0</v>
      </c>
      <c r="K1891" s="97">
        <f t="shared" si="29"/>
        <v>0</v>
      </c>
      <c r="L1891" s="97">
        <f>_xlfn.XLOOKUP(E1891,Emp_Data!$B$2:$B$9,Emp_Data!$A$2:$A$9)</f>
        <v>5</v>
      </c>
    </row>
    <row r="1892" spans="1:12">
      <c r="A1892" s="99">
        <v>1469</v>
      </c>
      <c r="B1892" s="101">
        <v>44667</v>
      </c>
      <c r="C1892" s="96">
        <v>12</v>
      </c>
      <c r="D1892" s="104" t="s">
        <v>17</v>
      </c>
      <c r="E1892" s="97" t="s">
        <v>24</v>
      </c>
      <c r="F1892" s="97" t="str">
        <f>VLOOKUP(E1892,Emp_Data!$B$2:$C$9,2,)</f>
        <v>Steve</v>
      </c>
      <c r="G1892" s="97" t="s">
        <v>19</v>
      </c>
      <c r="H1892" s="97" t="s">
        <v>43</v>
      </c>
      <c r="I1892" s="97">
        <v>69</v>
      </c>
      <c r="J1892" s="97">
        <v>2</v>
      </c>
      <c r="K1892" s="97">
        <f t="shared" si="29"/>
        <v>138</v>
      </c>
      <c r="L1892" s="97">
        <f>_xlfn.XLOOKUP(E1892,Emp_Data!$B$2:$B$9,Emp_Data!$A$2:$A$9)</f>
        <v>6</v>
      </c>
    </row>
    <row r="1893" spans="1:12">
      <c r="A1893" s="99">
        <v>1470</v>
      </c>
      <c r="B1893" s="101">
        <v>44668</v>
      </c>
      <c r="C1893" s="96">
        <v>1</v>
      </c>
      <c r="D1893" s="104" t="s">
        <v>31</v>
      </c>
      <c r="E1893" s="97" t="s">
        <v>14</v>
      </c>
      <c r="F1893" s="97" t="str">
        <f>VLOOKUP(E1893,Emp_Data!$B$2:$C$9,2,)</f>
        <v>Jeff</v>
      </c>
      <c r="G1893" s="97" t="s">
        <v>15</v>
      </c>
      <c r="H1893" s="97" t="s">
        <v>43</v>
      </c>
      <c r="I1893" s="97">
        <v>69</v>
      </c>
      <c r="J1893" s="97">
        <v>0</v>
      </c>
      <c r="K1893" s="97">
        <f t="shared" si="29"/>
        <v>0</v>
      </c>
      <c r="L1893" s="97">
        <f>_xlfn.XLOOKUP(E1893,Emp_Data!$B$2:$B$9,Emp_Data!$A$2:$A$9)</f>
        <v>2</v>
      </c>
    </row>
    <row r="1894" spans="1:12">
      <c r="A1894" s="99">
        <v>1472</v>
      </c>
      <c r="B1894" s="101">
        <v>44669</v>
      </c>
      <c r="C1894" s="96">
        <v>19</v>
      </c>
      <c r="D1894" s="104" t="s">
        <v>22</v>
      </c>
      <c r="E1894" s="97" t="s">
        <v>8</v>
      </c>
      <c r="F1894" s="97" t="str">
        <f>VLOOKUP(E1894,Emp_Data!$B$2:$C$9,2,)</f>
        <v>Jeff</v>
      </c>
      <c r="G1894" s="97" t="s">
        <v>9</v>
      </c>
      <c r="H1894" s="97" t="s">
        <v>43</v>
      </c>
      <c r="I1894" s="97">
        <v>69</v>
      </c>
      <c r="J1894" s="97">
        <v>0</v>
      </c>
      <c r="K1894" s="97">
        <f t="shared" si="29"/>
        <v>0</v>
      </c>
      <c r="L1894" s="97">
        <f>_xlfn.XLOOKUP(E1894,Emp_Data!$B$2:$B$9,Emp_Data!$A$2:$A$9)</f>
        <v>3</v>
      </c>
    </row>
    <row r="1895" spans="1:12">
      <c r="A1895" s="99">
        <v>1482</v>
      </c>
      <c r="B1895" s="101">
        <v>44671</v>
      </c>
      <c r="C1895" s="96">
        <v>4</v>
      </c>
      <c r="D1895" s="104" t="s">
        <v>13</v>
      </c>
      <c r="E1895" s="97" t="s">
        <v>14</v>
      </c>
      <c r="F1895" s="97" t="str">
        <f>VLOOKUP(E1895,Emp_Data!$B$2:$C$9,2,)</f>
        <v>Jeff</v>
      </c>
      <c r="G1895" s="97" t="s">
        <v>15</v>
      </c>
      <c r="H1895" s="97" t="s">
        <v>43</v>
      </c>
      <c r="I1895" s="97">
        <v>69</v>
      </c>
      <c r="J1895" s="97">
        <v>0</v>
      </c>
      <c r="K1895" s="97">
        <f t="shared" si="29"/>
        <v>0</v>
      </c>
      <c r="L1895" s="97">
        <f>_xlfn.XLOOKUP(E1895,Emp_Data!$B$2:$B$9,Emp_Data!$A$2:$A$9)</f>
        <v>2</v>
      </c>
    </row>
    <row r="1896" spans="1:12">
      <c r="A1896" s="99">
        <v>1484</v>
      </c>
      <c r="B1896" s="101">
        <v>44672</v>
      </c>
      <c r="C1896" s="96">
        <v>18</v>
      </c>
      <c r="D1896" s="104" t="s">
        <v>30</v>
      </c>
      <c r="E1896" s="97" t="s">
        <v>8</v>
      </c>
      <c r="F1896" s="97" t="str">
        <f>VLOOKUP(E1896,Emp_Data!$B$2:$C$9,2,)</f>
        <v>Jeff</v>
      </c>
      <c r="G1896" s="97" t="s">
        <v>9</v>
      </c>
      <c r="H1896" s="97" t="s">
        <v>43</v>
      </c>
      <c r="I1896" s="97">
        <v>69</v>
      </c>
      <c r="J1896" s="97">
        <v>2</v>
      </c>
      <c r="K1896" s="97">
        <f t="shared" si="29"/>
        <v>138</v>
      </c>
      <c r="L1896" s="97">
        <f>_xlfn.XLOOKUP(E1896,Emp_Data!$B$2:$B$9,Emp_Data!$A$2:$A$9)</f>
        <v>3</v>
      </c>
    </row>
    <row r="1897" spans="1:12">
      <c r="A1897" s="99">
        <v>1486</v>
      </c>
      <c r="B1897" s="101">
        <v>44673</v>
      </c>
      <c r="C1897" s="96">
        <v>1</v>
      </c>
      <c r="D1897" s="104" t="s">
        <v>31</v>
      </c>
      <c r="E1897" s="97" t="s">
        <v>21</v>
      </c>
      <c r="F1897" s="97" t="str">
        <f>VLOOKUP(E1897,Emp_Data!$B$2:$C$9,2,)</f>
        <v>Sara</v>
      </c>
      <c r="G1897" s="97" t="s">
        <v>15</v>
      </c>
      <c r="H1897" s="97" t="s">
        <v>43</v>
      </c>
      <c r="I1897" s="97">
        <v>69</v>
      </c>
      <c r="J1897" s="97">
        <v>5</v>
      </c>
      <c r="K1897" s="97">
        <f t="shared" si="29"/>
        <v>345</v>
      </c>
      <c r="L1897" s="97">
        <f>_xlfn.XLOOKUP(E1897,Emp_Data!$B$2:$B$9,Emp_Data!$A$2:$A$9)</f>
        <v>2</v>
      </c>
    </row>
    <row r="1898" spans="1:12">
      <c r="A1898" s="99">
        <v>1489</v>
      </c>
      <c r="B1898" s="101">
        <v>44674</v>
      </c>
      <c r="C1898" s="96">
        <v>6</v>
      </c>
      <c r="D1898" s="104" t="s">
        <v>10</v>
      </c>
      <c r="E1898" s="97" t="s">
        <v>11</v>
      </c>
      <c r="F1898" s="97" t="str">
        <f>VLOOKUP(E1898,Emp_Data!$B$2:$C$9,2,)</f>
        <v>Steve</v>
      </c>
      <c r="G1898" s="97" t="s">
        <v>12</v>
      </c>
      <c r="H1898" s="97" t="s">
        <v>43</v>
      </c>
      <c r="I1898" s="97">
        <v>69</v>
      </c>
      <c r="J1898" s="97">
        <v>4</v>
      </c>
      <c r="K1898" s="97">
        <f t="shared" si="29"/>
        <v>276</v>
      </c>
      <c r="L1898" s="97">
        <f>_xlfn.XLOOKUP(E1898,Emp_Data!$B$2:$B$9,Emp_Data!$A$2:$A$9)</f>
        <v>4</v>
      </c>
    </row>
    <row r="1899" spans="1:12">
      <c r="A1899" s="99">
        <v>1501</v>
      </c>
      <c r="B1899" s="101">
        <v>44679</v>
      </c>
      <c r="C1899" s="96">
        <v>8</v>
      </c>
      <c r="D1899" s="104" t="s">
        <v>36</v>
      </c>
      <c r="E1899" s="97" t="s">
        <v>27</v>
      </c>
      <c r="F1899" s="97" t="str">
        <f>VLOOKUP(E1899,Emp_Data!$B$2:$C$9,2,)</f>
        <v>Philip</v>
      </c>
      <c r="G1899" s="97" t="s">
        <v>12</v>
      </c>
      <c r="H1899" s="97" t="s">
        <v>43</v>
      </c>
      <c r="I1899" s="97">
        <v>69</v>
      </c>
      <c r="J1899" s="97">
        <v>8</v>
      </c>
      <c r="K1899" s="97">
        <f t="shared" si="29"/>
        <v>552</v>
      </c>
      <c r="L1899" s="97">
        <f>_xlfn.XLOOKUP(E1899,Emp_Data!$B$2:$B$9,Emp_Data!$A$2:$A$9)</f>
        <v>8</v>
      </c>
    </row>
    <row r="1900" spans="1:12">
      <c r="A1900" s="99">
        <v>1506</v>
      </c>
      <c r="B1900" s="101">
        <v>44681</v>
      </c>
      <c r="C1900" s="96">
        <v>20</v>
      </c>
      <c r="D1900" s="104" t="s">
        <v>7</v>
      </c>
      <c r="E1900" s="97" t="s">
        <v>25</v>
      </c>
      <c r="F1900" s="97" t="str">
        <f>VLOOKUP(E1900,Emp_Data!$B$2:$C$9,2,)</f>
        <v>Jeff</v>
      </c>
      <c r="G1900" s="97" t="s">
        <v>9</v>
      </c>
      <c r="H1900" s="97" t="s">
        <v>43</v>
      </c>
      <c r="I1900" s="97">
        <v>69</v>
      </c>
      <c r="J1900" s="97">
        <v>4</v>
      </c>
      <c r="K1900" s="97">
        <f t="shared" si="29"/>
        <v>276</v>
      </c>
      <c r="L1900" s="97">
        <f>_xlfn.XLOOKUP(E1900,Emp_Data!$B$2:$B$9,Emp_Data!$A$2:$A$9)</f>
        <v>5</v>
      </c>
    </row>
    <row r="1901" spans="1:12">
      <c r="A1901" s="99">
        <v>1510</v>
      </c>
      <c r="B1901" s="101">
        <v>44683</v>
      </c>
      <c r="C1901" s="96">
        <v>1</v>
      </c>
      <c r="D1901" s="104" t="s">
        <v>31</v>
      </c>
      <c r="E1901" s="97" t="s">
        <v>14</v>
      </c>
      <c r="F1901" s="97" t="str">
        <f>VLOOKUP(E1901,Emp_Data!$B$2:$C$9,2,)</f>
        <v>Jeff</v>
      </c>
      <c r="G1901" s="97" t="s">
        <v>15</v>
      </c>
      <c r="H1901" s="97" t="s">
        <v>43</v>
      </c>
      <c r="I1901" s="97">
        <v>69</v>
      </c>
      <c r="J1901" s="97">
        <v>9</v>
      </c>
      <c r="K1901" s="97">
        <f t="shared" si="29"/>
        <v>621</v>
      </c>
      <c r="L1901" s="97">
        <f>_xlfn.XLOOKUP(E1901,Emp_Data!$B$2:$B$9,Emp_Data!$A$2:$A$9)</f>
        <v>2</v>
      </c>
    </row>
    <row r="1902" spans="1:12">
      <c r="A1902" s="99">
        <v>1517</v>
      </c>
      <c r="B1902" s="101">
        <v>44684</v>
      </c>
      <c r="C1902" s="96">
        <v>17</v>
      </c>
      <c r="D1902" s="104" t="s">
        <v>32</v>
      </c>
      <c r="E1902" s="97" t="s">
        <v>8</v>
      </c>
      <c r="F1902" s="97" t="str">
        <f>VLOOKUP(E1902,Emp_Data!$B$2:$C$9,2,)</f>
        <v>Jeff</v>
      </c>
      <c r="G1902" s="97" t="s">
        <v>9</v>
      </c>
      <c r="H1902" s="97" t="s">
        <v>43</v>
      </c>
      <c r="I1902" s="97">
        <v>69</v>
      </c>
      <c r="J1902" s="97">
        <v>5</v>
      </c>
      <c r="K1902" s="97">
        <f t="shared" si="29"/>
        <v>345</v>
      </c>
      <c r="L1902" s="97">
        <f>_xlfn.XLOOKUP(E1902,Emp_Data!$B$2:$B$9,Emp_Data!$A$2:$A$9)</f>
        <v>3</v>
      </c>
    </row>
    <row r="1903" spans="1:12">
      <c r="A1903" s="99">
        <v>1518</v>
      </c>
      <c r="B1903" s="101">
        <v>44684</v>
      </c>
      <c r="C1903" s="96">
        <v>3</v>
      </c>
      <c r="D1903" s="104" t="s">
        <v>20</v>
      </c>
      <c r="E1903" s="97" t="s">
        <v>14</v>
      </c>
      <c r="F1903" s="97" t="str">
        <f>VLOOKUP(E1903,Emp_Data!$B$2:$C$9,2,)</f>
        <v>Jeff</v>
      </c>
      <c r="G1903" s="97" t="s">
        <v>15</v>
      </c>
      <c r="H1903" s="97" t="s">
        <v>43</v>
      </c>
      <c r="I1903" s="97">
        <v>69</v>
      </c>
      <c r="J1903" s="97">
        <v>8</v>
      </c>
      <c r="K1903" s="97">
        <f t="shared" si="29"/>
        <v>552</v>
      </c>
      <c r="L1903" s="97">
        <f>_xlfn.XLOOKUP(E1903,Emp_Data!$B$2:$B$9,Emp_Data!$A$2:$A$9)</f>
        <v>2</v>
      </c>
    </row>
    <row r="1904" spans="1:12">
      <c r="A1904" s="99">
        <v>1519</v>
      </c>
      <c r="B1904" s="101">
        <v>44685</v>
      </c>
      <c r="C1904" s="96">
        <v>14</v>
      </c>
      <c r="D1904" s="104" t="s">
        <v>33</v>
      </c>
      <c r="E1904" s="97" t="s">
        <v>24</v>
      </c>
      <c r="F1904" s="97" t="str">
        <f>VLOOKUP(E1904,Emp_Data!$B$2:$C$9,2,)</f>
        <v>Steve</v>
      </c>
      <c r="G1904" s="97" t="s">
        <v>19</v>
      </c>
      <c r="H1904" s="97" t="s">
        <v>43</v>
      </c>
      <c r="I1904" s="97">
        <v>69</v>
      </c>
      <c r="J1904" s="97">
        <v>9</v>
      </c>
      <c r="K1904" s="97">
        <f t="shared" si="29"/>
        <v>621</v>
      </c>
      <c r="L1904" s="97">
        <f>_xlfn.XLOOKUP(E1904,Emp_Data!$B$2:$B$9,Emp_Data!$A$2:$A$9)</f>
        <v>6</v>
      </c>
    </row>
    <row r="1905" spans="1:12">
      <c r="A1905" s="99">
        <v>1522</v>
      </c>
      <c r="B1905" s="101">
        <v>44687</v>
      </c>
      <c r="C1905" s="96">
        <v>15</v>
      </c>
      <c r="D1905" s="104" t="s">
        <v>29</v>
      </c>
      <c r="E1905" s="97" t="s">
        <v>24</v>
      </c>
      <c r="F1905" s="97" t="str">
        <f>VLOOKUP(E1905,Emp_Data!$B$2:$C$9,2,)</f>
        <v>Steve</v>
      </c>
      <c r="G1905" s="97" t="s">
        <v>19</v>
      </c>
      <c r="H1905" s="97" t="s">
        <v>43</v>
      </c>
      <c r="I1905" s="97">
        <v>69</v>
      </c>
      <c r="J1905" s="97">
        <v>9</v>
      </c>
      <c r="K1905" s="97">
        <f t="shared" si="29"/>
        <v>621</v>
      </c>
      <c r="L1905" s="97">
        <f>_xlfn.XLOOKUP(E1905,Emp_Data!$B$2:$B$9,Emp_Data!$A$2:$A$9)</f>
        <v>6</v>
      </c>
    </row>
    <row r="1906" spans="1:12">
      <c r="A1906" s="99">
        <v>1525</v>
      </c>
      <c r="B1906" s="101">
        <v>44688</v>
      </c>
      <c r="C1906" s="96">
        <v>3</v>
      </c>
      <c r="D1906" s="104" t="s">
        <v>20</v>
      </c>
      <c r="E1906" s="97" t="s">
        <v>21</v>
      </c>
      <c r="F1906" s="97" t="str">
        <f>VLOOKUP(E1906,Emp_Data!$B$2:$C$9,2,)</f>
        <v>Sara</v>
      </c>
      <c r="G1906" s="97" t="s">
        <v>15</v>
      </c>
      <c r="H1906" s="97" t="s">
        <v>43</v>
      </c>
      <c r="I1906" s="97">
        <v>69</v>
      </c>
      <c r="J1906" s="97">
        <v>6</v>
      </c>
      <c r="K1906" s="97">
        <f t="shared" si="29"/>
        <v>414</v>
      </c>
      <c r="L1906" s="97">
        <f>_xlfn.XLOOKUP(E1906,Emp_Data!$B$2:$B$9,Emp_Data!$A$2:$A$9)</f>
        <v>2</v>
      </c>
    </row>
    <row r="1907" spans="1:12">
      <c r="A1907" s="99">
        <v>1533</v>
      </c>
      <c r="B1907" s="101">
        <v>44690</v>
      </c>
      <c r="C1907" s="96">
        <v>18</v>
      </c>
      <c r="D1907" s="104" t="s">
        <v>30</v>
      </c>
      <c r="E1907" s="97" t="s">
        <v>8</v>
      </c>
      <c r="F1907" s="97" t="str">
        <f>VLOOKUP(E1907,Emp_Data!$B$2:$C$9,2,)</f>
        <v>Jeff</v>
      </c>
      <c r="G1907" s="97" t="s">
        <v>9</v>
      </c>
      <c r="H1907" s="97" t="s">
        <v>43</v>
      </c>
      <c r="I1907" s="97">
        <v>69</v>
      </c>
      <c r="J1907" s="97">
        <v>4</v>
      </c>
      <c r="K1907" s="97">
        <f t="shared" si="29"/>
        <v>276</v>
      </c>
      <c r="L1907" s="97">
        <f>_xlfn.XLOOKUP(E1907,Emp_Data!$B$2:$B$9,Emp_Data!$A$2:$A$9)</f>
        <v>3</v>
      </c>
    </row>
    <row r="1908" spans="1:12">
      <c r="A1908" s="99">
        <v>1534</v>
      </c>
      <c r="B1908" s="101">
        <v>44690</v>
      </c>
      <c r="C1908" s="96">
        <v>1</v>
      </c>
      <c r="D1908" s="104" t="s">
        <v>31</v>
      </c>
      <c r="E1908" s="97" t="s">
        <v>14</v>
      </c>
      <c r="F1908" s="97" t="str">
        <f>VLOOKUP(E1908,Emp_Data!$B$2:$C$9,2,)</f>
        <v>Jeff</v>
      </c>
      <c r="G1908" s="97" t="s">
        <v>15</v>
      </c>
      <c r="H1908" s="97" t="s">
        <v>43</v>
      </c>
      <c r="I1908" s="97">
        <v>69</v>
      </c>
      <c r="J1908" s="97">
        <v>1</v>
      </c>
      <c r="K1908" s="97">
        <f t="shared" si="29"/>
        <v>69</v>
      </c>
      <c r="L1908" s="97">
        <f>_xlfn.XLOOKUP(E1908,Emp_Data!$B$2:$B$9,Emp_Data!$A$2:$A$9)</f>
        <v>2</v>
      </c>
    </row>
    <row r="1909" spans="1:12">
      <c r="A1909" s="99">
        <v>1535</v>
      </c>
      <c r="B1909" s="101">
        <v>44690</v>
      </c>
      <c r="C1909" s="96">
        <v>7</v>
      </c>
      <c r="D1909" s="104" t="s">
        <v>28</v>
      </c>
      <c r="E1909" s="97" t="s">
        <v>27</v>
      </c>
      <c r="F1909" s="97" t="str">
        <f>VLOOKUP(E1909,Emp_Data!$B$2:$C$9,2,)</f>
        <v>Philip</v>
      </c>
      <c r="G1909" s="97" t="s">
        <v>12</v>
      </c>
      <c r="H1909" s="97" t="s">
        <v>43</v>
      </c>
      <c r="I1909" s="97">
        <v>69</v>
      </c>
      <c r="J1909" s="97">
        <v>5</v>
      </c>
      <c r="K1909" s="97">
        <f t="shared" si="29"/>
        <v>345</v>
      </c>
      <c r="L1909" s="97">
        <f>_xlfn.XLOOKUP(E1909,Emp_Data!$B$2:$B$9,Emp_Data!$A$2:$A$9)</f>
        <v>8</v>
      </c>
    </row>
    <row r="1910" spans="1:12">
      <c r="A1910" s="99">
        <v>1538</v>
      </c>
      <c r="B1910" s="101">
        <v>44691</v>
      </c>
      <c r="C1910" s="96">
        <v>3</v>
      </c>
      <c r="D1910" s="104" t="s">
        <v>20</v>
      </c>
      <c r="E1910" s="97" t="s">
        <v>21</v>
      </c>
      <c r="F1910" s="97" t="str">
        <f>VLOOKUP(E1910,Emp_Data!$B$2:$C$9,2,)</f>
        <v>Sara</v>
      </c>
      <c r="G1910" s="97" t="s">
        <v>15</v>
      </c>
      <c r="H1910" s="97" t="s">
        <v>43</v>
      </c>
      <c r="I1910" s="97">
        <v>69</v>
      </c>
      <c r="J1910" s="97">
        <v>6</v>
      </c>
      <c r="K1910" s="97">
        <f t="shared" si="29"/>
        <v>414</v>
      </c>
      <c r="L1910" s="97">
        <f>_xlfn.XLOOKUP(E1910,Emp_Data!$B$2:$B$9,Emp_Data!$A$2:$A$9)</f>
        <v>2</v>
      </c>
    </row>
    <row r="1911" spans="1:12">
      <c r="A1911" s="99">
        <v>1554</v>
      </c>
      <c r="B1911" s="101">
        <v>44698</v>
      </c>
      <c r="C1911" s="96">
        <v>13</v>
      </c>
      <c r="D1911" s="104" t="s">
        <v>23</v>
      </c>
      <c r="E1911" s="97" t="s">
        <v>24</v>
      </c>
      <c r="F1911" s="97" t="str">
        <f>VLOOKUP(E1911,Emp_Data!$B$2:$C$9,2,)</f>
        <v>Steve</v>
      </c>
      <c r="G1911" s="97" t="s">
        <v>19</v>
      </c>
      <c r="H1911" s="97" t="s">
        <v>43</v>
      </c>
      <c r="I1911" s="97">
        <v>69</v>
      </c>
      <c r="J1911" s="97">
        <v>0</v>
      </c>
      <c r="K1911" s="97">
        <f t="shared" si="29"/>
        <v>0</v>
      </c>
      <c r="L1911" s="97">
        <f>_xlfn.XLOOKUP(E1911,Emp_Data!$B$2:$B$9,Emp_Data!$A$2:$A$9)</f>
        <v>6</v>
      </c>
    </row>
    <row r="1912" spans="1:12">
      <c r="A1912" s="99">
        <v>1557</v>
      </c>
      <c r="B1912" s="101">
        <v>44698</v>
      </c>
      <c r="C1912" s="96">
        <v>1</v>
      </c>
      <c r="D1912" s="104" t="s">
        <v>31</v>
      </c>
      <c r="E1912" s="97" t="s">
        <v>21</v>
      </c>
      <c r="F1912" s="97" t="str">
        <f>VLOOKUP(E1912,Emp_Data!$B$2:$C$9,2,)</f>
        <v>Sara</v>
      </c>
      <c r="G1912" s="97" t="s">
        <v>15</v>
      </c>
      <c r="H1912" s="97" t="s">
        <v>43</v>
      </c>
      <c r="I1912" s="97">
        <v>69</v>
      </c>
      <c r="J1912" s="97">
        <v>7</v>
      </c>
      <c r="K1912" s="97">
        <f t="shared" si="29"/>
        <v>483</v>
      </c>
      <c r="L1912" s="97">
        <f>_xlfn.XLOOKUP(E1912,Emp_Data!$B$2:$B$9,Emp_Data!$A$2:$A$9)</f>
        <v>2</v>
      </c>
    </row>
    <row r="1913" spans="1:12">
      <c r="A1913" s="99">
        <v>1567</v>
      </c>
      <c r="B1913" s="101">
        <v>44702</v>
      </c>
      <c r="C1913" s="96">
        <v>17</v>
      </c>
      <c r="D1913" s="104" t="s">
        <v>32</v>
      </c>
      <c r="E1913" s="97" t="s">
        <v>8</v>
      </c>
      <c r="F1913" s="97" t="str">
        <f>VLOOKUP(E1913,Emp_Data!$B$2:$C$9,2,)</f>
        <v>Jeff</v>
      </c>
      <c r="G1913" s="97" t="s">
        <v>9</v>
      </c>
      <c r="H1913" s="97" t="s">
        <v>43</v>
      </c>
      <c r="I1913" s="97">
        <v>69</v>
      </c>
      <c r="J1913" s="97">
        <v>2</v>
      </c>
      <c r="K1913" s="97">
        <f t="shared" si="29"/>
        <v>138</v>
      </c>
      <c r="L1913" s="97">
        <f>_xlfn.XLOOKUP(E1913,Emp_Data!$B$2:$B$9,Emp_Data!$A$2:$A$9)</f>
        <v>3</v>
      </c>
    </row>
    <row r="1914" spans="1:12">
      <c r="A1914" s="99">
        <v>1569</v>
      </c>
      <c r="B1914" s="101">
        <v>44703</v>
      </c>
      <c r="C1914" s="96">
        <v>8</v>
      </c>
      <c r="D1914" s="104" t="s">
        <v>36</v>
      </c>
      <c r="E1914" s="97" t="s">
        <v>11</v>
      </c>
      <c r="F1914" s="97" t="str">
        <f>VLOOKUP(E1914,Emp_Data!$B$2:$C$9,2,)</f>
        <v>Steve</v>
      </c>
      <c r="G1914" s="97" t="s">
        <v>12</v>
      </c>
      <c r="H1914" s="97" t="s">
        <v>43</v>
      </c>
      <c r="I1914" s="97">
        <v>69</v>
      </c>
      <c r="J1914" s="97">
        <v>2</v>
      </c>
      <c r="K1914" s="97">
        <f t="shared" si="29"/>
        <v>138</v>
      </c>
      <c r="L1914" s="97">
        <f>_xlfn.XLOOKUP(E1914,Emp_Data!$B$2:$B$9,Emp_Data!$A$2:$A$9)</f>
        <v>4</v>
      </c>
    </row>
    <row r="1915" spans="1:12">
      <c r="A1915" s="99">
        <v>1570</v>
      </c>
      <c r="B1915" s="101">
        <v>44703</v>
      </c>
      <c r="C1915" s="96">
        <v>14</v>
      </c>
      <c r="D1915" s="104" t="s">
        <v>33</v>
      </c>
      <c r="E1915" s="97" t="s">
        <v>18</v>
      </c>
      <c r="F1915" s="97" t="str">
        <f>VLOOKUP(E1915,Emp_Data!$B$2:$C$9,2,)</f>
        <v>Sara</v>
      </c>
      <c r="G1915" s="97" t="s">
        <v>19</v>
      </c>
      <c r="H1915" s="97" t="s">
        <v>43</v>
      </c>
      <c r="I1915" s="97">
        <v>69</v>
      </c>
      <c r="J1915" s="97">
        <v>9</v>
      </c>
      <c r="K1915" s="97">
        <f t="shared" si="29"/>
        <v>621</v>
      </c>
      <c r="L1915" s="97">
        <f>_xlfn.XLOOKUP(E1915,Emp_Data!$B$2:$B$9,Emp_Data!$A$2:$A$9)</f>
        <v>5</v>
      </c>
    </row>
    <row r="1916" spans="1:12">
      <c r="A1916" s="99">
        <v>1578</v>
      </c>
      <c r="B1916" s="101">
        <v>44706</v>
      </c>
      <c r="C1916" s="96">
        <v>7</v>
      </c>
      <c r="D1916" s="104" t="s">
        <v>28</v>
      </c>
      <c r="E1916" s="97" t="s">
        <v>11</v>
      </c>
      <c r="F1916" s="97" t="str">
        <f>VLOOKUP(E1916,Emp_Data!$B$2:$C$9,2,)</f>
        <v>Steve</v>
      </c>
      <c r="G1916" s="97" t="s">
        <v>12</v>
      </c>
      <c r="H1916" s="97" t="s">
        <v>43</v>
      </c>
      <c r="I1916" s="97">
        <v>69</v>
      </c>
      <c r="J1916" s="97">
        <v>3</v>
      </c>
      <c r="K1916" s="97">
        <f t="shared" si="29"/>
        <v>207</v>
      </c>
      <c r="L1916" s="97">
        <f>_xlfn.XLOOKUP(E1916,Emp_Data!$B$2:$B$9,Emp_Data!$A$2:$A$9)</f>
        <v>4</v>
      </c>
    </row>
    <row r="1917" spans="1:12">
      <c r="A1917" s="99">
        <v>1581</v>
      </c>
      <c r="B1917" s="101">
        <v>44706</v>
      </c>
      <c r="C1917" s="96">
        <v>9</v>
      </c>
      <c r="D1917" s="104" t="s">
        <v>26</v>
      </c>
      <c r="E1917" s="97" t="s">
        <v>27</v>
      </c>
      <c r="F1917" s="97" t="str">
        <f>VLOOKUP(E1917,Emp_Data!$B$2:$C$9,2,)</f>
        <v>Philip</v>
      </c>
      <c r="G1917" s="97" t="s">
        <v>12</v>
      </c>
      <c r="H1917" s="97" t="s">
        <v>43</v>
      </c>
      <c r="I1917" s="97">
        <v>69</v>
      </c>
      <c r="J1917" s="97">
        <v>0</v>
      </c>
      <c r="K1917" s="97">
        <f t="shared" si="29"/>
        <v>0</v>
      </c>
      <c r="L1917" s="97">
        <f>_xlfn.XLOOKUP(E1917,Emp_Data!$B$2:$B$9,Emp_Data!$A$2:$A$9)</f>
        <v>8</v>
      </c>
    </row>
    <row r="1918" spans="1:12">
      <c r="A1918" s="99">
        <v>1589</v>
      </c>
      <c r="B1918" s="101">
        <v>44707</v>
      </c>
      <c r="C1918" s="96">
        <v>7</v>
      </c>
      <c r="D1918" s="104" t="s">
        <v>28</v>
      </c>
      <c r="E1918" s="97" t="s">
        <v>11</v>
      </c>
      <c r="F1918" s="97" t="str">
        <f>VLOOKUP(E1918,Emp_Data!$B$2:$C$9,2,)</f>
        <v>Steve</v>
      </c>
      <c r="G1918" s="97" t="s">
        <v>12</v>
      </c>
      <c r="H1918" s="97" t="s">
        <v>43</v>
      </c>
      <c r="I1918" s="97">
        <v>69</v>
      </c>
      <c r="J1918" s="97">
        <v>3</v>
      </c>
      <c r="K1918" s="97">
        <f t="shared" si="29"/>
        <v>207</v>
      </c>
      <c r="L1918" s="97">
        <f>_xlfn.XLOOKUP(E1918,Emp_Data!$B$2:$B$9,Emp_Data!$A$2:$A$9)</f>
        <v>4</v>
      </c>
    </row>
    <row r="1919" spans="1:12">
      <c r="A1919" s="99">
        <v>1591</v>
      </c>
      <c r="B1919" s="101">
        <v>44707</v>
      </c>
      <c r="C1919" s="96">
        <v>16</v>
      </c>
      <c r="D1919" s="104" t="s">
        <v>37</v>
      </c>
      <c r="E1919" s="97" t="s">
        <v>8</v>
      </c>
      <c r="F1919" s="97" t="str">
        <f>VLOOKUP(E1919,Emp_Data!$B$2:$C$9,2,)</f>
        <v>Jeff</v>
      </c>
      <c r="G1919" s="97" t="s">
        <v>9</v>
      </c>
      <c r="H1919" s="97" t="s">
        <v>43</v>
      </c>
      <c r="I1919" s="97">
        <v>69</v>
      </c>
      <c r="J1919" s="97">
        <v>5</v>
      </c>
      <c r="K1919" s="97">
        <f t="shared" si="29"/>
        <v>345</v>
      </c>
      <c r="L1919" s="97">
        <f>_xlfn.XLOOKUP(E1919,Emp_Data!$B$2:$B$9,Emp_Data!$A$2:$A$9)</f>
        <v>3</v>
      </c>
    </row>
    <row r="1920" spans="1:12">
      <c r="A1920" s="99">
        <v>1606</v>
      </c>
      <c r="B1920" s="101">
        <v>44710</v>
      </c>
      <c r="C1920" s="96">
        <v>16</v>
      </c>
      <c r="D1920" s="104" t="s">
        <v>37</v>
      </c>
      <c r="E1920" s="97" t="s">
        <v>25</v>
      </c>
      <c r="F1920" s="97" t="str">
        <f>VLOOKUP(E1920,Emp_Data!$B$2:$C$9,2,)</f>
        <v>Jeff</v>
      </c>
      <c r="G1920" s="97" t="s">
        <v>9</v>
      </c>
      <c r="H1920" s="97" t="s">
        <v>43</v>
      </c>
      <c r="I1920" s="97">
        <v>69</v>
      </c>
      <c r="J1920" s="97">
        <v>1</v>
      </c>
      <c r="K1920" s="97">
        <f t="shared" si="29"/>
        <v>69</v>
      </c>
      <c r="L1920" s="97">
        <f>_xlfn.XLOOKUP(E1920,Emp_Data!$B$2:$B$9,Emp_Data!$A$2:$A$9)</f>
        <v>5</v>
      </c>
    </row>
    <row r="1921" spans="1:12">
      <c r="A1921" s="99">
        <v>1610</v>
      </c>
      <c r="B1921" s="101">
        <v>44712</v>
      </c>
      <c r="C1921" s="96">
        <v>18</v>
      </c>
      <c r="D1921" s="104" t="s">
        <v>30</v>
      </c>
      <c r="E1921" s="97" t="s">
        <v>8</v>
      </c>
      <c r="F1921" s="97" t="str">
        <f>VLOOKUP(E1921,Emp_Data!$B$2:$C$9,2,)</f>
        <v>Jeff</v>
      </c>
      <c r="G1921" s="97" t="s">
        <v>9</v>
      </c>
      <c r="H1921" s="97" t="s">
        <v>43</v>
      </c>
      <c r="I1921" s="97">
        <v>69</v>
      </c>
      <c r="J1921" s="97">
        <v>4</v>
      </c>
      <c r="K1921" s="97">
        <f t="shared" si="29"/>
        <v>276</v>
      </c>
      <c r="L1921" s="97">
        <f>_xlfn.XLOOKUP(E1921,Emp_Data!$B$2:$B$9,Emp_Data!$A$2:$A$9)</f>
        <v>3</v>
      </c>
    </row>
    <row r="1922" spans="1:12">
      <c r="A1922" s="99">
        <v>1615</v>
      </c>
      <c r="B1922" s="101">
        <v>44714</v>
      </c>
      <c r="C1922" s="96">
        <v>3</v>
      </c>
      <c r="D1922" s="104" t="s">
        <v>20</v>
      </c>
      <c r="E1922" s="97" t="s">
        <v>21</v>
      </c>
      <c r="F1922" s="97" t="str">
        <f>VLOOKUP(E1922,Emp_Data!$B$2:$C$9,2,)</f>
        <v>Sara</v>
      </c>
      <c r="G1922" s="97" t="s">
        <v>15</v>
      </c>
      <c r="H1922" s="97" t="s">
        <v>43</v>
      </c>
      <c r="I1922" s="97">
        <v>69</v>
      </c>
      <c r="J1922" s="97">
        <v>6</v>
      </c>
      <c r="K1922" s="97">
        <f t="shared" si="29"/>
        <v>414</v>
      </c>
      <c r="L1922" s="97">
        <f>_xlfn.XLOOKUP(E1922,Emp_Data!$B$2:$B$9,Emp_Data!$A$2:$A$9)</f>
        <v>2</v>
      </c>
    </row>
    <row r="1923" spans="1:12">
      <c r="A1923" s="99">
        <v>1616</v>
      </c>
      <c r="B1923" s="101">
        <v>44714</v>
      </c>
      <c r="C1923" s="96">
        <v>10</v>
      </c>
      <c r="D1923" s="104" t="s">
        <v>34</v>
      </c>
      <c r="E1923" s="97" t="s">
        <v>11</v>
      </c>
      <c r="F1923" s="97" t="str">
        <f>VLOOKUP(E1923,Emp_Data!$B$2:$C$9,2,)</f>
        <v>Steve</v>
      </c>
      <c r="G1923" s="97" t="s">
        <v>12</v>
      </c>
      <c r="H1923" s="97" t="s">
        <v>43</v>
      </c>
      <c r="I1923" s="97">
        <v>69</v>
      </c>
      <c r="J1923" s="97">
        <v>4</v>
      </c>
      <c r="K1923" s="97">
        <f t="shared" ref="K1923:K1986" si="30">SUMPRODUCT(I1923,J1923)</f>
        <v>276</v>
      </c>
      <c r="L1923" s="97">
        <f>_xlfn.XLOOKUP(E1923,Emp_Data!$B$2:$B$9,Emp_Data!$A$2:$A$9)</f>
        <v>4</v>
      </c>
    </row>
    <row r="1924" spans="1:12">
      <c r="A1924" s="99">
        <v>1618</v>
      </c>
      <c r="B1924" s="101">
        <v>44715</v>
      </c>
      <c r="C1924" s="96">
        <v>19</v>
      </c>
      <c r="D1924" s="104" t="s">
        <v>22</v>
      </c>
      <c r="E1924" s="97" t="s">
        <v>8</v>
      </c>
      <c r="F1924" s="97" t="str">
        <f>VLOOKUP(E1924,Emp_Data!$B$2:$C$9,2,)</f>
        <v>Jeff</v>
      </c>
      <c r="G1924" s="97" t="s">
        <v>9</v>
      </c>
      <c r="H1924" s="97" t="s">
        <v>43</v>
      </c>
      <c r="I1924" s="97">
        <v>69</v>
      </c>
      <c r="J1924" s="97">
        <v>1</v>
      </c>
      <c r="K1924" s="97">
        <f t="shared" si="30"/>
        <v>69</v>
      </c>
      <c r="L1924" s="97">
        <f>_xlfn.XLOOKUP(E1924,Emp_Data!$B$2:$B$9,Emp_Data!$A$2:$A$9)</f>
        <v>3</v>
      </c>
    </row>
    <row r="1925" spans="1:12">
      <c r="A1925" s="99">
        <v>1631</v>
      </c>
      <c r="B1925" s="101">
        <v>44718</v>
      </c>
      <c r="C1925" s="96">
        <v>17</v>
      </c>
      <c r="D1925" s="104" t="s">
        <v>32</v>
      </c>
      <c r="E1925" s="97" t="s">
        <v>8</v>
      </c>
      <c r="F1925" s="97" t="str">
        <f>VLOOKUP(E1925,Emp_Data!$B$2:$C$9,2,)</f>
        <v>Jeff</v>
      </c>
      <c r="G1925" s="97" t="s">
        <v>9</v>
      </c>
      <c r="H1925" s="97" t="s">
        <v>43</v>
      </c>
      <c r="I1925" s="97">
        <v>69</v>
      </c>
      <c r="J1925" s="97">
        <v>7</v>
      </c>
      <c r="K1925" s="97">
        <f t="shared" si="30"/>
        <v>483</v>
      </c>
      <c r="L1925" s="97">
        <f>_xlfn.XLOOKUP(E1925,Emp_Data!$B$2:$B$9,Emp_Data!$A$2:$A$9)</f>
        <v>3</v>
      </c>
    </row>
    <row r="1926" spans="1:12">
      <c r="A1926" s="99">
        <v>1636</v>
      </c>
      <c r="B1926" s="101">
        <v>44719</v>
      </c>
      <c r="C1926" s="96">
        <v>2</v>
      </c>
      <c r="D1926" s="104" t="s">
        <v>35</v>
      </c>
      <c r="E1926" s="97" t="s">
        <v>21</v>
      </c>
      <c r="F1926" s="97" t="str">
        <f>VLOOKUP(E1926,Emp_Data!$B$2:$C$9,2,)</f>
        <v>Sara</v>
      </c>
      <c r="G1926" s="97" t="s">
        <v>15</v>
      </c>
      <c r="H1926" s="97" t="s">
        <v>43</v>
      </c>
      <c r="I1926" s="97">
        <v>69</v>
      </c>
      <c r="J1926" s="97">
        <v>3</v>
      </c>
      <c r="K1926" s="97">
        <f t="shared" si="30"/>
        <v>207</v>
      </c>
      <c r="L1926" s="97">
        <f>_xlfn.XLOOKUP(E1926,Emp_Data!$B$2:$B$9,Emp_Data!$A$2:$A$9)</f>
        <v>2</v>
      </c>
    </row>
    <row r="1927" spans="1:12">
      <c r="A1927" s="99">
        <v>1640</v>
      </c>
      <c r="B1927" s="101">
        <v>44720</v>
      </c>
      <c r="C1927" s="96">
        <v>19</v>
      </c>
      <c r="D1927" s="104" t="s">
        <v>22</v>
      </c>
      <c r="E1927" s="97" t="s">
        <v>25</v>
      </c>
      <c r="F1927" s="97" t="str">
        <f>VLOOKUP(E1927,Emp_Data!$B$2:$C$9,2,)</f>
        <v>Jeff</v>
      </c>
      <c r="G1927" s="97" t="s">
        <v>9</v>
      </c>
      <c r="H1927" s="97" t="s">
        <v>43</v>
      </c>
      <c r="I1927" s="97">
        <v>69</v>
      </c>
      <c r="J1927" s="97">
        <v>5</v>
      </c>
      <c r="K1927" s="97">
        <f t="shared" si="30"/>
        <v>345</v>
      </c>
      <c r="L1927" s="97">
        <f>_xlfn.XLOOKUP(E1927,Emp_Data!$B$2:$B$9,Emp_Data!$A$2:$A$9)</f>
        <v>5</v>
      </c>
    </row>
    <row r="1928" spans="1:12">
      <c r="A1928" s="99">
        <v>1651</v>
      </c>
      <c r="B1928" s="101">
        <v>44723</v>
      </c>
      <c r="C1928" s="96">
        <v>20</v>
      </c>
      <c r="D1928" s="104" t="s">
        <v>7</v>
      </c>
      <c r="E1928" s="97" t="s">
        <v>8</v>
      </c>
      <c r="F1928" s="97" t="str">
        <f>VLOOKUP(E1928,Emp_Data!$B$2:$C$9,2,)</f>
        <v>Jeff</v>
      </c>
      <c r="G1928" s="97" t="s">
        <v>9</v>
      </c>
      <c r="H1928" s="97" t="s">
        <v>43</v>
      </c>
      <c r="I1928" s="97">
        <v>69</v>
      </c>
      <c r="J1928" s="97">
        <v>0</v>
      </c>
      <c r="K1928" s="97">
        <f t="shared" si="30"/>
        <v>0</v>
      </c>
      <c r="L1928" s="97">
        <f>_xlfn.XLOOKUP(E1928,Emp_Data!$B$2:$B$9,Emp_Data!$A$2:$A$9)</f>
        <v>3</v>
      </c>
    </row>
    <row r="1929" spans="1:12">
      <c r="A1929" s="99">
        <v>1659</v>
      </c>
      <c r="B1929" s="101">
        <v>44726</v>
      </c>
      <c r="C1929" s="96">
        <v>13</v>
      </c>
      <c r="D1929" s="104" t="s">
        <v>23</v>
      </c>
      <c r="E1929" s="97" t="s">
        <v>24</v>
      </c>
      <c r="F1929" s="97" t="str">
        <f>VLOOKUP(E1929,Emp_Data!$B$2:$C$9,2,)</f>
        <v>Steve</v>
      </c>
      <c r="G1929" s="97" t="s">
        <v>19</v>
      </c>
      <c r="H1929" s="97" t="s">
        <v>43</v>
      </c>
      <c r="I1929" s="97">
        <v>69</v>
      </c>
      <c r="J1929" s="97">
        <v>4</v>
      </c>
      <c r="K1929" s="97">
        <f t="shared" si="30"/>
        <v>276</v>
      </c>
      <c r="L1929" s="97">
        <f>_xlfn.XLOOKUP(E1929,Emp_Data!$B$2:$B$9,Emp_Data!$A$2:$A$9)</f>
        <v>6</v>
      </c>
    </row>
    <row r="1930" spans="1:12">
      <c r="A1930" s="99">
        <v>1661</v>
      </c>
      <c r="B1930" s="101">
        <v>44727</v>
      </c>
      <c r="C1930" s="96">
        <v>9</v>
      </c>
      <c r="D1930" s="104" t="s">
        <v>26</v>
      </c>
      <c r="E1930" s="97" t="s">
        <v>27</v>
      </c>
      <c r="F1930" s="97" t="str">
        <f>VLOOKUP(E1930,Emp_Data!$B$2:$C$9,2,)</f>
        <v>Philip</v>
      </c>
      <c r="G1930" s="97" t="s">
        <v>12</v>
      </c>
      <c r="H1930" s="97" t="s">
        <v>43</v>
      </c>
      <c r="I1930" s="97">
        <v>69</v>
      </c>
      <c r="J1930" s="97">
        <v>5</v>
      </c>
      <c r="K1930" s="97">
        <f t="shared" si="30"/>
        <v>345</v>
      </c>
      <c r="L1930" s="97">
        <f>_xlfn.XLOOKUP(E1930,Emp_Data!$B$2:$B$9,Emp_Data!$A$2:$A$9)</f>
        <v>8</v>
      </c>
    </row>
    <row r="1931" spans="1:12">
      <c r="A1931" s="99">
        <v>1662</v>
      </c>
      <c r="B1931" s="101">
        <v>44727</v>
      </c>
      <c r="C1931" s="96">
        <v>20</v>
      </c>
      <c r="D1931" s="104" t="s">
        <v>7</v>
      </c>
      <c r="E1931" s="97" t="s">
        <v>8</v>
      </c>
      <c r="F1931" s="97" t="str">
        <f>VLOOKUP(E1931,Emp_Data!$B$2:$C$9,2,)</f>
        <v>Jeff</v>
      </c>
      <c r="G1931" s="97" t="s">
        <v>9</v>
      </c>
      <c r="H1931" s="97" t="s">
        <v>43</v>
      </c>
      <c r="I1931" s="97">
        <v>69</v>
      </c>
      <c r="J1931" s="97">
        <v>8</v>
      </c>
      <c r="K1931" s="97">
        <f t="shared" si="30"/>
        <v>552</v>
      </c>
      <c r="L1931" s="97">
        <f>_xlfn.XLOOKUP(E1931,Emp_Data!$B$2:$B$9,Emp_Data!$A$2:$A$9)</f>
        <v>3</v>
      </c>
    </row>
    <row r="1932" spans="1:12">
      <c r="A1932" s="99">
        <v>1669</v>
      </c>
      <c r="B1932" s="101">
        <v>44728</v>
      </c>
      <c r="C1932" s="96">
        <v>18</v>
      </c>
      <c r="D1932" s="104" t="s">
        <v>30</v>
      </c>
      <c r="E1932" s="97" t="s">
        <v>8</v>
      </c>
      <c r="F1932" s="97" t="str">
        <f>VLOOKUP(E1932,Emp_Data!$B$2:$C$9,2,)</f>
        <v>Jeff</v>
      </c>
      <c r="G1932" s="97" t="s">
        <v>9</v>
      </c>
      <c r="H1932" s="97" t="s">
        <v>43</v>
      </c>
      <c r="I1932" s="97">
        <v>69</v>
      </c>
      <c r="J1932" s="97">
        <v>8</v>
      </c>
      <c r="K1932" s="97">
        <f t="shared" si="30"/>
        <v>552</v>
      </c>
      <c r="L1932" s="97">
        <f>_xlfn.XLOOKUP(E1932,Emp_Data!$B$2:$B$9,Emp_Data!$A$2:$A$9)</f>
        <v>3</v>
      </c>
    </row>
    <row r="1933" spans="1:12">
      <c r="A1933" s="99">
        <v>1672</v>
      </c>
      <c r="B1933" s="101">
        <v>44729</v>
      </c>
      <c r="C1933" s="96">
        <v>4</v>
      </c>
      <c r="D1933" s="104" t="s">
        <v>13</v>
      </c>
      <c r="E1933" s="97" t="s">
        <v>21</v>
      </c>
      <c r="F1933" s="97" t="str">
        <f>VLOOKUP(E1933,Emp_Data!$B$2:$C$9,2,)</f>
        <v>Sara</v>
      </c>
      <c r="G1933" s="97" t="s">
        <v>15</v>
      </c>
      <c r="H1933" s="97" t="s">
        <v>43</v>
      </c>
      <c r="I1933" s="97">
        <v>69</v>
      </c>
      <c r="J1933" s="97">
        <v>8</v>
      </c>
      <c r="K1933" s="97">
        <f t="shared" si="30"/>
        <v>552</v>
      </c>
      <c r="L1933" s="97">
        <f>_xlfn.XLOOKUP(E1933,Emp_Data!$B$2:$B$9,Emp_Data!$A$2:$A$9)</f>
        <v>2</v>
      </c>
    </row>
    <row r="1934" spans="1:12">
      <c r="A1934" s="99">
        <v>1681</v>
      </c>
      <c r="B1934" s="101">
        <v>44734</v>
      </c>
      <c r="C1934" s="96">
        <v>6</v>
      </c>
      <c r="D1934" s="104" t="s">
        <v>10</v>
      </c>
      <c r="E1934" s="97" t="s">
        <v>11</v>
      </c>
      <c r="F1934" s="97" t="str">
        <f>VLOOKUP(E1934,Emp_Data!$B$2:$C$9,2,)</f>
        <v>Steve</v>
      </c>
      <c r="G1934" s="97" t="s">
        <v>12</v>
      </c>
      <c r="H1934" s="97" t="s">
        <v>43</v>
      </c>
      <c r="I1934" s="97">
        <v>69</v>
      </c>
      <c r="J1934" s="97">
        <v>5</v>
      </c>
      <c r="K1934" s="97">
        <f t="shared" si="30"/>
        <v>345</v>
      </c>
      <c r="L1934" s="97">
        <f>_xlfn.XLOOKUP(E1934,Emp_Data!$B$2:$B$9,Emp_Data!$A$2:$A$9)</f>
        <v>4</v>
      </c>
    </row>
    <row r="1935" spans="1:12">
      <c r="A1935" s="99">
        <v>1692</v>
      </c>
      <c r="B1935" s="101">
        <v>44739</v>
      </c>
      <c r="C1935" s="96">
        <v>9</v>
      </c>
      <c r="D1935" s="104" t="s">
        <v>26</v>
      </c>
      <c r="E1935" s="97" t="s">
        <v>27</v>
      </c>
      <c r="F1935" s="97" t="str">
        <f>VLOOKUP(E1935,Emp_Data!$B$2:$C$9,2,)</f>
        <v>Philip</v>
      </c>
      <c r="G1935" s="97" t="s">
        <v>12</v>
      </c>
      <c r="H1935" s="97" t="s">
        <v>43</v>
      </c>
      <c r="I1935" s="97">
        <v>69</v>
      </c>
      <c r="J1935" s="97">
        <v>3</v>
      </c>
      <c r="K1935" s="97">
        <f t="shared" si="30"/>
        <v>207</v>
      </c>
      <c r="L1935" s="97">
        <f>_xlfn.XLOOKUP(E1935,Emp_Data!$B$2:$B$9,Emp_Data!$A$2:$A$9)</f>
        <v>8</v>
      </c>
    </row>
    <row r="1936" spans="1:12">
      <c r="A1936" s="99">
        <v>1697</v>
      </c>
      <c r="B1936" s="101">
        <v>44743</v>
      </c>
      <c r="C1936" s="96">
        <v>14</v>
      </c>
      <c r="D1936" s="104" t="s">
        <v>33</v>
      </c>
      <c r="E1936" s="97" t="s">
        <v>18</v>
      </c>
      <c r="F1936" s="97" t="str">
        <f>VLOOKUP(E1936,Emp_Data!$B$2:$C$9,2,)</f>
        <v>Sara</v>
      </c>
      <c r="G1936" s="97" t="s">
        <v>19</v>
      </c>
      <c r="H1936" s="97" t="s">
        <v>43</v>
      </c>
      <c r="I1936" s="97">
        <v>69</v>
      </c>
      <c r="J1936" s="97">
        <v>8</v>
      </c>
      <c r="K1936" s="97">
        <f t="shared" si="30"/>
        <v>552</v>
      </c>
      <c r="L1936" s="97">
        <f>_xlfn.XLOOKUP(E1936,Emp_Data!$B$2:$B$9,Emp_Data!$A$2:$A$9)</f>
        <v>5</v>
      </c>
    </row>
    <row r="1937" spans="1:12">
      <c r="A1937" s="99">
        <v>1706</v>
      </c>
      <c r="B1937" s="101">
        <v>44750</v>
      </c>
      <c r="C1937" s="96">
        <v>7</v>
      </c>
      <c r="D1937" s="104" t="s">
        <v>28</v>
      </c>
      <c r="E1937" s="97" t="s">
        <v>11</v>
      </c>
      <c r="F1937" s="97" t="str">
        <f>VLOOKUP(E1937,Emp_Data!$B$2:$C$9,2,)</f>
        <v>Steve</v>
      </c>
      <c r="G1937" s="97" t="s">
        <v>12</v>
      </c>
      <c r="H1937" s="97" t="s">
        <v>43</v>
      </c>
      <c r="I1937" s="97">
        <v>69</v>
      </c>
      <c r="J1937" s="97">
        <v>3</v>
      </c>
      <c r="K1937" s="97">
        <f t="shared" si="30"/>
        <v>207</v>
      </c>
      <c r="L1937" s="97">
        <f>_xlfn.XLOOKUP(E1937,Emp_Data!$B$2:$B$9,Emp_Data!$A$2:$A$9)</f>
        <v>4</v>
      </c>
    </row>
    <row r="1938" spans="1:12">
      <c r="A1938" s="99">
        <v>1711</v>
      </c>
      <c r="B1938" s="101">
        <v>44752</v>
      </c>
      <c r="C1938" s="96">
        <v>13</v>
      </c>
      <c r="D1938" s="104" t="s">
        <v>23</v>
      </c>
      <c r="E1938" s="97" t="s">
        <v>24</v>
      </c>
      <c r="F1938" s="97" t="str">
        <f>VLOOKUP(E1938,Emp_Data!$B$2:$C$9,2,)</f>
        <v>Steve</v>
      </c>
      <c r="G1938" s="97" t="s">
        <v>19</v>
      </c>
      <c r="H1938" s="97" t="s">
        <v>43</v>
      </c>
      <c r="I1938" s="97">
        <v>69</v>
      </c>
      <c r="J1938" s="97">
        <v>2</v>
      </c>
      <c r="K1938" s="97">
        <f t="shared" si="30"/>
        <v>138</v>
      </c>
      <c r="L1938" s="97">
        <f>_xlfn.XLOOKUP(E1938,Emp_Data!$B$2:$B$9,Emp_Data!$A$2:$A$9)</f>
        <v>6</v>
      </c>
    </row>
    <row r="1939" spans="1:12">
      <c r="A1939" s="99">
        <v>1715</v>
      </c>
      <c r="B1939" s="101">
        <v>44754</v>
      </c>
      <c r="C1939" s="96">
        <v>5</v>
      </c>
      <c r="D1939" s="104" t="s">
        <v>16</v>
      </c>
      <c r="E1939" s="97" t="s">
        <v>21</v>
      </c>
      <c r="F1939" s="97" t="str">
        <f>VLOOKUP(E1939,Emp_Data!$B$2:$C$9,2,)</f>
        <v>Sara</v>
      </c>
      <c r="G1939" s="97" t="s">
        <v>15</v>
      </c>
      <c r="H1939" s="97" t="s">
        <v>43</v>
      </c>
      <c r="I1939" s="97">
        <v>69</v>
      </c>
      <c r="J1939" s="97">
        <v>3</v>
      </c>
      <c r="K1939" s="97">
        <f t="shared" si="30"/>
        <v>207</v>
      </c>
      <c r="L1939" s="97">
        <f>_xlfn.XLOOKUP(E1939,Emp_Data!$B$2:$B$9,Emp_Data!$A$2:$A$9)</f>
        <v>2</v>
      </c>
    </row>
    <row r="1940" spans="1:12">
      <c r="A1940" s="99">
        <v>1717</v>
      </c>
      <c r="B1940" s="101">
        <v>44754</v>
      </c>
      <c r="C1940" s="96">
        <v>11</v>
      </c>
      <c r="D1940" s="104" t="s">
        <v>38</v>
      </c>
      <c r="E1940" s="97" t="s">
        <v>18</v>
      </c>
      <c r="F1940" s="97" t="str">
        <f>VLOOKUP(E1940,Emp_Data!$B$2:$C$9,2,)</f>
        <v>Sara</v>
      </c>
      <c r="G1940" s="97" t="s">
        <v>19</v>
      </c>
      <c r="H1940" s="97" t="s">
        <v>43</v>
      </c>
      <c r="I1940" s="97">
        <v>69</v>
      </c>
      <c r="J1940" s="97">
        <v>1</v>
      </c>
      <c r="K1940" s="97">
        <f t="shared" si="30"/>
        <v>69</v>
      </c>
      <c r="L1940" s="97">
        <f>_xlfn.XLOOKUP(E1940,Emp_Data!$B$2:$B$9,Emp_Data!$A$2:$A$9)</f>
        <v>5</v>
      </c>
    </row>
    <row r="1941" spans="1:12">
      <c r="A1941" s="99">
        <v>1737</v>
      </c>
      <c r="B1941" s="101">
        <v>44760</v>
      </c>
      <c r="C1941" s="96">
        <v>1</v>
      </c>
      <c r="D1941" s="104" t="s">
        <v>31</v>
      </c>
      <c r="E1941" s="97" t="s">
        <v>21</v>
      </c>
      <c r="F1941" s="97" t="str">
        <f>VLOOKUP(E1941,Emp_Data!$B$2:$C$9,2,)</f>
        <v>Sara</v>
      </c>
      <c r="G1941" s="97" t="s">
        <v>15</v>
      </c>
      <c r="H1941" s="97" t="s">
        <v>43</v>
      </c>
      <c r="I1941" s="97">
        <v>69</v>
      </c>
      <c r="J1941" s="97">
        <v>3</v>
      </c>
      <c r="K1941" s="97">
        <f t="shared" si="30"/>
        <v>207</v>
      </c>
      <c r="L1941" s="97">
        <f>_xlfn.XLOOKUP(E1941,Emp_Data!$B$2:$B$9,Emp_Data!$A$2:$A$9)</f>
        <v>2</v>
      </c>
    </row>
    <row r="1942" spans="1:12">
      <c r="A1942" s="99">
        <v>1739</v>
      </c>
      <c r="B1942" s="101">
        <v>44762</v>
      </c>
      <c r="C1942" s="96">
        <v>3</v>
      </c>
      <c r="D1942" s="104" t="s">
        <v>20</v>
      </c>
      <c r="E1942" s="97" t="s">
        <v>21</v>
      </c>
      <c r="F1942" s="97" t="str">
        <f>VLOOKUP(E1942,Emp_Data!$B$2:$C$9,2,)</f>
        <v>Sara</v>
      </c>
      <c r="G1942" s="97" t="s">
        <v>15</v>
      </c>
      <c r="H1942" s="97" t="s">
        <v>43</v>
      </c>
      <c r="I1942" s="97">
        <v>69</v>
      </c>
      <c r="J1942" s="97">
        <v>3</v>
      </c>
      <c r="K1942" s="97">
        <f t="shared" si="30"/>
        <v>207</v>
      </c>
      <c r="L1942" s="97">
        <f>_xlfn.XLOOKUP(E1942,Emp_Data!$B$2:$B$9,Emp_Data!$A$2:$A$9)</f>
        <v>2</v>
      </c>
    </row>
    <row r="1943" spans="1:12">
      <c r="A1943" s="99">
        <v>1743</v>
      </c>
      <c r="B1943" s="101">
        <v>44763</v>
      </c>
      <c r="C1943" s="96">
        <v>19</v>
      </c>
      <c r="D1943" s="104" t="s">
        <v>22</v>
      </c>
      <c r="E1943" s="97" t="s">
        <v>8</v>
      </c>
      <c r="F1943" s="97" t="str">
        <f>VLOOKUP(E1943,Emp_Data!$B$2:$C$9,2,)</f>
        <v>Jeff</v>
      </c>
      <c r="G1943" s="97" t="s">
        <v>9</v>
      </c>
      <c r="H1943" s="97" t="s">
        <v>43</v>
      </c>
      <c r="I1943" s="97">
        <v>69</v>
      </c>
      <c r="J1943" s="97">
        <v>2</v>
      </c>
      <c r="K1943" s="97">
        <f t="shared" si="30"/>
        <v>138</v>
      </c>
      <c r="L1943" s="97">
        <f>_xlfn.XLOOKUP(E1943,Emp_Data!$B$2:$B$9,Emp_Data!$A$2:$A$9)</f>
        <v>3</v>
      </c>
    </row>
    <row r="1944" spans="1:12">
      <c r="A1944" s="99">
        <v>1744</v>
      </c>
      <c r="B1944" s="101">
        <v>44763</v>
      </c>
      <c r="C1944" s="96">
        <v>9</v>
      </c>
      <c r="D1944" s="104" t="s">
        <v>26</v>
      </c>
      <c r="E1944" s="97" t="s">
        <v>27</v>
      </c>
      <c r="F1944" s="97" t="str">
        <f>VLOOKUP(E1944,Emp_Data!$B$2:$C$9,2,)</f>
        <v>Philip</v>
      </c>
      <c r="G1944" s="97" t="s">
        <v>12</v>
      </c>
      <c r="H1944" s="97" t="s">
        <v>43</v>
      </c>
      <c r="I1944" s="97">
        <v>69</v>
      </c>
      <c r="J1944" s="97">
        <v>4</v>
      </c>
      <c r="K1944" s="97">
        <f t="shared" si="30"/>
        <v>276</v>
      </c>
      <c r="L1944" s="97">
        <f>_xlfn.XLOOKUP(E1944,Emp_Data!$B$2:$B$9,Emp_Data!$A$2:$A$9)</f>
        <v>8</v>
      </c>
    </row>
    <row r="1945" spans="1:12">
      <c r="A1945" s="99">
        <v>1746</v>
      </c>
      <c r="B1945" s="101">
        <v>44764</v>
      </c>
      <c r="C1945" s="96">
        <v>9</v>
      </c>
      <c r="D1945" s="104" t="s">
        <v>26</v>
      </c>
      <c r="E1945" s="97" t="s">
        <v>11</v>
      </c>
      <c r="F1945" s="97" t="str">
        <f>VLOOKUP(E1945,Emp_Data!$B$2:$C$9,2,)</f>
        <v>Steve</v>
      </c>
      <c r="G1945" s="97" t="s">
        <v>12</v>
      </c>
      <c r="H1945" s="97" t="s">
        <v>43</v>
      </c>
      <c r="I1945" s="97">
        <v>69</v>
      </c>
      <c r="J1945" s="97">
        <v>4</v>
      </c>
      <c r="K1945" s="97">
        <f t="shared" si="30"/>
        <v>276</v>
      </c>
      <c r="L1945" s="97">
        <f>_xlfn.XLOOKUP(E1945,Emp_Data!$B$2:$B$9,Emp_Data!$A$2:$A$9)</f>
        <v>4</v>
      </c>
    </row>
    <row r="1946" spans="1:12">
      <c r="A1946" s="99">
        <v>1748</v>
      </c>
      <c r="B1946" s="101">
        <v>44764</v>
      </c>
      <c r="C1946" s="96">
        <v>11</v>
      </c>
      <c r="D1946" s="104" t="s">
        <v>38</v>
      </c>
      <c r="E1946" s="97" t="s">
        <v>24</v>
      </c>
      <c r="F1946" s="97" t="str">
        <f>VLOOKUP(E1946,Emp_Data!$B$2:$C$9,2,)</f>
        <v>Steve</v>
      </c>
      <c r="G1946" s="97" t="s">
        <v>19</v>
      </c>
      <c r="H1946" s="97" t="s">
        <v>43</v>
      </c>
      <c r="I1946" s="97">
        <v>69</v>
      </c>
      <c r="J1946" s="97">
        <v>0</v>
      </c>
      <c r="K1946" s="97">
        <f t="shared" si="30"/>
        <v>0</v>
      </c>
      <c r="L1946" s="97">
        <f>_xlfn.XLOOKUP(E1946,Emp_Data!$B$2:$B$9,Emp_Data!$A$2:$A$9)</f>
        <v>6</v>
      </c>
    </row>
    <row r="1947" spans="1:12">
      <c r="A1947" s="99">
        <v>1750</v>
      </c>
      <c r="B1947" s="101">
        <v>44766</v>
      </c>
      <c r="C1947" s="96">
        <v>19</v>
      </c>
      <c r="D1947" s="104" t="s">
        <v>22</v>
      </c>
      <c r="E1947" s="97" t="s">
        <v>8</v>
      </c>
      <c r="F1947" s="97" t="str">
        <f>VLOOKUP(E1947,Emp_Data!$B$2:$C$9,2,)</f>
        <v>Jeff</v>
      </c>
      <c r="G1947" s="97" t="s">
        <v>9</v>
      </c>
      <c r="H1947" s="97" t="s">
        <v>43</v>
      </c>
      <c r="I1947" s="97">
        <v>69</v>
      </c>
      <c r="J1947" s="97">
        <v>1</v>
      </c>
      <c r="K1947" s="97">
        <f t="shared" si="30"/>
        <v>69</v>
      </c>
      <c r="L1947" s="97">
        <f>_xlfn.XLOOKUP(E1947,Emp_Data!$B$2:$B$9,Emp_Data!$A$2:$A$9)</f>
        <v>3</v>
      </c>
    </row>
    <row r="1948" spans="1:12">
      <c r="A1948" s="99">
        <v>1751</v>
      </c>
      <c r="B1948" s="101">
        <v>44767</v>
      </c>
      <c r="C1948" s="96">
        <v>15</v>
      </c>
      <c r="D1948" s="104" t="s">
        <v>29</v>
      </c>
      <c r="E1948" s="97" t="s">
        <v>18</v>
      </c>
      <c r="F1948" s="97" t="str">
        <f>VLOOKUP(E1948,Emp_Data!$B$2:$C$9,2,)</f>
        <v>Sara</v>
      </c>
      <c r="G1948" s="97" t="s">
        <v>19</v>
      </c>
      <c r="H1948" s="97" t="s">
        <v>43</v>
      </c>
      <c r="I1948" s="97">
        <v>69</v>
      </c>
      <c r="J1948" s="97">
        <v>4</v>
      </c>
      <c r="K1948" s="97">
        <f t="shared" si="30"/>
        <v>276</v>
      </c>
      <c r="L1948" s="97">
        <f>_xlfn.XLOOKUP(E1948,Emp_Data!$B$2:$B$9,Emp_Data!$A$2:$A$9)</f>
        <v>5</v>
      </c>
    </row>
    <row r="1949" spans="1:12">
      <c r="A1949" s="99">
        <v>1753</v>
      </c>
      <c r="B1949" s="101">
        <v>44767</v>
      </c>
      <c r="C1949" s="96">
        <v>12</v>
      </c>
      <c r="D1949" s="104" t="s">
        <v>17</v>
      </c>
      <c r="E1949" s="97" t="s">
        <v>24</v>
      </c>
      <c r="F1949" s="97" t="str">
        <f>VLOOKUP(E1949,Emp_Data!$B$2:$C$9,2,)</f>
        <v>Steve</v>
      </c>
      <c r="G1949" s="97" t="s">
        <v>19</v>
      </c>
      <c r="H1949" s="97" t="s">
        <v>43</v>
      </c>
      <c r="I1949" s="97">
        <v>69</v>
      </c>
      <c r="J1949" s="97">
        <v>8</v>
      </c>
      <c r="K1949" s="97">
        <f t="shared" si="30"/>
        <v>552</v>
      </c>
      <c r="L1949" s="97">
        <f>_xlfn.XLOOKUP(E1949,Emp_Data!$B$2:$B$9,Emp_Data!$A$2:$A$9)</f>
        <v>6</v>
      </c>
    </row>
    <row r="1950" spans="1:12">
      <c r="A1950" s="99">
        <v>1754</v>
      </c>
      <c r="B1950" s="101">
        <v>44767</v>
      </c>
      <c r="C1950" s="96">
        <v>2</v>
      </c>
      <c r="D1950" s="104" t="s">
        <v>35</v>
      </c>
      <c r="E1950" s="97" t="s">
        <v>21</v>
      </c>
      <c r="F1950" s="97" t="str">
        <f>VLOOKUP(E1950,Emp_Data!$B$2:$C$9,2,)</f>
        <v>Sara</v>
      </c>
      <c r="G1950" s="97" t="s">
        <v>15</v>
      </c>
      <c r="H1950" s="97" t="s">
        <v>43</v>
      </c>
      <c r="I1950" s="97">
        <v>69</v>
      </c>
      <c r="J1950" s="97">
        <v>9</v>
      </c>
      <c r="K1950" s="97">
        <f t="shared" si="30"/>
        <v>621</v>
      </c>
      <c r="L1950" s="97">
        <f>_xlfn.XLOOKUP(E1950,Emp_Data!$B$2:$B$9,Emp_Data!$A$2:$A$9)</f>
        <v>2</v>
      </c>
    </row>
    <row r="1951" spans="1:12">
      <c r="A1951" s="99">
        <v>1758</v>
      </c>
      <c r="B1951" s="101">
        <v>44767</v>
      </c>
      <c r="C1951" s="96">
        <v>5</v>
      </c>
      <c r="D1951" s="104" t="s">
        <v>16</v>
      </c>
      <c r="E1951" s="97" t="s">
        <v>21</v>
      </c>
      <c r="F1951" s="97" t="str">
        <f>VLOOKUP(E1951,Emp_Data!$B$2:$C$9,2,)</f>
        <v>Sara</v>
      </c>
      <c r="G1951" s="97" t="s">
        <v>15</v>
      </c>
      <c r="H1951" s="97" t="s">
        <v>43</v>
      </c>
      <c r="I1951" s="97">
        <v>69</v>
      </c>
      <c r="J1951" s="97">
        <v>9</v>
      </c>
      <c r="K1951" s="97">
        <f t="shared" si="30"/>
        <v>621</v>
      </c>
      <c r="L1951" s="97">
        <f>_xlfn.XLOOKUP(E1951,Emp_Data!$B$2:$B$9,Emp_Data!$A$2:$A$9)</f>
        <v>2</v>
      </c>
    </row>
    <row r="1952" spans="1:12">
      <c r="A1952" s="99">
        <v>1762</v>
      </c>
      <c r="B1952" s="101">
        <v>44770</v>
      </c>
      <c r="C1952" s="96">
        <v>19</v>
      </c>
      <c r="D1952" s="104" t="s">
        <v>22</v>
      </c>
      <c r="E1952" s="97" t="s">
        <v>25</v>
      </c>
      <c r="F1952" s="97" t="str">
        <f>VLOOKUP(E1952,Emp_Data!$B$2:$C$9,2,)</f>
        <v>Jeff</v>
      </c>
      <c r="G1952" s="97" t="s">
        <v>9</v>
      </c>
      <c r="H1952" s="97" t="s">
        <v>43</v>
      </c>
      <c r="I1952" s="97">
        <v>69</v>
      </c>
      <c r="J1952" s="97">
        <v>8</v>
      </c>
      <c r="K1952" s="97">
        <f t="shared" si="30"/>
        <v>552</v>
      </c>
      <c r="L1952" s="97">
        <f>_xlfn.XLOOKUP(E1952,Emp_Data!$B$2:$B$9,Emp_Data!$A$2:$A$9)</f>
        <v>5</v>
      </c>
    </row>
    <row r="1953" spans="1:12">
      <c r="A1953" s="99">
        <v>1764</v>
      </c>
      <c r="B1953" s="101">
        <v>44771</v>
      </c>
      <c r="C1953" s="96">
        <v>9</v>
      </c>
      <c r="D1953" s="104" t="s">
        <v>26</v>
      </c>
      <c r="E1953" s="97" t="s">
        <v>27</v>
      </c>
      <c r="F1953" s="97" t="str">
        <f>VLOOKUP(E1953,Emp_Data!$B$2:$C$9,2,)</f>
        <v>Philip</v>
      </c>
      <c r="G1953" s="97" t="s">
        <v>12</v>
      </c>
      <c r="H1953" s="97" t="s">
        <v>43</v>
      </c>
      <c r="I1953" s="97">
        <v>69</v>
      </c>
      <c r="J1953" s="97">
        <v>2</v>
      </c>
      <c r="K1953" s="97">
        <f t="shared" si="30"/>
        <v>138</v>
      </c>
      <c r="L1953" s="97">
        <f>_xlfn.XLOOKUP(E1953,Emp_Data!$B$2:$B$9,Emp_Data!$A$2:$A$9)</f>
        <v>8</v>
      </c>
    </row>
    <row r="1954" spans="1:12">
      <c r="A1954" s="99">
        <v>1775</v>
      </c>
      <c r="B1954" s="101">
        <v>44777</v>
      </c>
      <c r="C1954" s="96">
        <v>7</v>
      </c>
      <c r="D1954" s="104" t="s">
        <v>28</v>
      </c>
      <c r="E1954" s="97" t="s">
        <v>11</v>
      </c>
      <c r="F1954" s="97" t="str">
        <f>VLOOKUP(E1954,Emp_Data!$B$2:$C$9,2,)</f>
        <v>Steve</v>
      </c>
      <c r="G1954" s="97" t="s">
        <v>12</v>
      </c>
      <c r="H1954" s="97" t="s">
        <v>43</v>
      </c>
      <c r="I1954" s="97">
        <v>69</v>
      </c>
      <c r="J1954" s="97">
        <v>9</v>
      </c>
      <c r="K1954" s="97">
        <f t="shared" si="30"/>
        <v>621</v>
      </c>
      <c r="L1954" s="97">
        <f>_xlfn.XLOOKUP(E1954,Emp_Data!$B$2:$B$9,Emp_Data!$A$2:$A$9)</f>
        <v>4</v>
      </c>
    </row>
    <row r="1955" spans="1:12">
      <c r="A1955" s="99">
        <v>1785</v>
      </c>
      <c r="B1955" s="101">
        <v>44781</v>
      </c>
      <c r="C1955" s="96">
        <v>9</v>
      </c>
      <c r="D1955" s="104" t="s">
        <v>26</v>
      </c>
      <c r="E1955" s="97" t="s">
        <v>11</v>
      </c>
      <c r="F1955" s="97" t="str">
        <f>VLOOKUP(E1955,Emp_Data!$B$2:$C$9,2,)</f>
        <v>Steve</v>
      </c>
      <c r="G1955" s="97" t="s">
        <v>12</v>
      </c>
      <c r="H1955" s="97" t="s">
        <v>43</v>
      </c>
      <c r="I1955" s="97">
        <v>69</v>
      </c>
      <c r="J1955" s="97">
        <v>0</v>
      </c>
      <c r="K1955" s="97">
        <f t="shared" si="30"/>
        <v>0</v>
      </c>
      <c r="L1955" s="97">
        <f>_xlfn.XLOOKUP(E1955,Emp_Data!$B$2:$B$9,Emp_Data!$A$2:$A$9)</f>
        <v>4</v>
      </c>
    </row>
    <row r="1956" spans="1:12">
      <c r="A1956" s="99">
        <v>1793</v>
      </c>
      <c r="B1956" s="101">
        <v>44784</v>
      </c>
      <c r="C1956" s="96">
        <v>17</v>
      </c>
      <c r="D1956" s="104" t="s">
        <v>32</v>
      </c>
      <c r="E1956" s="97" t="s">
        <v>8</v>
      </c>
      <c r="F1956" s="97" t="str">
        <f>VLOOKUP(E1956,Emp_Data!$B$2:$C$9,2,)</f>
        <v>Jeff</v>
      </c>
      <c r="G1956" s="97" t="s">
        <v>9</v>
      </c>
      <c r="H1956" s="97" t="s">
        <v>43</v>
      </c>
      <c r="I1956" s="97">
        <v>69</v>
      </c>
      <c r="J1956" s="97">
        <v>0</v>
      </c>
      <c r="K1956" s="97">
        <f t="shared" si="30"/>
        <v>0</v>
      </c>
      <c r="L1956" s="97">
        <f>_xlfn.XLOOKUP(E1956,Emp_Data!$B$2:$B$9,Emp_Data!$A$2:$A$9)</f>
        <v>3</v>
      </c>
    </row>
    <row r="1957" spans="1:12">
      <c r="A1957" s="99">
        <v>1794</v>
      </c>
      <c r="B1957" s="101">
        <v>44784</v>
      </c>
      <c r="C1957" s="96">
        <v>2</v>
      </c>
      <c r="D1957" s="104" t="s">
        <v>35</v>
      </c>
      <c r="E1957" s="97" t="s">
        <v>21</v>
      </c>
      <c r="F1957" s="97" t="str">
        <f>VLOOKUP(E1957,Emp_Data!$B$2:$C$9,2,)</f>
        <v>Sara</v>
      </c>
      <c r="G1957" s="97" t="s">
        <v>15</v>
      </c>
      <c r="H1957" s="97" t="s">
        <v>43</v>
      </c>
      <c r="I1957" s="97">
        <v>69</v>
      </c>
      <c r="J1957" s="97">
        <v>9</v>
      </c>
      <c r="K1957" s="97">
        <f t="shared" si="30"/>
        <v>621</v>
      </c>
      <c r="L1957" s="97">
        <f>_xlfn.XLOOKUP(E1957,Emp_Data!$B$2:$B$9,Emp_Data!$A$2:$A$9)</f>
        <v>2</v>
      </c>
    </row>
    <row r="1958" spans="1:12">
      <c r="A1958" s="99">
        <v>1795</v>
      </c>
      <c r="B1958" s="101">
        <v>44784</v>
      </c>
      <c r="C1958" s="96">
        <v>7</v>
      </c>
      <c r="D1958" s="104" t="s">
        <v>28</v>
      </c>
      <c r="E1958" s="97" t="s">
        <v>11</v>
      </c>
      <c r="F1958" s="97" t="str">
        <f>VLOOKUP(E1958,Emp_Data!$B$2:$C$9,2,)</f>
        <v>Steve</v>
      </c>
      <c r="G1958" s="97" t="s">
        <v>12</v>
      </c>
      <c r="H1958" s="97" t="s">
        <v>43</v>
      </c>
      <c r="I1958" s="97">
        <v>69</v>
      </c>
      <c r="J1958" s="97">
        <v>5</v>
      </c>
      <c r="K1958" s="97">
        <f t="shared" si="30"/>
        <v>345</v>
      </c>
      <c r="L1958" s="97">
        <f>_xlfn.XLOOKUP(E1958,Emp_Data!$B$2:$B$9,Emp_Data!$A$2:$A$9)</f>
        <v>4</v>
      </c>
    </row>
    <row r="1959" spans="1:12">
      <c r="A1959" s="99">
        <v>1806</v>
      </c>
      <c r="B1959" s="101">
        <v>44785</v>
      </c>
      <c r="C1959" s="96">
        <v>17</v>
      </c>
      <c r="D1959" s="104" t="s">
        <v>32</v>
      </c>
      <c r="E1959" s="97" t="s">
        <v>8</v>
      </c>
      <c r="F1959" s="97" t="str">
        <f>VLOOKUP(E1959,Emp_Data!$B$2:$C$9,2,)</f>
        <v>Jeff</v>
      </c>
      <c r="G1959" s="97" t="s">
        <v>9</v>
      </c>
      <c r="H1959" s="97" t="s">
        <v>43</v>
      </c>
      <c r="I1959" s="97">
        <v>69</v>
      </c>
      <c r="J1959" s="97">
        <v>7</v>
      </c>
      <c r="K1959" s="97">
        <f t="shared" si="30"/>
        <v>483</v>
      </c>
      <c r="L1959" s="97">
        <f>_xlfn.XLOOKUP(E1959,Emp_Data!$B$2:$B$9,Emp_Data!$A$2:$A$9)</f>
        <v>3</v>
      </c>
    </row>
    <row r="1960" spans="1:12">
      <c r="A1960" s="99">
        <v>1807</v>
      </c>
      <c r="B1960" s="101">
        <v>44785</v>
      </c>
      <c r="C1960" s="96">
        <v>4</v>
      </c>
      <c r="D1960" s="104" t="s">
        <v>13</v>
      </c>
      <c r="E1960" s="97" t="s">
        <v>21</v>
      </c>
      <c r="F1960" s="97" t="str">
        <f>VLOOKUP(E1960,Emp_Data!$B$2:$C$9,2,)</f>
        <v>Sara</v>
      </c>
      <c r="G1960" s="97" t="s">
        <v>15</v>
      </c>
      <c r="H1960" s="97" t="s">
        <v>43</v>
      </c>
      <c r="I1960" s="97">
        <v>69</v>
      </c>
      <c r="J1960" s="97">
        <v>3</v>
      </c>
      <c r="K1960" s="97">
        <f t="shared" si="30"/>
        <v>207</v>
      </c>
      <c r="L1960" s="97">
        <f>_xlfn.XLOOKUP(E1960,Emp_Data!$B$2:$B$9,Emp_Data!$A$2:$A$9)</f>
        <v>2</v>
      </c>
    </row>
    <row r="1961" spans="1:12">
      <c r="A1961" s="99">
        <v>1809</v>
      </c>
      <c r="B1961" s="101">
        <v>44787</v>
      </c>
      <c r="C1961" s="96">
        <v>8</v>
      </c>
      <c r="D1961" s="104" t="s">
        <v>36</v>
      </c>
      <c r="E1961" s="97" t="s">
        <v>27</v>
      </c>
      <c r="F1961" s="97" t="str">
        <f>VLOOKUP(E1961,Emp_Data!$B$2:$C$9,2,)</f>
        <v>Philip</v>
      </c>
      <c r="G1961" s="97" t="s">
        <v>12</v>
      </c>
      <c r="H1961" s="97" t="s">
        <v>43</v>
      </c>
      <c r="I1961" s="97">
        <v>69</v>
      </c>
      <c r="J1961" s="97">
        <v>5</v>
      </c>
      <c r="K1961" s="97">
        <f t="shared" si="30"/>
        <v>345</v>
      </c>
      <c r="L1961" s="97">
        <f>_xlfn.XLOOKUP(E1961,Emp_Data!$B$2:$B$9,Emp_Data!$A$2:$A$9)</f>
        <v>8</v>
      </c>
    </row>
    <row r="1962" spans="1:12">
      <c r="A1962" s="99">
        <v>1811</v>
      </c>
      <c r="B1962" s="101">
        <v>44788</v>
      </c>
      <c r="C1962" s="96">
        <v>15</v>
      </c>
      <c r="D1962" s="104" t="s">
        <v>29</v>
      </c>
      <c r="E1962" s="97" t="s">
        <v>24</v>
      </c>
      <c r="F1962" s="97" t="str">
        <f>VLOOKUP(E1962,Emp_Data!$B$2:$C$9,2,)</f>
        <v>Steve</v>
      </c>
      <c r="G1962" s="97" t="s">
        <v>19</v>
      </c>
      <c r="H1962" s="97" t="s">
        <v>43</v>
      </c>
      <c r="I1962" s="97">
        <v>69</v>
      </c>
      <c r="J1962" s="97">
        <v>4</v>
      </c>
      <c r="K1962" s="97">
        <f t="shared" si="30"/>
        <v>276</v>
      </c>
      <c r="L1962" s="97">
        <f>_xlfn.XLOOKUP(E1962,Emp_Data!$B$2:$B$9,Emp_Data!$A$2:$A$9)</f>
        <v>6</v>
      </c>
    </row>
    <row r="1963" spans="1:12">
      <c r="A1963" s="99">
        <v>1812</v>
      </c>
      <c r="B1963" s="101">
        <v>44788</v>
      </c>
      <c r="C1963" s="96">
        <v>11</v>
      </c>
      <c r="D1963" s="104" t="s">
        <v>38</v>
      </c>
      <c r="E1963" s="97" t="s">
        <v>24</v>
      </c>
      <c r="F1963" s="97" t="str">
        <f>VLOOKUP(E1963,Emp_Data!$B$2:$C$9,2,)</f>
        <v>Steve</v>
      </c>
      <c r="G1963" s="97" t="s">
        <v>19</v>
      </c>
      <c r="H1963" s="97" t="s">
        <v>43</v>
      </c>
      <c r="I1963" s="97">
        <v>69</v>
      </c>
      <c r="J1963" s="97">
        <v>8</v>
      </c>
      <c r="K1963" s="97">
        <f t="shared" si="30"/>
        <v>552</v>
      </c>
      <c r="L1963" s="97">
        <f>_xlfn.XLOOKUP(E1963,Emp_Data!$B$2:$B$9,Emp_Data!$A$2:$A$9)</f>
        <v>6</v>
      </c>
    </row>
    <row r="1964" spans="1:12">
      <c r="A1964" s="99">
        <v>1817</v>
      </c>
      <c r="B1964" s="101">
        <v>44790</v>
      </c>
      <c r="C1964" s="96">
        <v>8</v>
      </c>
      <c r="D1964" s="104" t="s">
        <v>36</v>
      </c>
      <c r="E1964" s="97" t="s">
        <v>11</v>
      </c>
      <c r="F1964" s="97" t="str">
        <f>VLOOKUP(E1964,Emp_Data!$B$2:$C$9,2,)</f>
        <v>Steve</v>
      </c>
      <c r="G1964" s="97" t="s">
        <v>12</v>
      </c>
      <c r="H1964" s="97" t="s">
        <v>43</v>
      </c>
      <c r="I1964" s="97">
        <v>69</v>
      </c>
      <c r="J1964" s="97">
        <v>8</v>
      </c>
      <c r="K1964" s="97">
        <f t="shared" si="30"/>
        <v>552</v>
      </c>
      <c r="L1964" s="97">
        <f>_xlfn.XLOOKUP(E1964,Emp_Data!$B$2:$B$9,Emp_Data!$A$2:$A$9)</f>
        <v>4</v>
      </c>
    </row>
    <row r="1965" spans="1:12">
      <c r="A1965" s="99">
        <v>1820</v>
      </c>
      <c r="B1965" s="101">
        <v>44790</v>
      </c>
      <c r="C1965" s="96">
        <v>2</v>
      </c>
      <c r="D1965" s="104" t="s">
        <v>35</v>
      </c>
      <c r="E1965" s="97" t="s">
        <v>14</v>
      </c>
      <c r="F1965" s="97" t="str">
        <f>VLOOKUP(E1965,Emp_Data!$B$2:$C$9,2,)</f>
        <v>Jeff</v>
      </c>
      <c r="G1965" s="97" t="s">
        <v>15</v>
      </c>
      <c r="H1965" s="97" t="s">
        <v>43</v>
      </c>
      <c r="I1965" s="97">
        <v>69</v>
      </c>
      <c r="J1965" s="97">
        <v>9</v>
      </c>
      <c r="K1965" s="97">
        <f t="shared" si="30"/>
        <v>621</v>
      </c>
      <c r="L1965" s="97">
        <f>_xlfn.XLOOKUP(E1965,Emp_Data!$B$2:$B$9,Emp_Data!$A$2:$A$9)</f>
        <v>2</v>
      </c>
    </row>
    <row r="1966" spans="1:12">
      <c r="A1966" s="99">
        <v>1828</v>
      </c>
      <c r="B1966" s="101">
        <v>44792</v>
      </c>
      <c r="C1966" s="96">
        <v>18</v>
      </c>
      <c r="D1966" s="104" t="s">
        <v>30</v>
      </c>
      <c r="E1966" s="97" t="s">
        <v>8</v>
      </c>
      <c r="F1966" s="97" t="str">
        <f>VLOOKUP(E1966,Emp_Data!$B$2:$C$9,2,)</f>
        <v>Jeff</v>
      </c>
      <c r="G1966" s="97" t="s">
        <v>9</v>
      </c>
      <c r="H1966" s="97" t="s">
        <v>43</v>
      </c>
      <c r="I1966" s="97">
        <v>69</v>
      </c>
      <c r="J1966" s="97">
        <v>6</v>
      </c>
      <c r="K1966" s="97">
        <f t="shared" si="30"/>
        <v>414</v>
      </c>
      <c r="L1966" s="97">
        <f>_xlfn.XLOOKUP(E1966,Emp_Data!$B$2:$B$9,Emp_Data!$A$2:$A$9)</f>
        <v>3</v>
      </c>
    </row>
    <row r="1967" spans="1:12">
      <c r="A1967" s="99">
        <v>1829</v>
      </c>
      <c r="B1967" s="101">
        <v>44792</v>
      </c>
      <c r="C1967" s="96">
        <v>13</v>
      </c>
      <c r="D1967" s="104" t="s">
        <v>23</v>
      </c>
      <c r="E1967" s="97" t="s">
        <v>24</v>
      </c>
      <c r="F1967" s="97" t="str">
        <f>VLOOKUP(E1967,Emp_Data!$B$2:$C$9,2,)</f>
        <v>Steve</v>
      </c>
      <c r="G1967" s="97" t="s">
        <v>19</v>
      </c>
      <c r="H1967" s="97" t="s">
        <v>43</v>
      </c>
      <c r="I1967" s="97">
        <v>69</v>
      </c>
      <c r="J1967" s="97">
        <v>4</v>
      </c>
      <c r="K1967" s="97">
        <f t="shared" si="30"/>
        <v>276</v>
      </c>
      <c r="L1967" s="97">
        <f>_xlfn.XLOOKUP(E1967,Emp_Data!$B$2:$B$9,Emp_Data!$A$2:$A$9)</f>
        <v>6</v>
      </c>
    </row>
    <row r="1968" spans="1:12">
      <c r="A1968" s="99">
        <v>1833</v>
      </c>
      <c r="B1968" s="101">
        <v>44794</v>
      </c>
      <c r="C1968" s="96">
        <v>8</v>
      </c>
      <c r="D1968" s="104" t="s">
        <v>36</v>
      </c>
      <c r="E1968" s="97" t="s">
        <v>11</v>
      </c>
      <c r="F1968" s="97" t="str">
        <f>VLOOKUP(E1968,Emp_Data!$B$2:$C$9,2,)</f>
        <v>Steve</v>
      </c>
      <c r="G1968" s="97" t="s">
        <v>12</v>
      </c>
      <c r="H1968" s="97" t="s">
        <v>43</v>
      </c>
      <c r="I1968" s="97">
        <v>69</v>
      </c>
      <c r="J1968" s="97">
        <v>5</v>
      </c>
      <c r="K1968" s="97">
        <f t="shared" si="30"/>
        <v>345</v>
      </c>
      <c r="L1968" s="97">
        <f>_xlfn.XLOOKUP(E1968,Emp_Data!$B$2:$B$9,Emp_Data!$A$2:$A$9)</f>
        <v>4</v>
      </c>
    </row>
    <row r="1969" spans="1:12">
      <c r="A1969" s="99">
        <v>1837</v>
      </c>
      <c r="B1969" s="101">
        <v>44795</v>
      </c>
      <c r="C1969" s="96">
        <v>6</v>
      </c>
      <c r="D1969" s="104" t="s">
        <v>10</v>
      </c>
      <c r="E1969" s="97" t="s">
        <v>27</v>
      </c>
      <c r="F1969" s="97" t="str">
        <f>VLOOKUP(E1969,Emp_Data!$B$2:$C$9,2,)</f>
        <v>Philip</v>
      </c>
      <c r="G1969" s="97" t="s">
        <v>12</v>
      </c>
      <c r="H1969" s="97" t="s">
        <v>43</v>
      </c>
      <c r="I1969" s="97">
        <v>69</v>
      </c>
      <c r="J1969" s="97">
        <v>3</v>
      </c>
      <c r="K1969" s="97">
        <f t="shared" si="30"/>
        <v>207</v>
      </c>
      <c r="L1969" s="97">
        <f>_xlfn.XLOOKUP(E1969,Emp_Data!$B$2:$B$9,Emp_Data!$A$2:$A$9)</f>
        <v>8</v>
      </c>
    </row>
    <row r="1970" spans="1:12">
      <c r="A1970" s="99">
        <v>1848</v>
      </c>
      <c r="B1970" s="101">
        <v>44797</v>
      </c>
      <c r="C1970" s="96">
        <v>1</v>
      </c>
      <c r="D1970" s="104" t="s">
        <v>31</v>
      </c>
      <c r="E1970" s="97" t="s">
        <v>21</v>
      </c>
      <c r="F1970" s="97" t="str">
        <f>VLOOKUP(E1970,Emp_Data!$B$2:$C$9,2,)</f>
        <v>Sara</v>
      </c>
      <c r="G1970" s="97" t="s">
        <v>15</v>
      </c>
      <c r="H1970" s="97" t="s">
        <v>43</v>
      </c>
      <c r="I1970" s="97">
        <v>69</v>
      </c>
      <c r="J1970" s="97">
        <v>5</v>
      </c>
      <c r="K1970" s="97">
        <f t="shared" si="30"/>
        <v>345</v>
      </c>
      <c r="L1970" s="97">
        <f>_xlfn.XLOOKUP(E1970,Emp_Data!$B$2:$B$9,Emp_Data!$A$2:$A$9)</f>
        <v>2</v>
      </c>
    </row>
    <row r="1971" spans="1:12">
      <c r="A1971" s="99">
        <v>1851</v>
      </c>
      <c r="B1971" s="101">
        <v>44799</v>
      </c>
      <c r="C1971" s="96">
        <v>14</v>
      </c>
      <c r="D1971" s="104" t="s">
        <v>33</v>
      </c>
      <c r="E1971" s="97" t="s">
        <v>24</v>
      </c>
      <c r="F1971" s="97" t="str">
        <f>VLOOKUP(E1971,Emp_Data!$B$2:$C$9,2,)</f>
        <v>Steve</v>
      </c>
      <c r="G1971" s="97" t="s">
        <v>19</v>
      </c>
      <c r="H1971" s="97" t="s">
        <v>43</v>
      </c>
      <c r="I1971" s="97">
        <v>69</v>
      </c>
      <c r="J1971" s="97">
        <v>2</v>
      </c>
      <c r="K1971" s="97">
        <f t="shared" si="30"/>
        <v>138</v>
      </c>
      <c r="L1971" s="97">
        <f>_xlfn.XLOOKUP(E1971,Emp_Data!$B$2:$B$9,Emp_Data!$A$2:$A$9)</f>
        <v>6</v>
      </c>
    </row>
    <row r="1972" spans="1:12">
      <c r="A1972" s="99">
        <v>1852</v>
      </c>
      <c r="B1972" s="101">
        <v>44800</v>
      </c>
      <c r="C1972" s="96">
        <v>11</v>
      </c>
      <c r="D1972" s="104" t="s">
        <v>38</v>
      </c>
      <c r="E1972" s="97" t="s">
        <v>18</v>
      </c>
      <c r="F1972" s="97" t="str">
        <f>VLOOKUP(E1972,Emp_Data!$B$2:$C$9,2,)</f>
        <v>Sara</v>
      </c>
      <c r="G1972" s="97" t="s">
        <v>19</v>
      </c>
      <c r="H1972" s="97" t="s">
        <v>43</v>
      </c>
      <c r="I1972" s="97">
        <v>69</v>
      </c>
      <c r="J1972" s="97">
        <v>9</v>
      </c>
      <c r="K1972" s="97">
        <f t="shared" si="30"/>
        <v>621</v>
      </c>
      <c r="L1972" s="97">
        <f>_xlfn.XLOOKUP(E1972,Emp_Data!$B$2:$B$9,Emp_Data!$A$2:$A$9)</f>
        <v>5</v>
      </c>
    </row>
    <row r="1973" spans="1:12">
      <c r="A1973" s="99">
        <v>1853</v>
      </c>
      <c r="B1973" s="101">
        <v>44801</v>
      </c>
      <c r="C1973" s="96">
        <v>16</v>
      </c>
      <c r="D1973" s="104" t="s">
        <v>37</v>
      </c>
      <c r="E1973" s="97" t="s">
        <v>8</v>
      </c>
      <c r="F1973" s="97" t="str">
        <f>VLOOKUP(E1973,Emp_Data!$B$2:$C$9,2,)</f>
        <v>Jeff</v>
      </c>
      <c r="G1973" s="97" t="s">
        <v>9</v>
      </c>
      <c r="H1973" s="97" t="s">
        <v>43</v>
      </c>
      <c r="I1973" s="97">
        <v>69</v>
      </c>
      <c r="J1973" s="97">
        <v>2</v>
      </c>
      <c r="K1973" s="97">
        <f t="shared" si="30"/>
        <v>138</v>
      </c>
      <c r="L1973" s="97">
        <f>_xlfn.XLOOKUP(E1973,Emp_Data!$B$2:$B$9,Emp_Data!$A$2:$A$9)</f>
        <v>3</v>
      </c>
    </row>
    <row r="1974" spans="1:12">
      <c r="A1974" s="99">
        <v>1859</v>
      </c>
      <c r="B1974" s="101">
        <v>44803</v>
      </c>
      <c r="C1974" s="96">
        <v>6</v>
      </c>
      <c r="D1974" s="104" t="s">
        <v>10</v>
      </c>
      <c r="E1974" s="97" t="s">
        <v>27</v>
      </c>
      <c r="F1974" s="97" t="str">
        <f>VLOOKUP(E1974,Emp_Data!$B$2:$C$9,2,)</f>
        <v>Philip</v>
      </c>
      <c r="G1974" s="97" t="s">
        <v>12</v>
      </c>
      <c r="H1974" s="97" t="s">
        <v>43</v>
      </c>
      <c r="I1974" s="97">
        <v>69</v>
      </c>
      <c r="J1974" s="97">
        <v>0</v>
      </c>
      <c r="K1974" s="97">
        <f t="shared" si="30"/>
        <v>0</v>
      </c>
      <c r="L1974" s="97">
        <f>_xlfn.XLOOKUP(E1974,Emp_Data!$B$2:$B$9,Emp_Data!$A$2:$A$9)</f>
        <v>8</v>
      </c>
    </row>
    <row r="1975" spans="1:12">
      <c r="A1975" s="99">
        <v>1866</v>
      </c>
      <c r="B1975" s="101">
        <v>44805</v>
      </c>
      <c r="C1975" s="96">
        <v>7</v>
      </c>
      <c r="D1975" s="104" t="s">
        <v>28</v>
      </c>
      <c r="E1975" s="97" t="s">
        <v>11</v>
      </c>
      <c r="F1975" s="97" t="str">
        <f>VLOOKUP(E1975,Emp_Data!$B$2:$C$9,2,)</f>
        <v>Steve</v>
      </c>
      <c r="G1975" s="97" t="s">
        <v>12</v>
      </c>
      <c r="H1975" s="97" t="s">
        <v>43</v>
      </c>
      <c r="I1975" s="97">
        <v>69</v>
      </c>
      <c r="J1975" s="97">
        <v>6</v>
      </c>
      <c r="K1975" s="97">
        <f t="shared" si="30"/>
        <v>414</v>
      </c>
      <c r="L1975" s="97">
        <f>_xlfn.XLOOKUP(E1975,Emp_Data!$B$2:$B$9,Emp_Data!$A$2:$A$9)</f>
        <v>4</v>
      </c>
    </row>
    <row r="1976" spans="1:12">
      <c r="A1976" s="99">
        <v>1872</v>
      </c>
      <c r="B1976" s="101">
        <v>44809</v>
      </c>
      <c r="C1976" s="96">
        <v>10</v>
      </c>
      <c r="D1976" s="104" t="s">
        <v>34</v>
      </c>
      <c r="E1976" s="97" t="s">
        <v>11</v>
      </c>
      <c r="F1976" s="97" t="str">
        <f>VLOOKUP(E1976,Emp_Data!$B$2:$C$9,2,)</f>
        <v>Steve</v>
      </c>
      <c r="G1976" s="97" t="s">
        <v>12</v>
      </c>
      <c r="H1976" s="97" t="s">
        <v>43</v>
      </c>
      <c r="I1976" s="97">
        <v>69</v>
      </c>
      <c r="J1976" s="97">
        <v>7</v>
      </c>
      <c r="K1976" s="97">
        <f t="shared" si="30"/>
        <v>483</v>
      </c>
      <c r="L1976" s="97">
        <f>_xlfn.XLOOKUP(E1976,Emp_Data!$B$2:$B$9,Emp_Data!$A$2:$A$9)</f>
        <v>4</v>
      </c>
    </row>
    <row r="1977" spans="1:12">
      <c r="A1977" s="99">
        <v>1878</v>
      </c>
      <c r="B1977" s="101">
        <v>44810</v>
      </c>
      <c r="C1977" s="96">
        <v>9</v>
      </c>
      <c r="D1977" s="104" t="s">
        <v>26</v>
      </c>
      <c r="E1977" s="97" t="s">
        <v>27</v>
      </c>
      <c r="F1977" s="97" t="str">
        <f>VLOOKUP(E1977,Emp_Data!$B$2:$C$9,2,)</f>
        <v>Philip</v>
      </c>
      <c r="G1977" s="97" t="s">
        <v>12</v>
      </c>
      <c r="H1977" s="97" t="s">
        <v>43</v>
      </c>
      <c r="I1977" s="97">
        <v>69</v>
      </c>
      <c r="J1977" s="97">
        <v>1</v>
      </c>
      <c r="K1977" s="97">
        <f t="shared" si="30"/>
        <v>69</v>
      </c>
      <c r="L1977" s="97">
        <f>_xlfn.XLOOKUP(E1977,Emp_Data!$B$2:$B$9,Emp_Data!$A$2:$A$9)</f>
        <v>8</v>
      </c>
    </row>
    <row r="1978" spans="1:12">
      <c r="A1978" s="99">
        <v>1881</v>
      </c>
      <c r="B1978" s="101">
        <v>44811</v>
      </c>
      <c r="C1978" s="96">
        <v>9</v>
      </c>
      <c r="D1978" s="104" t="s">
        <v>26</v>
      </c>
      <c r="E1978" s="97" t="s">
        <v>27</v>
      </c>
      <c r="F1978" s="97" t="str">
        <f>VLOOKUP(E1978,Emp_Data!$B$2:$C$9,2,)</f>
        <v>Philip</v>
      </c>
      <c r="G1978" s="97" t="s">
        <v>12</v>
      </c>
      <c r="H1978" s="97" t="s">
        <v>43</v>
      </c>
      <c r="I1978" s="97">
        <v>69</v>
      </c>
      <c r="J1978" s="97">
        <v>8</v>
      </c>
      <c r="K1978" s="97">
        <f t="shared" si="30"/>
        <v>552</v>
      </c>
      <c r="L1978" s="97">
        <f>_xlfn.XLOOKUP(E1978,Emp_Data!$B$2:$B$9,Emp_Data!$A$2:$A$9)</f>
        <v>8</v>
      </c>
    </row>
    <row r="1979" spans="1:12">
      <c r="A1979" s="99">
        <v>1883</v>
      </c>
      <c r="B1979" s="101">
        <v>44812</v>
      </c>
      <c r="C1979" s="96">
        <v>8</v>
      </c>
      <c r="D1979" s="104" t="s">
        <v>36</v>
      </c>
      <c r="E1979" s="97" t="s">
        <v>11</v>
      </c>
      <c r="F1979" s="97" t="str">
        <f>VLOOKUP(E1979,Emp_Data!$B$2:$C$9,2,)</f>
        <v>Steve</v>
      </c>
      <c r="G1979" s="97" t="s">
        <v>12</v>
      </c>
      <c r="H1979" s="97" t="s">
        <v>43</v>
      </c>
      <c r="I1979" s="97">
        <v>69</v>
      </c>
      <c r="J1979" s="97">
        <v>4</v>
      </c>
      <c r="K1979" s="97">
        <f t="shared" si="30"/>
        <v>276</v>
      </c>
      <c r="L1979" s="97">
        <f>_xlfn.XLOOKUP(E1979,Emp_Data!$B$2:$B$9,Emp_Data!$A$2:$A$9)</f>
        <v>4</v>
      </c>
    </row>
    <row r="1980" spans="1:12">
      <c r="A1980" s="99">
        <v>1888</v>
      </c>
      <c r="B1980" s="101">
        <v>44812</v>
      </c>
      <c r="C1980" s="96">
        <v>3</v>
      </c>
      <c r="D1980" s="104" t="s">
        <v>20</v>
      </c>
      <c r="E1980" s="97" t="s">
        <v>14</v>
      </c>
      <c r="F1980" s="97" t="str">
        <f>VLOOKUP(E1980,Emp_Data!$B$2:$C$9,2,)</f>
        <v>Jeff</v>
      </c>
      <c r="G1980" s="97" t="s">
        <v>15</v>
      </c>
      <c r="H1980" s="97" t="s">
        <v>43</v>
      </c>
      <c r="I1980" s="97">
        <v>69</v>
      </c>
      <c r="J1980" s="97">
        <v>7</v>
      </c>
      <c r="K1980" s="97">
        <f t="shared" si="30"/>
        <v>483</v>
      </c>
      <c r="L1980" s="97">
        <f>_xlfn.XLOOKUP(E1980,Emp_Data!$B$2:$B$9,Emp_Data!$A$2:$A$9)</f>
        <v>2</v>
      </c>
    </row>
    <row r="1981" spans="1:12">
      <c r="A1981" s="99">
        <v>1889</v>
      </c>
      <c r="B1981" s="101">
        <v>44813</v>
      </c>
      <c r="C1981" s="96">
        <v>18</v>
      </c>
      <c r="D1981" s="104" t="s">
        <v>30</v>
      </c>
      <c r="E1981" s="97" t="s">
        <v>25</v>
      </c>
      <c r="F1981" s="97" t="str">
        <f>VLOOKUP(E1981,Emp_Data!$B$2:$C$9,2,)</f>
        <v>Jeff</v>
      </c>
      <c r="G1981" s="97" t="s">
        <v>9</v>
      </c>
      <c r="H1981" s="97" t="s">
        <v>43</v>
      </c>
      <c r="I1981" s="97">
        <v>69</v>
      </c>
      <c r="J1981" s="97">
        <v>3</v>
      </c>
      <c r="K1981" s="97">
        <f t="shared" si="30"/>
        <v>207</v>
      </c>
      <c r="L1981" s="97">
        <f>_xlfn.XLOOKUP(E1981,Emp_Data!$B$2:$B$9,Emp_Data!$A$2:$A$9)</f>
        <v>5</v>
      </c>
    </row>
    <row r="1982" spans="1:12">
      <c r="A1982" s="99">
        <v>1905</v>
      </c>
      <c r="B1982" s="101">
        <v>44821</v>
      </c>
      <c r="C1982" s="96">
        <v>14</v>
      </c>
      <c r="D1982" s="104" t="s">
        <v>33</v>
      </c>
      <c r="E1982" s="97" t="s">
        <v>24</v>
      </c>
      <c r="F1982" s="97" t="str">
        <f>VLOOKUP(E1982,Emp_Data!$B$2:$C$9,2,)</f>
        <v>Steve</v>
      </c>
      <c r="G1982" s="97" t="s">
        <v>19</v>
      </c>
      <c r="H1982" s="97" t="s">
        <v>43</v>
      </c>
      <c r="I1982" s="97">
        <v>69</v>
      </c>
      <c r="J1982" s="97">
        <v>5</v>
      </c>
      <c r="K1982" s="97">
        <f t="shared" si="30"/>
        <v>345</v>
      </c>
      <c r="L1982" s="97">
        <f>_xlfn.XLOOKUP(E1982,Emp_Data!$B$2:$B$9,Emp_Data!$A$2:$A$9)</f>
        <v>6</v>
      </c>
    </row>
    <row r="1983" spans="1:12">
      <c r="A1983" s="99">
        <v>1906</v>
      </c>
      <c r="B1983" s="101">
        <v>44821</v>
      </c>
      <c r="C1983" s="96">
        <v>16</v>
      </c>
      <c r="D1983" s="104" t="s">
        <v>37</v>
      </c>
      <c r="E1983" s="97" t="s">
        <v>8</v>
      </c>
      <c r="F1983" s="97" t="str">
        <f>VLOOKUP(E1983,Emp_Data!$B$2:$C$9,2,)</f>
        <v>Jeff</v>
      </c>
      <c r="G1983" s="97" t="s">
        <v>9</v>
      </c>
      <c r="H1983" s="97" t="s">
        <v>43</v>
      </c>
      <c r="I1983" s="97">
        <v>69</v>
      </c>
      <c r="J1983" s="97">
        <v>8</v>
      </c>
      <c r="K1983" s="97">
        <f t="shared" si="30"/>
        <v>552</v>
      </c>
      <c r="L1983" s="97">
        <f>_xlfn.XLOOKUP(E1983,Emp_Data!$B$2:$B$9,Emp_Data!$A$2:$A$9)</f>
        <v>3</v>
      </c>
    </row>
    <row r="1984" spans="1:12">
      <c r="A1984" s="99">
        <v>1907</v>
      </c>
      <c r="B1984" s="101">
        <v>44821</v>
      </c>
      <c r="C1984" s="96">
        <v>1</v>
      </c>
      <c r="D1984" s="104" t="s">
        <v>31</v>
      </c>
      <c r="E1984" s="97" t="s">
        <v>14</v>
      </c>
      <c r="F1984" s="97" t="str">
        <f>VLOOKUP(E1984,Emp_Data!$B$2:$C$9,2,)</f>
        <v>Jeff</v>
      </c>
      <c r="G1984" s="97" t="s">
        <v>15</v>
      </c>
      <c r="H1984" s="97" t="s">
        <v>43</v>
      </c>
      <c r="I1984" s="97">
        <v>69</v>
      </c>
      <c r="J1984" s="97">
        <v>2</v>
      </c>
      <c r="K1984" s="97">
        <f t="shared" si="30"/>
        <v>138</v>
      </c>
      <c r="L1984" s="97">
        <f>_xlfn.XLOOKUP(E1984,Emp_Data!$B$2:$B$9,Emp_Data!$A$2:$A$9)</f>
        <v>2</v>
      </c>
    </row>
    <row r="1985" spans="1:12">
      <c r="A1985" s="99">
        <v>1909</v>
      </c>
      <c r="B1985" s="101">
        <v>44822</v>
      </c>
      <c r="C1985" s="96">
        <v>15</v>
      </c>
      <c r="D1985" s="104" t="s">
        <v>29</v>
      </c>
      <c r="E1985" s="97" t="s">
        <v>24</v>
      </c>
      <c r="F1985" s="97" t="str">
        <f>VLOOKUP(E1985,Emp_Data!$B$2:$C$9,2,)</f>
        <v>Steve</v>
      </c>
      <c r="G1985" s="97" t="s">
        <v>19</v>
      </c>
      <c r="H1985" s="97" t="s">
        <v>43</v>
      </c>
      <c r="I1985" s="97">
        <v>69</v>
      </c>
      <c r="J1985" s="97">
        <v>8</v>
      </c>
      <c r="K1985" s="97">
        <f t="shared" si="30"/>
        <v>552</v>
      </c>
      <c r="L1985" s="97">
        <f>_xlfn.XLOOKUP(E1985,Emp_Data!$B$2:$B$9,Emp_Data!$A$2:$A$9)</f>
        <v>6</v>
      </c>
    </row>
    <row r="1986" spans="1:12">
      <c r="A1986" s="99">
        <v>1913</v>
      </c>
      <c r="B1986" s="101">
        <v>44823</v>
      </c>
      <c r="C1986" s="96">
        <v>16</v>
      </c>
      <c r="D1986" s="104" t="s">
        <v>37</v>
      </c>
      <c r="E1986" s="97" t="s">
        <v>25</v>
      </c>
      <c r="F1986" s="97" t="str">
        <f>VLOOKUP(E1986,Emp_Data!$B$2:$C$9,2,)</f>
        <v>Jeff</v>
      </c>
      <c r="G1986" s="97" t="s">
        <v>9</v>
      </c>
      <c r="H1986" s="97" t="s">
        <v>43</v>
      </c>
      <c r="I1986" s="97">
        <v>69</v>
      </c>
      <c r="J1986" s="97">
        <v>5</v>
      </c>
      <c r="K1986" s="97">
        <f t="shared" si="30"/>
        <v>345</v>
      </c>
      <c r="L1986" s="97">
        <f>_xlfn.XLOOKUP(E1986,Emp_Data!$B$2:$B$9,Emp_Data!$A$2:$A$9)</f>
        <v>5</v>
      </c>
    </row>
    <row r="1987" spans="1:12">
      <c r="A1987" s="99">
        <v>1914</v>
      </c>
      <c r="B1987" s="101">
        <v>44823</v>
      </c>
      <c r="C1987" s="96">
        <v>9</v>
      </c>
      <c r="D1987" s="104" t="s">
        <v>26</v>
      </c>
      <c r="E1987" s="97" t="s">
        <v>11</v>
      </c>
      <c r="F1987" s="97" t="str">
        <f>VLOOKUP(E1987,Emp_Data!$B$2:$C$9,2,)</f>
        <v>Steve</v>
      </c>
      <c r="G1987" s="97" t="s">
        <v>12</v>
      </c>
      <c r="H1987" s="97" t="s">
        <v>43</v>
      </c>
      <c r="I1987" s="97">
        <v>69</v>
      </c>
      <c r="J1987" s="97">
        <v>0</v>
      </c>
      <c r="K1987" s="97">
        <f t="shared" ref="K1987:K2001" si="31">SUMPRODUCT(I1987,J1987)</f>
        <v>0</v>
      </c>
      <c r="L1987" s="97">
        <f>_xlfn.XLOOKUP(E1987,Emp_Data!$B$2:$B$9,Emp_Data!$A$2:$A$9)</f>
        <v>4</v>
      </c>
    </row>
    <row r="1988" spans="1:12">
      <c r="A1988" s="99">
        <v>1941</v>
      </c>
      <c r="B1988" s="101">
        <v>44832</v>
      </c>
      <c r="C1988" s="96">
        <v>11</v>
      </c>
      <c r="D1988" s="104" t="s">
        <v>38</v>
      </c>
      <c r="E1988" s="97" t="s">
        <v>24</v>
      </c>
      <c r="F1988" s="97" t="str">
        <f>VLOOKUP(E1988,Emp_Data!$B$2:$C$9,2,)</f>
        <v>Steve</v>
      </c>
      <c r="G1988" s="97" t="s">
        <v>19</v>
      </c>
      <c r="H1988" s="97" t="s">
        <v>43</v>
      </c>
      <c r="I1988" s="97">
        <v>69</v>
      </c>
      <c r="J1988" s="97">
        <v>3</v>
      </c>
      <c r="K1988" s="97">
        <f t="shared" si="31"/>
        <v>207</v>
      </c>
      <c r="L1988" s="97">
        <f>_xlfn.XLOOKUP(E1988,Emp_Data!$B$2:$B$9,Emp_Data!$A$2:$A$9)</f>
        <v>6</v>
      </c>
    </row>
    <row r="1989" spans="1:12">
      <c r="A1989" s="99">
        <v>1943</v>
      </c>
      <c r="B1989" s="101">
        <v>44833</v>
      </c>
      <c r="C1989" s="96">
        <v>18</v>
      </c>
      <c r="D1989" s="104" t="s">
        <v>30</v>
      </c>
      <c r="E1989" s="97" t="s">
        <v>25</v>
      </c>
      <c r="F1989" s="97" t="str">
        <f>VLOOKUP(E1989,Emp_Data!$B$2:$C$9,2,)</f>
        <v>Jeff</v>
      </c>
      <c r="G1989" s="97" t="s">
        <v>9</v>
      </c>
      <c r="H1989" s="97" t="s">
        <v>43</v>
      </c>
      <c r="I1989" s="97">
        <v>69</v>
      </c>
      <c r="J1989" s="97">
        <v>3</v>
      </c>
      <c r="K1989" s="97">
        <f t="shared" si="31"/>
        <v>207</v>
      </c>
      <c r="L1989" s="97">
        <f>_xlfn.XLOOKUP(E1989,Emp_Data!$B$2:$B$9,Emp_Data!$A$2:$A$9)</f>
        <v>5</v>
      </c>
    </row>
    <row r="1990" spans="1:12">
      <c r="A1990" s="99">
        <v>1950</v>
      </c>
      <c r="B1990" s="101">
        <v>44834</v>
      </c>
      <c r="C1990" s="96">
        <v>9</v>
      </c>
      <c r="D1990" s="104" t="s">
        <v>26</v>
      </c>
      <c r="E1990" s="97" t="s">
        <v>11</v>
      </c>
      <c r="F1990" s="97" t="str">
        <f>VLOOKUP(E1990,Emp_Data!$B$2:$C$9,2,)</f>
        <v>Steve</v>
      </c>
      <c r="G1990" s="97" t="s">
        <v>12</v>
      </c>
      <c r="H1990" s="97" t="s">
        <v>43</v>
      </c>
      <c r="I1990" s="97">
        <v>69</v>
      </c>
      <c r="J1990" s="97">
        <v>7</v>
      </c>
      <c r="K1990" s="97">
        <f t="shared" si="31"/>
        <v>483</v>
      </c>
      <c r="L1990" s="97">
        <f>_xlfn.XLOOKUP(E1990,Emp_Data!$B$2:$B$9,Emp_Data!$A$2:$A$9)</f>
        <v>4</v>
      </c>
    </row>
    <row r="1991" spans="1:12">
      <c r="A1991" s="99">
        <v>1953</v>
      </c>
      <c r="B1991" s="101">
        <v>44835</v>
      </c>
      <c r="C1991" s="96">
        <v>18</v>
      </c>
      <c r="D1991" s="104" t="s">
        <v>30</v>
      </c>
      <c r="E1991" s="97" t="s">
        <v>8</v>
      </c>
      <c r="F1991" s="97" t="str">
        <f>VLOOKUP(E1991,Emp_Data!$B$2:$C$9,2,)</f>
        <v>Jeff</v>
      </c>
      <c r="G1991" s="97" t="s">
        <v>9</v>
      </c>
      <c r="H1991" s="97" t="s">
        <v>43</v>
      </c>
      <c r="I1991" s="97">
        <v>69</v>
      </c>
      <c r="J1991" s="97">
        <v>0</v>
      </c>
      <c r="K1991" s="97">
        <f t="shared" si="31"/>
        <v>0</v>
      </c>
      <c r="L1991" s="97">
        <f>_xlfn.XLOOKUP(E1991,Emp_Data!$B$2:$B$9,Emp_Data!$A$2:$A$9)</f>
        <v>3</v>
      </c>
    </row>
    <row r="1992" spans="1:12">
      <c r="A1992" s="99">
        <v>1959</v>
      </c>
      <c r="B1992" s="101">
        <v>44837</v>
      </c>
      <c r="C1992" s="96">
        <v>12</v>
      </c>
      <c r="D1992" s="104" t="s">
        <v>17</v>
      </c>
      <c r="E1992" s="97" t="s">
        <v>18</v>
      </c>
      <c r="F1992" s="97" t="str">
        <f>VLOOKUP(E1992,Emp_Data!$B$2:$C$9,2,)</f>
        <v>Sara</v>
      </c>
      <c r="G1992" s="97" t="s">
        <v>19</v>
      </c>
      <c r="H1992" s="97" t="s">
        <v>43</v>
      </c>
      <c r="I1992" s="97">
        <v>69</v>
      </c>
      <c r="J1992" s="97">
        <v>7</v>
      </c>
      <c r="K1992" s="97">
        <f t="shared" si="31"/>
        <v>483</v>
      </c>
      <c r="L1992" s="97">
        <f>_xlfn.XLOOKUP(E1992,Emp_Data!$B$2:$B$9,Emp_Data!$A$2:$A$9)</f>
        <v>5</v>
      </c>
    </row>
    <row r="1993" spans="1:12">
      <c r="A1993" s="99">
        <v>1968</v>
      </c>
      <c r="B1993" s="101">
        <v>44839</v>
      </c>
      <c r="C1993" s="96">
        <v>1</v>
      </c>
      <c r="D1993" s="104" t="s">
        <v>31</v>
      </c>
      <c r="E1993" s="97" t="s">
        <v>21</v>
      </c>
      <c r="F1993" s="97" t="str">
        <f>VLOOKUP(E1993,Emp_Data!$B$2:$C$9,2,)</f>
        <v>Sara</v>
      </c>
      <c r="G1993" s="97" t="s">
        <v>15</v>
      </c>
      <c r="H1993" s="97" t="s">
        <v>43</v>
      </c>
      <c r="I1993" s="97">
        <v>69</v>
      </c>
      <c r="J1993" s="97">
        <v>2</v>
      </c>
      <c r="K1993" s="97">
        <f t="shared" si="31"/>
        <v>138</v>
      </c>
      <c r="L1993" s="97">
        <f>_xlfn.XLOOKUP(E1993,Emp_Data!$B$2:$B$9,Emp_Data!$A$2:$A$9)</f>
        <v>2</v>
      </c>
    </row>
    <row r="1994" spans="1:12">
      <c r="A1994" s="99">
        <v>1971</v>
      </c>
      <c r="B1994" s="101">
        <v>44839</v>
      </c>
      <c r="C1994" s="96">
        <v>17</v>
      </c>
      <c r="D1994" s="104" t="s">
        <v>32</v>
      </c>
      <c r="E1994" s="97" t="s">
        <v>25</v>
      </c>
      <c r="F1994" s="97" t="str">
        <f>VLOOKUP(E1994,Emp_Data!$B$2:$C$9,2,)</f>
        <v>Jeff</v>
      </c>
      <c r="G1994" s="97" t="s">
        <v>9</v>
      </c>
      <c r="H1994" s="97" t="s">
        <v>43</v>
      </c>
      <c r="I1994" s="97">
        <v>69</v>
      </c>
      <c r="J1994" s="97">
        <v>6</v>
      </c>
      <c r="K1994" s="97">
        <f t="shared" si="31"/>
        <v>414</v>
      </c>
      <c r="L1994" s="97">
        <f>_xlfn.XLOOKUP(E1994,Emp_Data!$B$2:$B$9,Emp_Data!$A$2:$A$9)</f>
        <v>5</v>
      </c>
    </row>
    <row r="1995" spans="1:12">
      <c r="A1995" s="99">
        <v>1972</v>
      </c>
      <c r="B1995" s="101">
        <v>44839</v>
      </c>
      <c r="C1995" s="96">
        <v>8</v>
      </c>
      <c r="D1995" s="104" t="s">
        <v>36</v>
      </c>
      <c r="E1995" s="97" t="s">
        <v>27</v>
      </c>
      <c r="F1995" s="97" t="str">
        <f>VLOOKUP(E1995,Emp_Data!$B$2:$C$9,2,)</f>
        <v>Philip</v>
      </c>
      <c r="G1995" s="97" t="s">
        <v>12</v>
      </c>
      <c r="H1995" s="97" t="s">
        <v>43</v>
      </c>
      <c r="I1995" s="97">
        <v>69</v>
      </c>
      <c r="J1995" s="97">
        <v>0</v>
      </c>
      <c r="K1995" s="97">
        <f t="shared" si="31"/>
        <v>0</v>
      </c>
      <c r="L1995" s="97">
        <f>_xlfn.XLOOKUP(E1995,Emp_Data!$B$2:$B$9,Emp_Data!$A$2:$A$9)</f>
        <v>8</v>
      </c>
    </row>
    <row r="1996" spans="1:12">
      <c r="A1996" s="99">
        <v>1980</v>
      </c>
      <c r="B1996" s="101">
        <v>44843</v>
      </c>
      <c r="C1996" s="96">
        <v>17</v>
      </c>
      <c r="D1996" s="104" t="s">
        <v>32</v>
      </c>
      <c r="E1996" s="97" t="s">
        <v>25</v>
      </c>
      <c r="F1996" s="97" t="str">
        <f>VLOOKUP(E1996,Emp_Data!$B$2:$C$9,2,)</f>
        <v>Jeff</v>
      </c>
      <c r="G1996" s="97" t="s">
        <v>9</v>
      </c>
      <c r="H1996" s="97" t="s">
        <v>43</v>
      </c>
      <c r="I1996" s="97">
        <v>69</v>
      </c>
      <c r="J1996" s="97">
        <v>4</v>
      </c>
      <c r="K1996" s="97">
        <f t="shared" si="31"/>
        <v>276</v>
      </c>
      <c r="L1996" s="97">
        <f>_xlfn.XLOOKUP(E1996,Emp_Data!$B$2:$B$9,Emp_Data!$A$2:$A$9)</f>
        <v>5</v>
      </c>
    </row>
    <row r="1997" spans="1:12">
      <c r="A1997" s="99">
        <v>1982</v>
      </c>
      <c r="B1997" s="101">
        <v>44843</v>
      </c>
      <c r="C1997" s="96">
        <v>15</v>
      </c>
      <c r="D1997" s="104" t="s">
        <v>29</v>
      </c>
      <c r="E1997" s="97" t="s">
        <v>24</v>
      </c>
      <c r="F1997" s="97" t="str">
        <f>VLOOKUP(E1997,Emp_Data!$B$2:$C$9,2,)</f>
        <v>Steve</v>
      </c>
      <c r="G1997" s="97" t="s">
        <v>19</v>
      </c>
      <c r="H1997" s="97" t="s">
        <v>43</v>
      </c>
      <c r="I1997" s="97">
        <v>69</v>
      </c>
      <c r="J1997" s="97">
        <v>1</v>
      </c>
      <c r="K1997" s="97">
        <f t="shared" si="31"/>
        <v>69</v>
      </c>
      <c r="L1997" s="97">
        <f>_xlfn.XLOOKUP(E1997,Emp_Data!$B$2:$B$9,Emp_Data!$A$2:$A$9)</f>
        <v>6</v>
      </c>
    </row>
    <row r="1998" spans="1:12">
      <c r="A1998" s="99">
        <v>1986</v>
      </c>
      <c r="B1998" s="101">
        <v>44846</v>
      </c>
      <c r="C1998" s="96">
        <v>1</v>
      </c>
      <c r="D1998" s="104" t="s">
        <v>31</v>
      </c>
      <c r="E1998" s="97" t="s">
        <v>14</v>
      </c>
      <c r="F1998" s="97" t="str">
        <f>VLOOKUP(E1998,Emp_Data!$B$2:$C$9,2,)</f>
        <v>Jeff</v>
      </c>
      <c r="G1998" s="97" t="s">
        <v>15</v>
      </c>
      <c r="H1998" s="97" t="s">
        <v>43</v>
      </c>
      <c r="I1998" s="97">
        <v>69</v>
      </c>
      <c r="J1998" s="97">
        <v>8</v>
      </c>
      <c r="K1998" s="97">
        <f t="shared" si="31"/>
        <v>552</v>
      </c>
      <c r="L1998" s="97">
        <f>_xlfn.XLOOKUP(E1998,Emp_Data!$B$2:$B$9,Emp_Data!$A$2:$A$9)</f>
        <v>2</v>
      </c>
    </row>
    <row r="1999" spans="1:12">
      <c r="A1999" s="99">
        <v>1994</v>
      </c>
      <c r="B1999" s="101">
        <v>44850</v>
      </c>
      <c r="C1999" s="96">
        <v>3</v>
      </c>
      <c r="D1999" s="104" t="s">
        <v>20</v>
      </c>
      <c r="E1999" s="97" t="s">
        <v>14</v>
      </c>
      <c r="F1999" s="97" t="str">
        <f>VLOOKUP(E1999,Emp_Data!$B$2:$C$9,2,)</f>
        <v>Jeff</v>
      </c>
      <c r="G1999" s="97" t="s">
        <v>15</v>
      </c>
      <c r="H1999" s="97" t="s">
        <v>43</v>
      </c>
      <c r="I1999" s="97">
        <v>69</v>
      </c>
      <c r="J1999" s="97">
        <v>3</v>
      </c>
      <c r="K1999" s="97">
        <f t="shared" si="31"/>
        <v>207</v>
      </c>
      <c r="L1999" s="97">
        <f>_xlfn.XLOOKUP(E1999,Emp_Data!$B$2:$B$9,Emp_Data!$A$2:$A$9)</f>
        <v>2</v>
      </c>
    </row>
    <row r="2000" spans="1:12">
      <c r="A2000" s="99">
        <v>1996</v>
      </c>
      <c r="B2000" s="101">
        <v>44850</v>
      </c>
      <c r="C2000" s="96">
        <v>9</v>
      </c>
      <c r="D2000" s="104" t="s">
        <v>26</v>
      </c>
      <c r="E2000" s="97" t="s">
        <v>11</v>
      </c>
      <c r="F2000" s="97" t="str">
        <f>VLOOKUP(E2000,Emp_Data!$B$2:$C$9,2,)</f>
        <v>Steve</v>
      </c>
      <c r="G2000" s="97" t="s">
        <v>12</v>
      </c>
      <c r="H2000" s="97" t="s">
        <v>43</v>
      </c>
      <c r="I2000" s="97">
        <v>69</v>
      </c>
      <c r="J2000" s="97">
        <v>8</v>
      </c>
      <c r="K2000" s="97">
        <f t="shared" si="31"/>
        <v>552</v>
      </c>
      <c r="L2000" s="97">
        <f>_xlfn.XLOOKUP(E2000,Emp_Data!$B$2:$B$9,Emp_Data!$A$2:$A$9)</f>
        <v>4</v>
      </c>
    </row>
    <row r="2001" spans="1:12">
      <c r="A2001" s="99">
        <v>1997</v>
      </c>
      <c r="B2001" s="101">
        <v>44850</v>
      </c>
      <c r="C2001" s="96">
        <v>5</v>
      </c>
      <c r="D2001" s="104" t="s">
        <v>16</v>
      </c>
      <c r="E2001" s="97" t="s">
        <v>21</v>
      </c>
      <c r="F2001" s="97" t="str">
        <f>VLOOKUP(E2001,Emp_Data!$B$2:$C$9,2,)</f>
        <v>Sara</v>
      </c>
      <c r="G2001" s="97" t="s">
        <v>15</v>
      </c>
      <c r="H2001" s="97" t="s">
        <v>43</v>
      </c>
      <c r="I2001" s="97">
        <v>69</v>
      </c>
      <c r="J2001" s="97">
        <v>6</v>
      </c>
      <c r="K2001" s="97">
        <f t="shared" si="31"/>
        <v>414</v>
      </c>
      <c r="L2001" s="97">
        <f>_xlfn.XLOOKUP(E2001,Emp_Data!$B$2:$B$9,Emp_Data!$A$2:$A$9)</f>
        <v>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1C19D-0310-414C-BEE1-0FC5E6BEB124}">
  <dimension ref="A1:C9"/>
  <sheetViews>
    <sheetView zoomScale="220" zoomScaleNormal="220" workbookViewId="0">
      <selection activeCell="D7" sqref="D7"/>
    </sheetView>
  </sheetViews>
  <sheetFormatPr defaultRowHeight="14.4"/>
  <cols>
    <col min="1" max="1" width="15.6640625" bestFit="1" customWidth="1"/>
    <col min="2" max="2" width="16.33203125" bestFit="1" customWidth="1"/>
    <col min="3" max="3" width="11.33203125" bestFit="1" customWidth="1"/>
  </cols>
  <sheetData>
    <row r="1" spans="1:3" s="1" customFormat="1" ht="15">
      <c r="A1" s="90" t="s">
        <v>49</v>
      </c>
      <c r="B1" s="90" t="s">
        <v>3</v>
      </c>
      <c r="C1" s="90" t="s">
        <v>44</v>
      </c>
    </row>
    <row r="2" spans="1:3">
      <c r="A2" s="91">
        <v>3</v>
      </c>
      <c r="B2" s="92" t="s">
        <v>8</v>
      </c>
      <c r="C2" s="92" t="s">
        <v>45</v>
      </c>
    </row>
    <row r="3" spans="1:3">
      <c r="A3" s="91">
        <v>4</v>
      </c>
      <c r="B3" s="92" t="s">
        <v>11</v>
      </c>
      <c r="C3" s="92" t="s">
        <v>46</v>
      </c>
    </row>
    <row r="4" spans="1:3">
      <c r="A4" s="91">
        <v>2</v>
      </c>
      <c r="B4" s="92" t="s">
        <v>14</v>
      </c>
      <c r="C4" s="92" t="s">
        <v>45</v>
      </c>
    </row>
    <row r="5" spans="1:3">
      <c r="A5" s="91">
        <v>5</v>
      </c>
      <c r="B5" s="92" t="s">
        <v>18</v>
      </c>
      <c r="C5" s="92" t="s">
        <v>47</v>
      </c>
    </row>
    <row r="6" spans="1:3">
      <c r="A6" s="91">
        <v>2</v>
      </c>
      <c r="B6" s="92" t="s">
        <v>21</v>
      </c>
      <c r="C6" s="92" t="s">
        <v>47</v>
      </c>
    </row>
    <row r="7" spans="1:3">
      <c r="A7" s="91">
        <v>6</v>
      </c>
      <c r="B7" s="92" t="s">
        <v>24</v>
      </c>
      <c r="C7" s="92" t="s">
        <v>46</v>
      </c>
    </row>
    <row r="8" spans="1:3">
      <c r="A8" s="91">
        <v>5</v>
      </c>
      <c r="B8" s="92" t="s">
        <v>25</v>
      </c>
      <c r="C8" s="92" t="s">
        <v>45</v>
      </c>
    </row>
    <row r="9" spans="1:3">
      <c r="A9" s="91">
        <v>8</v>
      </c>
      <c r="B9" s="92" t="s">
        <v>27</v>
      </c>
      <c r="C9" s="92" t="s">
        <v>48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INDEX</vt:lpstr>
      <vt:lpstr>Dashboard</vt:lpstr>
      <vt:lpstr>YWS</vt:lpstr>
      <vt:lpstr>MWS</vt:lpstr>
      <vt:lpstr>SWS</vt:lpstr>
      <vt:lpstr>PWS</vt:lpstr>
      <vt:lpstr>MWRS</vt:lpstr>
      <vt:lpstr>Sales_Data</vt:lpstr>
      <vt:lpstr>Emp_Data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HarishMahale</dc:creator>
  <cp:lastModifiedBy>Santosh Kumar</cp:lastModifiedBy>
  <dcterms:created xsi:type="dcterms:W3CDTF">2023-07-10T18:58:16Z</dcterms:created>
  <dcterms:modified xsi:type="dcterms:W3CDTF">2025-01-19T16:02:18Z</dcterms:modified>
</cp:coreProperties>
</file>