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S Notes\"/>
    </mc:Choice>
  </mc:AlternateContent>
  <xr:revisionPtr revIDLastSave="0" documentId="13_ncr:1_{CAD70ADB-275F-4E32-B44F-4BD21C47B4F7}" xr6:coauthVersionLast="47" xr6:coauthVersionMax="47" xr10:uidLastSave="{00000000-0000-0000-0000-000000000000}"/>
  <bookViews>
    <workbookView xWindow="-108" yWindow="-108" windowWidth="23256" windowHeight="12456" activeTab="1" xr2:uid="{72CAF0AB-87BA-43B2-AC13-13F2C7F810BC}"/>
  </bookViews>
  <sheets>
    <sheet name="Form" sheetId="1" r:id="rId1"/>
    <sheet name="Data" sheetId="2" r:id="rId2"/>
    <sheet name="Invoice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" i="1" l="1"/>
  <c r="L4" i="1"/>
  <c r="E14" i="1"/>
  <c r="E22" i="1" s="1"/>
  <c r="T4" i="1" s="1"/>
  <c r="E18" i="1"/>
  <c r="R4" i="1" s="1"/>
  <c r="E16" i="1"/>
  <c r="Q4" i="1" s="1"/>
  <c r="S4" i="1"/>
  <c r="O4" i="1"/>
  <c r="M4" i="1"/>
  <c r="P4" i="1" l="1"/>
</calcChain>
</file>

<file path=xl/sharedStrings.xml><?xml version="1.0" encoding="utf-8"?>
<sst xmlns="http://schemas.openxmlformats.org/spreadsheetml/2006/main" count="120" uniqueCount="60">
  <si>
    <t>NAME</t>
  </si>
  <si>
    <t>PHONE</t>
  </si>
  <si>
    <t>ADDRESS</t>
  </si>
  <si>
    <t>COURSE</t>
  </si>
  <si>
    <t>FEES</t>
  </si>
  <si>
    <t>DURATION</t>
  </si>
  <si>
    <t>ADVANCE</t>
  </si>
  <si>
    <t>BALANCE</t>
  </si>
  <si>
    <t>DOA</t>
  </si>
  <si>
    <t>ADMISSION FORM</t>
  </si>
  <si>
    <t>Course</t>
  </si>
  <si>
    <t>Duration</t>
  </si>
  <si>
    <t>Fees</t>
  </si>
  <si>
    <t>ADCA</t>
  </si>
  <si>
    <t>TALLY</t>
  </si>
  <si>
    <t>DIH</t>
  </si>
  <si>
    <t>MONGO DB</t>
  </si>
  <si>
    <t>PYTHON</t>
  </si>
  <si>
    <t>JAVA</t>
  </si>
  <si>
    <t>NODE JS</t>
  </si>
  <si>
    <t>DE</t>
  </si>
  <si>
    <t>DS</t>
  </si>
  <si>
    <t>DA</t>
  </si>
  <si>
    <t>HARDWARE</t>
  </si>
  <si>
    <t>SECURITY</t>
  </si>
  <si>
    <t>NETWORKING</t>
  </si>
  <si>
    <t>ANSIBLE</t>
  </si>
  <si>
    <t>AWS</t>
  </si>
  <si>
    <t>3 MONTHS</t>
  </si>
  <si>
    <t>1 MONTH</t>
  </si>
  <si>
    <t>6 MONTHS</t>
  </si>
  <si>
    <t>2 MONTHS</t>
  </si>
  <si>
    <t>12 MONTHS</t>
  </si>
  <si>
    <t>8 MONTHS</t>
  </si>
  <si>
    <t>4 MONTHS</t>
  </si>
  <si>
    <t>Address</t>
  </si>
  <si>
    <t>Patna</t>
  </si>
  <si>
    <t>name</t>
  </si>
  <si>
    <t>phone</t>
  </si>
  <si>
    <t>course</t>
  </si>
  <si>
    <t>fees</t>
  </si>
  <si>
    <t>duration</t>
  </si>
  <si>
    <t>Avinash</t>
  </si>
  <si>
    <t>Santosh</t>
  </si>
  <si>
    <t>Ranjan</t>
  </si>
  <si>
    <t>Buxar</t>
  </si>
  <si>
    <t>Name</t>
  </si>
  <si>
    <t>Phone</t>
  </si>
  <si>
    <t>Advance</t>
  </si>
  <si>
    <t>Balance</t>
  </si>
  <si>
    <t xml:space="preserve">Receipt  </t>
  </si>
  <si>
    <t>Akshay</t>
  </si>
  <si>
    <t>Sumit</t>
  </si>
  <si>
    <t>Ankit</t>
  </si>
  <si>
    <t>Abhishek</t>
  </si>
  <si>
    <t>Rakesh</t>
  </si>
  <si>
    <t>Raman</t>
  </si>
  <si>
    <t>Rajnish</t>
  </si>
  <si>
    <t>Shivam</t>
  </si>
  <si>
    <t>Punpun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</si>
</sst>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4"/>
      <color theme="1"/>
      <name val="Algerian"/>
      <family val="5"/>
    </font>
    <font>
      <sz val="28"/>
      <color theme="1"/>
      <name val="Monotype Corsiva"/>
      <family val="4"/>
    </font>
    <font>
      <sz val="36"/>
      <color theme="1"/>
      <name val="Monotype Corsiva"/>
      <family val="4"/>
    </font>
    <font>
      <b/>
      <sz val="14"/>
      <name val="Algerian"/>
      <family val="5"/>
    </font>
    <font>
      <b/>
      <sz val="22"/>
      <color theme="1"/>
      <name val="Algerian"/>
      <family val="5"/>
    </font>
    <font>
      <b/>
      <sz val="14"/>
      <color theme="1"/>
      <name val="Algerian"/>
      <family val="5"/>
    </font>
    <font>
      <sz val="36"/>
      <color theme="1"/>
      <name val="Algerian"/>
      <family val="5"/>
    </font>
    <font>
      <sz val="3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6C3FF"/>
        <bgColor indexed="64"/>
      </patternFill>
    </fill>
    <fill>
      <patternFill patternType="solid">
        <fgColor rgb="FFFF7C8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2" fillId="2" borderId="3" xfId="0" applyFont="1" applyFill="1" applyBorder="1"/>
    <xf numFmtId="0" fontId="3" fillId="2" borderId="3" xfId="0" applyFont="1" applyFill="1" applyBorder="1"/>
    <xf numFmtId="0" fontId="0" fillId="2" borderId="2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0" xfId="0" applyFill="1"/>
    <xf numFmtId="0" fontId="0" fillId="2" borderId="6" xfId="0" applyFill="1" applyBorder="1"/>
    <xf numFmtId="0" fontId="1" fillId="2" borderId="6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4" fillId="3" borderId="1" xfId="0" applyFont="1" applyFill="1" applyBorder="1"/>
    <xf numFmtId="14" fontId="0" fillId="0" borderId="0" xfId="0" applyNumberFormat="1"/>
    <xf numFmtId="0" fontId="6" fillId="2" borderId="1" xfId="0" applyFont="1" applyFill="1" applyBorder="1" applyAlignment="1">
      <alignment horizontal="center" vertical="center"/>
    </xf>
    <xf numFmtId="14" fontId="6" fillId="2" borderId="1" xfId="0" applyNumberFormat="1" applyFont="1" applyFill="1" applyBorder="1" applyAlignment="1">
      <alignment horizontal="center" vertical="center"/>
    </xf>
    <xf numFmtId="0" fontId="5" fillId="4" borderId="10" xfId="0" applyFont="1" applyFill="1" applyBorder="1"/>
    <xf numFmtId="0" fontId="5" fillId="4" borderId="11" xfId="0" applyFont="1" applyFill="1" applyBorder="1"/>
    <xf numFmtId="0" fontId="5" fillId="4" borderId="12" xfId="0" applyFont="1" applyFill="1" applyBorder="1"/>
    <xf numFmtId="0" fontId="0" fillId="0" borderId="1" xfId="0" applyBorder="1"/>
    <xf numFmtId="0" fontId="0" fillId="0" borderId="0" xfId="0" applyBorder="1"/>
    <xf numFmtId="0" fontId="6" fillId="5" borderId="1" xfId="0" applyFont="1" applyFill="1" applyBorder="1"/>
    <xf numFmtId="0" fontId="6" fillId="5" borderId="3" xfId="0" applyFont="1" applyFill="1" applyBorder="1"/>
    <xf numFmtId="0" fontId="6" fillId="5" borderId="0" xfId="0" applyFont="1" applyFill="1" applyBorder="1"/>
    <xf numFmtId="0" fontId="6" fillId="5" borderId="8" xfId="0" applyFont="1" applyFill="1" applyBorder="1"/>
    <xf numFmtId="0" fontId="7" fillId="5" borderId="0" xfId="0" applyFont="1" applyFill="1" applyAlignment="1">
      <alignment horizontal="center"/>
    </xf>
    <xf numFmtId="0" fontId="8" fillId="5" borderId="0" xfId="0" applyFont="1" applyFill="1" applyAlignment="1">
      <alignment horizontal="center"/>
    </xf>
    <xf numFmtId="0" fontId="6" fillId="5" borderId="1" xfId="0" applyFont="1" applyFill="1" applyBorder="1" applyAlignment="1">
      <alignment horizontal="center" vertical="center"/>
    </xf>
  </cellXfs>
  <cellStyles count="1">
    <cellStyle name="Normal" xfId="0" builtinId="0"/>
  </cellStyles>
  <dxfs count="3"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Algerian"/>
        <family val="5"/>
        <scheme val="none"/>
      </font>
      <fill>
        <patternFill patternType="solid">
          <fgColor indexed="64"/>
          <bgColor rgb="FFF6C3FF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7C80"/>
      <color rgb="FF8CF6FE"/>
      <color rgb="FF10D4EE"/>
      <color rgb="FF34D4D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</xdr:row>
      <xdr:rowOff>7620</xdr:rowOff>
    </xdr:from>
    <xdr:to>
      <xdr:col>5</xdr:col>
      <xdr:colOff>7620</xdr:colOff>
      <xdr:row>26</xdr:row>
      <xdr:rowOff>0</xdr:rowOff>
    </xdr:to>
    <xdr:sp macro="[0]!Final" textlink="">
      <xdr:nvSpPr>
        <xdr:cNvPr id="3" name="Rectangle 2">
          <a:extLst>
            <a:ext uri="{FF2B5EF4-FFF2-40B4-BE49-F238E27FC236}">
              <a16:creationId xmlns:a16="http://schemas.microsoft.com/office/drawing/2014/main" id="{CEAA0F1F-B220-8724-43C6-12BF7B316ECC}"/>
            </a:ext>
          </a:extLst>
        </xdr:cNvPr>
        <xdr:cNvSpPr/>
      </xdr:nvSpPr>
      <xdr:spPr>
        <a:xfrm>
          <a:off x="1219200" y="4792980"/>
          <a:ext cx="3154680" cy="541020"/>
        </a:xfrm>
        <a:prstGeom prst="rect">
          <a:avLst/>
        </a:prstGeom>
        <a:gradFill flip="none" rotWithShape="1">
          <a:gsLst>
            <a:gs pos="10000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path path="circle">
            <a:fillToRect t="100000" r="100000"/>
          </a:path>
          <a:tileRect l="-100000" b="-100000"/>
        </a:gradFill>
        <a:ln w="3810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n-IN" sz="3200" kern="1200">
              <a:latin typeface="Algerian" panose="04020705040A02060702" pitchFamily="82" charset="0"/>
            </a:rPr>
            <a:t>Save &amp; PRINT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525780</xdr:colOff>
      <xdr:row>0</xdr:row>
      <xdr:rowOff>114300</xdr:rowOff>
    </xdr:from>
    <xdr:to>
      <xdr:col>22</xdr:col>
      <xdr:colOff>53340</xdr:colOff>
      <xdr:row>5</xdr:row>
      <xdr:rowOff>22860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CDA108E-53EA-FC1E-EC7A-3280A433CB7F}"/>
            </a:ext>
          </a:extLst>
        </xdr:cNvPr>
        <xdr:cNvSpPr txBox="1"/>
      </xdr:nvSpPr>
      <xdr:spPr>
        <a:xfrm flipH="1">
          <a:off x="9060180" y="114300"/>
          <a:ext cx="4404360" cy="8229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IN" sz="4800" b="1" kern="1200">
            <a:latin typeface="Algerian" panose="04020705040A02060702" pitchFamily="82" charset="0"/>
          </a:endParaRPr>
        </a:p>
      </xdr:txBody>
    </xdr:sp>
    <xdr:clientData/>
  </xdr:twoCellAnchor>
  <xdr:twoCellAnchor>
    <xdr:from>
      <xdr:col>0</xdr:col>
      <xdr:colOff>426720</xdr:colOff>
      <xdr:row>1</xdr:row>
      <xdr:rowOff>53340</xdr:rowOff>
    </xdr:from>
    <xdr:to>
      <xdr:col>4</xdr:col>
      <xdr:colOff>160020</xdr:colOff>
      <xdr:row>17</xdr:row>
      <xdr:rowOff>175260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88DA5A6E-7653-05DE-E4DA-F3C795164397}"/>
            </a:ext>
          </a:extLst>
        </xdr:cNvPr>
        <xdr:cNvSpPr/>
      </xdr:nvSpPr>
      <xdr:spPr>
        <a:xfrm>
          <a:off x="426720" y="236220"/>
          <a:ext cx="2956560" cy="5143500"/>
        </a:xfrm>
        <a:prstGeom prst="rect">
          <a:avLst/>
        </a:prstGeom>
        <a:noFill/>
        <a:ln w="63500" cmpd="dbl">
          <a:solidFill>
            <a:schemeClr val="accent2">
              <a:lumMod val="75000"/>
            </a:schemeClr>
          </a:solidFill>
          <a:round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3</xdr:col>
      <xdr:colOff>1402080</xdr:colOff>
      <xdr:row>17</xdr:row>
      <xdr:rowOff>60960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610D16BC-2261-D337-3DAD-4FF34C92C3D3}"/>
            </a:ext>
          </a:extLst>
        </xdr:cNvPr>
        <xdr:cNvSpPr txBox="1"/>
      </xdr:nvSpPr>
      <xdr:spPr>
        <a:xfrm>
          <a:off x="609600" y="4808220"/>
          <a:ext cx="2552700" cy="609600"/>
        </a:xfrm>
        <a:prstGeom prst="rect">
          <a:avLst/>
        </a:prstGeom>
        <a:solidFill>
          <a:srgbClr val="FF7C8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2000" u="sng" kern="1200">
              <a:latin typeface="Algerian" panose="04020705040A02060702" pitchFamily="82" charset="0"/>
            </a:rPr>
            <a:t>Congratulations  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6D9AE9B-3954-45FC-8200-EC59C8BE47A3}" name="Table1" displayName="Table1" ref="B2:J58" totalsRowShown="0" headerRowDxfId="2" headerRowBorderDxfId="1" tableBorderDxfId="0">
  <autoFilter ref="B2:J58" xr:uid="{86D9AE9B-3954-45FC-8200-EC59C8BE47A3}"/>
  <tableColumns count="9">
    <tableColumn id="1" xr3:uid="{36B23C1C-CE10-4B45-8349-3883B6B84297}" name="name"/>
    <tableColumn id="2" xr3:uid="{7EC3C017-8E03-4126-A594-D1A949AACD94}" name="phone"/>
    <tableColumn id="3" xr3:uid="{1E79DB49-A94B-4658-9023-C8485B69CC9D}" name="Address"/>
    <tableColumn id="4" xr3:uid="{FC8E19C2-E69B-4127-96FE-DBD32D9489BE}" name="course"/>
    <tableColumn id="5" xr3:uid="{88755471-EF9F-4A50-A4EE-5DDBE7B0C98F}" name="fees"/>
    <tableColumn id="6" xr3:uid="{C3CBB825-929D-405F-B80E-A2A8EE386F9F}" name="duration"/>
    <tableColumn id="7" xr3:uid="{1CCB406C-4FFC-4AF8-B93E-0C376C0DE743}" name="DOA"/>
    <tableColumn id="8" xr3:uid="{E80DCE8A-6A95-402B-9A3D-F5E35C92FF7C}" name="ADVANCE"/>
    <tableColumn id="9" xr3:uid="{C55B7986-DF3C-466B-BE6C-80FA5E9F5E6C}" name="BALANC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228E1-A355-4980-A725-39AE6A480DE4}">
  <sheetPr codeName="Sheet1"/>
  <dimension ref="B1:T29"/>
  <sheetViews>
    <sheetView topLeftCell="A2" workbookViewId="0">
      <selection activeCell="H24" sqref="H24:P24"/>
    </sheetView>
  </sheetViews>
  <sheetFormatPr defaultRowHeight="14.4" x14ac:dyDescent="0.3"/>
  <cols>
    <col min="3" max="3" width="14.77734375" customWidth="1"/>
    <col min="4" max="4" width="0.88671875" customWidth="1"/>
    <col min="5" max="5" width="30.21875" customWidth="1"/>
    <col min="6" max="6" width="9.109375" customWidth="1"/>
    <col min="11" max="11" width="3.88671875" customWidth="1"/>
    <col min="12" max="12" width="13.6640625" customWidth="1"/>
    <col min="13" max="13" width="12.33203125" customWidth="1"/>
    <col min="18" max="18" width="10.33203125" bestFit="1" customWidth="1"/>
  </cols>
  <sheetData>
    <row r="1" spans="2:20" hidden="1" x14ac:dyDescent="0.3"/>
    <row r="3" spans="2:20" ht="15" thickBot="1" x14ac:dyDescent="0.35"/>
    <row r="4" spans="2:20" ht="46.8" x14ac:dyDescent="0.9">
      <c r="B4" s="3"/>
      <c r="C4" s="1" t="s">
        <v>9</v>
      </c>
      <c r="D4" s="2"/>
      <c r="E4" s="2"/>
      <c r="F4" s="4"/>
      <c r="H4" t="s">
        <v>10</v>
      </c>
      <c r="I4" t="s">
        <v>11</v>
      </c>
      <c r="J4" t="s">
        <v>12</v>
      </c>
      <c r="L4" t="str">
        <f>E6</f>
        <v>Shivam</v>
      </c>
      <c r="M4">
        <f>E8</f>
        <v>9856985478</v>
      </c>
      <c r="N4" t="str">
        <f>E10</f>
        <v>Punpun</v>
      </c>
      <c r="O4" t="str">
        <f>E12</f>
        <v>PYTHON</v>
      </c>
      <c r="P4">
        <f>E14</f>
        <v>6000</v>
      </c>
      <c r="Q4" t="str">
        <f>E16</f>
        <v>2 MONTHS</v>
      </c>
      <c r="R4" s="13">
        <f ca="1">E18</f>
        <v>45647</v>
      </c>
      <c r="S4">
        <f>E20</f>
        <v>4000</v>
      </c>
      <c r="T4">
        <f>E22</f>
        <v>2000</v>
      </c>
    </row>
    <row r="5" spans="2:20" x14ac:dyDescent="0.3">
      <c r="B5" s="5"/>
      <c r="C5" s="6"/>
      <c r="D5" s="6"/>
      <c r="E5" s="6"/>
      <c r="F5" s="7"/>
      <c r="H5" t="s">
        <v>13</v>
      </c>
      <c r="I5" t="s">
        <v>28</v>
      </c>
      <c r="J5">
        <v>12000</v>
      </c>
    </row>
    <row r="6" spans="2:20" ht="22.2" customHeight="1" x14ac:dyDescent="0.4">
      <c r="B6" s="5"/>
      <c r="C6" s="12" t="s">
        <v>0</v>
      </c>
      <c r="D6" s="6"/>
      <c r="E6" s="14" t="s">
        <v>58</v>
      </c>
      <c r="F6" s="7"/>
      <c r="H6" t="s">
        <v>14</v>
      </c>
      <c r="I6" t="s">
        <v>29</v>
      </c>
      <c r="J6">
        <v>4000</v>
      </c>
    </row>
    <row r="7" spans="2:20" ht="7.95" customHeight="1" x14ac:dyDescent="0.3">
      <c r="B7" s="5"/>
      <c r="C7" s="6"/>
      <c r="D7" s="6"/>
      <c r="E7" s="6"/>
      <c r="F7" s="7"/>
      <c r="H7" t="s">
        <v>15</v>
      </c>
      <c r="I7" t="s">
        <v>30</v>
      </c>
      <c r="J7">
        <v>15000</v>
      </c>
    </row>
    <row r="8" spans="2:20" ht="19.95" customHeight="1" x14ac:dyDescent="0.4">
      <c r="B8" s="5"/>
      <c r="C8" s="12" t="s">
        <v>1</v>
      </c>
      <c r="D8" s="6"/>
      <c r="E8" s="14">
        <v>9856985478</v>
      </c>
      <c r="F8" s="8"/>
      <c r="H8" t="s">
        <v>16</v>
      </c>
      <c r="I8" t="s">
        <v>31</v>
      </c>
      <c r="J8">
        <v>5000</v>
      </c>
    </row>
    <row r="9" spans="2:20" ht="7.95" customHeight="1" x14ac:dyDescent="0.3">
      <c r="B9" s="5"/>
      <c r="C9" s="6"/>
      <c r="D9" s="6"/>
      <c r="E9" s="6"/>
      <c r="F9" s="7"/>
      <c r="H9" t="s">
        <v>17</v>
      </c>
      <c r="I9" t="s">
        <v>31</v>
      </c>
      <c r="J9">
        <v>6000</v>
      </c>
    </row>
    <row r="10" spans="2:20" ht="19.95" customHeight="1" x14ac:dyDescent="0.4">
      <c r="B10" s="5"/>
      <c r="C10" s="12" t="s">
        <v>2</v>
      </c>
      <c r="D10" s="6"/>
      <c r="E10" s="14" t="s">
        <v>59</v>
      </c>
      <c r="F10" s="7"/>
      <c r="H10" t="s">
        <v>18</v>
      </c>
      <c r="I10" t="s">
        <v>31</v>
      </c>
      <c r="J10">
        <v>4500</v>
      </c>
    </row>
    <row r="11" spans="2:20" ht="7.95" customHeight="1" x14ac:dyDescent="0.3">
      <c r="B11" s="5"/>
      <c r="C11" s="6"/>
      <c r="D11" s="6"/>
      <c r="E11" s="6"/>
      <c r="F11" s="7"/>
      <c r="H11" t="s">
        <v>19</v>
      </c>
      <c r="I11" t="s">
        <v>28</v>
      </c>
      <c r="J11">
        <v>8000</v>
      </c>
    </row>
    <row r="12" spans="2:20" ht="19.95" customHeight="1" x14ac:dyDescent="0.4">
      <c r="B12" s="5"/>
      <c r="C12" s="12" t="s">
        <v>3</v>
      </c>
      <c r="D12" s="6"/>
      <c r="E12" s="14" t="s">
        <v>17</v>
      </c>
      <c r="F12" s="7"/>
      <c r="H12" t="s">
        <v>20</v>
      </c>
      <c r="I12" t="s">
        <v>32</v>
      </c>
      <c r="J12">
        <v>25000</v>
      </c>
    </row>
    <row r="13" spans="2:20" ht="7.95" customHeight="1" x14ac:dyDescent="0.3">
      <c r="B13" s="5"/>
      <c r="C13" s="6"/>
      <c r="D13" s="6"/>
      <c r="E13" s="6"/>
      <c r="F13" s="7"/>
      <c r="H13" t="s">
        <v>21</v>
      </c>
      <c r="I13" t="s">
        <v>30</v>
      </c>
      <c r="J13">
        <v>20000</v>
      </c>
    </row>
    <row r="14" spans="2:20" ht="19.95" customHeight="1" x14ac:dyDescent="0.4">
      <c r="B14" s="5"/>
      <c r="C14" s="12" t="s">
        <v>4</v>
      </c>
      <c r="D14" s="6"/>
      <c r="E14" s="14">
        <f>VLOOKUP(E12,H4:J19,3,)</f>
        <v>6000</v>
      </c>
      <c r="F14" s="7"/>
      <c r="H14" t="s">
        <v>22</v>
      </c>
      <c r="I14" t="s">
        <v>28</v>
      </c>
      <c r="J14">
        <v>15000</v>
      </c>
    </row>
    <row r="15" spans="2:20" ht="7.95" customHeight="1" x14ac:dyDescent="0.3">
      <c r="B15" s="5"/>
      <c r="C15" s="6"/>
      <c r="D15" s="6"/>
      <c r="E15" s="6"/>
      <c r="F15" s="7"/>
      <c r="H15" t="s">
        <v>23</v>
      </c>
      <c r="I15" t="s">
        <v>30</v>
      </c>
      <c r="J15">
        <v>13000</v>
      </c>
    </row>
    <row r="16" spans="2:20" ht="19.95" customHeight="1" x14ac:dyDescent="0.4">
      <c r="B16" s="5"/>
      <c r="C16" s="12" t="s">
        <v>5</v>
      </c>
      <c r="D16" s="6"/>
      <c r="E16" s="14" t="str">
        <f>VLOOKUP(E12,H4:J19,2,)</f>
        <v>2 MONTHS</v>
      </c>
      <c r="F16" s="7"/>
      <c r="H16" t="s">
        <v>24</v>
      </c>
      <c r="I16" t="s">
        <v>33</v>
      </c>
      <c r="J16">
        <v>18000</v>
      </c>
    </row>
    <row r="17" spans="2:10" ht="7.95" customHeight="1" x14ac:dyDescent="0.3">
      <c r="B17" s="5"/>
      <c r="C17" s="6"/>
      <c r="D17" s="6"/>
      <c r="E17" s="6"/>
      <c r="F17" s="7"/>
      <c r="H17" t="s">
        <v>25</v>
      </c>
      <c r="I17" t="s">
        <v>28</v>
      </c>
      <c r="J17">
        <v>6000</v>
      </c>
    </row>
    <row r="18" spans="2:10" ht="19.95" customHeight="1" x14ac:dyDescent="0.4">
      <c r="B18" s="5"/>
      <c r="C18" s="12" t="s">
        <v>8</v>
      </c>
      <c r="D18" s="6"/>
      <c r="E18" s="15">
        <f ca="1">TODAY()</f>
        <v>45647</v>
      </c>
      <c r="F18" s="7"/>
      <c r="H18" t="s">
        <v>26</v>
      </c>
      <c r="I18" t="s">
        <v>30</v>
      </c>
      <c r="J18">
        <v>15000</v>
      </c>
    </row>
    <row r="19" spans="2:10" ht="7.95" customHeight="1" x14ac:dyDescent="0.3">
      <c r="B19" s="5"/>
      <c r="C19" s="6"/>
      <c r="D19" s="6"/>
      <c r="E19" s="6"/>
      <c r="F19" s="7"/>
      <c r="H19" t="s">
        <v>27</v>
      </c>
      <c r="I19" t="s">
        <v>34</v>
      </c>
      <c r="J19">
        <v>12000</v>
      </c>
    </row>
    <row r="20" spans="2:10" ht="19.95" customHeight="1" x14ac:dyDescent="0.4">
      <c r="B20" s="5"/>
      <c r="C20" s="12" t="s">
        <v>6</v>
      </c>
      <c r="D20" s="6"/>
      <c r="E20" s="14">
        <v>4000</v>
      </c>
      <c r="F20" s="7"/>
    </row>
    <row r="21" spans="2:10" ht="7.95" customHeight="1" x14ac:dyDescent="0.3">
      <c r="B21" s="5"/>
      <c r="C21" s="6"/>
      <c r="D21" s="6"/>
      <c r="E21" s="6"/>
      <c r="F21" s="7"/>
    </row>
    <row r="22" spans="2:10" ht="19.95" customHeight="1" x14ac:dyDescent="0.4">
      <c r="B22" s="5"/>
      <c r="C22" s="12" t="s">
        <v>7</v>
      </c>
      <c r="D22" s="6"/>
      <c r="E22" s="14">
        <f>E14-E20</f>
        <v>2000</v>
      </c>
      <c r="F22" s="7"/>
    </row>
    <row r="23" spans="2:10" x14ac:dyDescent="0.3">
      <c r="B23" s="5"/>
      <c r="C23" s="6"/>
      <c r="D23" s="6"/>
      <c r="E23" s="6"/>
      <c r="F23" s="7"/>
    </row>
    <row r="24" spans="2:10" x14ac:dyDescent="0.3">
      <c r="B24" s="5"/>
      <c r="C24" s="6"/>
      <c r="D24" s="6"/>
      <c r="E24" s="6"/>
      <c r="F24" s="7"/>
    </row>
    <row r="25" spans="2:10" x14ac:dyDescent="0.3">
      <c r="B25" s="5"/>
      <c r="C25" s="6"/>
      <c r="D25" s="6"/>
      <c r="E25" s="6"/>
      <c r="F25" s="7"/>
    </row>
    <row r="26" spans="2:10" x14ac:dyDescent="0.3">
      <c r="B26" s="5"/>
      <c r="C26" s="6"/>
      <c r="D26" s="6"/>
      <c r="E26" s="6"/>
      <c r="F26" s="7"/>
    </row>
    <row r="27" spans="2:10" x14ac:dyDescent="0.3">
      <c r="B27" s="5"/>
      <c r="C27" s="6"/>
      <c r="D27" s="6"/>
      <c r="E27" s="6"/>
      <c r="F27" s="7"/>
    </row>
    <row r="28" spans="2:10" x14ac:dyDescent="0.3">
      <c r="B28" s="5"/>
      <c r="C28" s="6"/>
      <c r="D28" s="6"/>
      <c r="E28" s="6"/>
      <c r="F28" s="7"/>
    </row>
    <row r="29" spans="2:10" ht="15" thickBot="1" x14ac:dyDescent="0.35">
      <c r="B29" s="9"/>
      <c r="C29" s="10"/>
      <c r="D29" s="10"/>
      <c r="E29" s="10"/>
      <c r="F29" s="11"/>
    </row>
  </sheetData>
  <dataValidations count="1">
    <dataValidation type="list" allowBlank="1" showInputMessage="1" showErrorMessage="1" sqref="E12" xr:uid="{DFB2F10D-F5A5-4FB1-A683-B8C8930B12C9}">
      <formula1>$H$5:$H$19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2A4CB-F2C5-4A93-B130-CEFD7D49B4B4}">
  <sheetPr codeName="Sheet2"/>
  <dimension ref="B2:J18"/>
  <sheetViews>
    <sheetView tabSelected="1" workbookViewId="0">
      <selection activeCell="A4" sqref="A4:XFD5"/>
    </sheetView>
  </sheetViews>
  <sheetFormatPr defaultRowHeight="14.4" x14ac:dyDescent="0.3"/>
  <cols>
    <col min="2" max="2" width="14.44140625" customWidth="1"/>
    <col min="3" max="3" width="16" customWidth="1"/>
    <col min="4" max="4" width="21.5546875" customWidth="1"/>
    <col min="5" max="5" width="18.5546875" customWidth="1"/>
    <col min="6" max="6" width="13" customWidth="1"/>
    <col min="7" max="7" width="23" customWidth="1"/>
    <col min="8" max="8" width="11.33203125" customWidth="1"/>
    <col min="9" max="9" width="22.33203125" customWidth="1"/>
    <col min="10" max="10" width="22.21875" customWidth="1"/>
  </cols>
  <sheetData>
    <row r="2" spans="2:10" ht="31.8" thickBot="1" x14ac:dyDescent="0.65">
      <c r="B2" s="18" t="s">
        <v>37</v>
      </c>
      <c r="C2" s="16" t="s">
        <v>38</v>
      </c>
      <c r="D2" s="16" t="s">
        <v>35</v>
      </c>
      <c r="E2" s="16" t="s">
        <v>39</v>
      </c>
      <c r="F2" s="16" t="s">
        <v>40</v>
      </c>
      <c r="G2" s="16" t="s">
        <v>41</v>
      </c>
      <c r="H2" s="16" t="s">
        <v>8</v>
      </c>
      <c r="I2" s="16" t="s">
        <v>6</v>
      </c>
      <c r="J2" s="17" t="s">
        <v>7</v>
      </c>
    </row>
    <row r="3" spans="2:10" x14ac:dyDescent="0.3">
      <c r="B3" s="19"/>
    </row>
    <row r="4" spans="2:10" x14ac:dyDescent="0.3">
      <c r="B4" s="20" t="s">
        <v>57</v>
      </c>
      <c r="C4">
        <v>7789654789</v>
      </c>
      <c r="D4" t="s">
        <v>36</v>
      </c>
      <c r="E4" t="s">
        <v>14</v>
      </c>
      <c r="F4">
        <v>4000</v>
      </c>
      <c r="G4" t="s">
        <v>29</v>
      </c>
      <c r="H4">
        <v>45647</v>
      </c>
      <c r="I4">
        <v>4000</v>
      </c>
      <c r="J4">
        <v>0</v>
      </c>
    </row>
    <row r="5" spans="2:10" x14ac:dyDescent="0.3">
      <c r="B5" s="20" t="s">
        <v>57</v>
      </c>
      <c r="C5">
        <v>7789654789</v>
      </c>
      <c r="D5" t="s">
        <v>36</v>
      </c>
      <c r="E5" t="s">
        <v>14</v>
      </c>
      <c r="F5">
        <v>4000</v>
      </c>
      <c r="G5" t="s">
        <v>29</v>
      </c>
      <c r="H5">
        <v>45647</v>
      </c>
      <c r="I5">
        <v>4000</v>
      </c>
      <c r="J5">
        <v>0</v>
      </c>
    </row>
    <row r="6" spans="2:10" x14ac:dyDescent="0.3">
      <c r="B6" s="20" t="s">
        <v>56</v>
      </c>
      <c r="C6">
        <v>7854365125</v>
      </c>
      <c r="D6" t="s">
        <v>36</v>
      </c>
      <c r="E6" t="s">
        <v>16</v>
      </c>
      <c r="F6">
        <v>5000</v>
      </c>
      <c r="G6" t="s">
        <v>31</v>
      </c>
      <c r="H6">
        <v>45647</v>
      </c>
      <c r="I6">
        <v>3000</v>
      </c>
      <c r="J6">
        <v>2000</v>
      </c>
    </row>
    <row r="7" spans="2:10" x14ac:dyDescent="0.3">
      <c r="B7" s="20" t="s">
        <v>55</v>
      </c>
      <c r="C7">
        <v>7859658745</v>
      </c>
      <c r="D7" t="s">
        <v>36</v>
      </c>
      <c r="E7" t="s">
        <v>16</v>
      </c>
      <c r="F7">
        <v>5000</v>
      </c>
      <c r="G7" t="s">
        <v>31</v>
      </c>
      <c r="H7">
        <v>45647</v>
      </c>
      <c r="I7">
        <v>2500</v>
      </c>
      <c r="J7">
        <v>2500</v>
      </c>
    </row>
    <row r="8" spans="2:10" x14ac:dyDescent="0.3">
      <c r="B8" s="20" t="s">
        <v>55</v>
      </c>
      <c r="C8">
        <v>7859658745</v>
      </c>
      <c r="D8">
        <v>0</v>
      </c>
      <c r="E8" t="s">
        <v>16</v>
      </c>
      <c r="F8">
        <v>5000</v>
      </c>
      <c r="G8" t="s">
        <v>31</v>
      </c>
      <c r="H8">
        <v>45647</v>
      </c>
      <c r="I8">
        <v>2500</v>
      </c>
      <c r="J8">
        <v>2500</v>
      </c>
    </row>
    <row r="9" spans="2:10" x14ac:dyDescent="0.3">
      <c r="B9" s="20" t="s">
        <v>54</v>
      </c>
      <c r="C9">
        <v>7589658964</v>
      </c>
      <c r="D9">
        <v>0</v>
      </c>
      <c r="E9" t="s">
        <v>16</v>
      </c>
      <c r="F9">
        <v>5000</v>
      </c>
      <c r="G9" t="s">
        <v>31</v>
      </c>
      <c r="H9">
        <v>45647</v>
      </c>
      <c r="I9">
        <v>5000</v>
      </c>
      <c r="J9">
        <v>0</v>
      </c>
    </row>
    <row r="10" spans="2:10" x14ac:dyDescent="0.3">
      <c r="B10" s="20" t="s">
        <v>53</v>
      </c>
      <c r="C10" t="s">
        <v>36</v>
      </c>
      <c r="D10" t="s">
        <v>36</v>
      </c>
      <c r="E10" t="s">
        <v>13</v>
      </c>
      <c r="F10">
        <v>12000</v>
      </c>
      <c r="G10" t="s">
        <v>28</v>
      </c>
      <c r="H10">
        <v>45647</v>
      </c>
      <c r="I10">
        <v>6500</v>
      </c>
      <c r="J10">
        <v>5500</v>
      </c>
    </row>
    <row r="11" spans="2:10" x14ac:dyDescent="0.3">
      <c r="B11" s="20" t="s">
        <v>52</v>
      </c>
      <c r="C11">
        <v>9658965874</v>
      </c>
      <c r="D11" t="s">
        <v>36</v>
      </c>
      <c r="E11" t="s">
        <v>13</v>
      </c>
      <c r="F11">
        <v>12000</v>
      </c>
      <c r="G11" t="s">
        <v>28</v>
      </c>
      <c r="H11">
        <v>45647</v>
      </c>
      <c r="I11">
        <v>6000</v>
      </c>
      <c r="J11">
        <v>6000</v>
      </c>
    </row>
    <row r="12" spans="2:10" x14ac:dyDescent="0.3">
      <c r="B12" s="20" t="s">
        <v>44</v>
      </c>
      <c r="C12">
        <v>8596589647</v>
      </c>
      <c r="D12" t="s">
        <v>36</v>
      </c>
      <c r="E12" t="s">
        <v>13</v>
      </c>
      <c r="F12">
        <v>12000</v>
      </c>
      <c r="G12" t="s">
        <v>28</v>
      </c>
      <c r="H12">
        <v>45647</v>
      </c>
      <c r="I12">
        <v>8000</v>
      </c>
      <c r="J12">
        <v>4000</v>
      </c>
    </row>
    <row r="13" spans="2:10" x14ac:dyDescent="0.3">
      <c r="B13" s="20" t="s">
        <v>51</v>
      </c>
      <c r="C13">
        <v>7589654785</v>
      </c>
      <c r="D13" t="s">
        <v>45</v>
      </c>
      <c r="E13" t="s">
        <v>23</v>
      </c>
      <c r="F13">
        <v>13000</v>
      </c>
      <c r="G13" t="s">
        <v>30</v>
      </c>
      <c r="H13">
        <v>45647</v>
      </c>
      <c r="I13">
        <v>13000</v>
      </c>
      <c r="J13">
        <v>0</v>
      </c>
    </row>
    <row r="14" spans="2:10" x14ac:dyDescent="0.3">
      <c r="B14" s="20" t="s">
        <v>44</v>
      </c>
      <c r="C14">
        <v>8547859658</v>
      </c>
      <c r="D14" t="s">
        <v>45</v>
      </c>
      <c r="E14" t="s">
        <v>26</v>
      </c>
      <c r="F14">
        <v>15000</v>
      </c>
      <c r="G14" t="s">
        <v>30</v>
      </c>
      <c r="H14">
        <v>45647</v>
      </c>
      <c r="I14">
        <v>12000</v>
      </c>
      <c r="J14">
        <v>3000</v>
      </c>
    </row>
    <row r="15" spans="2:10" x14ac:dyDescent="0.3">
      <c r="B15" s="20" t="s">
        <v>43</v>
      </c>
      <c r="C15">
        <v>9586589658</v>
      </c>
      <c r="D15" t="s">
        <v>36</v>
      </c>
      <c r="E15" t="s">
        <v>20</v>
      </c>
      <c r="F15">
        <v>25000</v>
      </c>
      <c r="G15" t="s">
        <v>32</v>
      </c>
      <c r="H15">
        <v>45647</v>
      </c>
      <c r="I15">
        <v>20000</v>
      </c>
      <c r="J15">
        <v>5000</v>
      </c>
    </row>
    <row r="16" spans="2:10" x14ac:dyDescent="0.3">
      <c r="B16" s="20" t="s">
        <v>42</v>
      </c>
      <c r="C16">
        <v>9587458965</v>
      </c>
      <c r="D16" t="s">
        <v>36</v>
      </c>
      <c r="E16" t="s">
        <v>20</v>
      </c>
      <c r="F16">
        <v>25000</v>
      </c>
      <c r="G16" t="s">
        <v>32</v>
      </c>
      <c r="H16">
        <v>45647</v>
      </c>
      <c r="I16">
        <v>15000</v>
      </c>
      <c r="J16">
        <v>10000</v>
      </c>
    </row>
    <row r="17" spans="2:2" x14ac:dyDescent="0.3">
      <c r="B17" s="20"/>
    </row>
    <row r="18" spans="2:2" x14ac:dyDescent="0.3">
      <c r="B18" s="20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EC267-87C6-444F-B988-4357ED73F2BB}">
  <sheetPr codeName="Sheet3"/>
  <dimension ref="A3:D13"/>
  <sheetViews>
    <sheetView showGridLines="0" workbookViewId="0">
      <selection activeCell="A5" sqref="A5:A13"/>
    </sheetView>
  </sheetViews>
  <sheetFormatPr defaultRowHeight="14.4" x14ac:dyDescent="0.3"/>
  <cols>
    <col min="1" max="1" width="8.88671875" customWidth="1"/>
    <col min="2" max="2" width="15.44140625" customWidth="1"/>
    <col min="3" max="3" width="1.33203125" customWidth="1"/>
    <col min="4" max="4" width="21.33203125" customWidth="1"/>
  </cols>
  <sheetData>
    <row r="3" spans="2:4" ht="43.8" customHeight="1" x14ac:dyDescent="0.95">
      <c r="B3" s="25" t="s">
        <v>50</v>
      </c>
      <c r="C3" s="26"/>
      <c r="D3" s="26"/>
    </row>
    <row r="4" spans="2:4" ht="28.8" customHeight="1" thickBot="1" x14ac:dyDescent="0.35"/>
    <row r="5" spans="2:4" ht="28.8" customHeight="1" x14ac:dyDescent="0.4">
      <c r="B5" s="21" t="s">
        <v>46</v>
      </c>
      <c r="C5" s="22"/>
      <c r="D5" s="27" t="s">
        <v>57</v>
      </c>
    </row>
    <row r="6" spans="2:4" ht="28.8" customHeight="1" x14ac:dyDescent="0.4">
      <c r="B6" s="21" t="s">
        <v>47</v>
      </c>
      <c r="C6" s="23"/>
      <c r="D6" s="27">
        <v>7789654789</v>
      </c>
    </row>
    <row r="7" spans="2:4" ht="28.8" customHeight="1" x14ac:dyDescent="0.4">
      <c r="B7" s="21" t="s">
        <v>35</v>
      </c>
      <c r="C7" s="23"/>
      <c r="D7" s="27" t="s">
        <v>36</v>
      </c>
    </row>
    <row r="8" spans="2:4" ht="28.8" customHeight="1" x14ac:dyDescent="0.4">
      <c r="B8" s="21" t="s">
        <v>10</v>
      </c>
      <c r="C8" s="23"/>
      <c r="D8" s="27" t="s">
        <v>14</v>
      </c>
    </row>
    <row r="9" spans="2:4" ht="28.8" customHeight="1" x14ac:dyDescent="0.4">
      <c r="B9" s="21" t="s">
        <v>12</v>
      </c>
      <c r="C9" s="23"/>
      <c r="D9" s="27">
        <v>4000</v>
      </c>
    </row>
    <row r="10" spans="2:4" ht="28.8" customHeight="1" x14ac:dyDescent="0.4">
      <c r="B10" s="21" t="s">
        <v>11</v>
      </c>
      <c r="C10" s="23"/>
      <c r="D10" s="27" t="s">
        <v>29</v>
      </c>
    </row>
    <row r="11" spans="2:4" ht="28.8" customHeight="1" x14ac:dyDescent="0.4">
      <c r="B11" s="21" t="s">
        <v>8</v>
      </c>
      <c r="C11" s="23"/>
      <c r="D11" s="27">
        <v>45647</v>
      </c>
    </row>
    <row r="12" spans="2:4" ht="30.6" customHeight="1" x14ac:dyDescent="0.4">
      <c r="B12" s="21" t="s">
        <v>48</v>
      </c>
      <c r="C12" s="23"/>
      <c r="D12" s="27">
        <v>4000</v>
      </c>
    </row>
    <row r="13" spans="2:4" ht="30.6" customHeight="1" thickBot="1" x14ac:dyDescent="0.45">
      <c r="B13" s="21" t="s">
        <v>49</v>
      </c>
      <c r="C13" s="24"/>
      <c r="D13" s="27">
        <v>0</v>
      </c>
    </row>
  </sheetData>
  <mergeCells count="1">
    <mergeCell ref="B3:D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Form</vt:lpstr>
      <vt:lpstr>Data</vt:lpstr>
      <vt:lpstr>Invoice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Santosh Kumar</dc:creator>
  <cp:lastModifiedBy>Santosh Kumar</cp:lastModifiedBy>
  <dcterms:created xsi:type="dcterms:W3CDTF">2024-12-17T09:48:39Z</dcterms:created>
  <dcterms:modified xsi:type="dcterms:W3CDTF">2024-12-21T16:19:35Z</dcterms:modified>
</cp:coreProperties>
</file>