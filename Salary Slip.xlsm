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E:\DS Notes\"/>
    </mc:Choice>
  </mc:AlternateContent>
  <xr:revisionPtr revIDLastSave="0" documentId="13_ncr:1_{7C8E0A46-69DF-45F0-A8DF-ABEEDA42E7FA}" xr6:coauthVersionLast="47" xr6:coauthVersionMax="47" xr10:uidLastSave="{00000000-0000-0000-0000-000000000000}"/>
  <bookViews>
    <workbookView xWindow="-108" yWindow="-108" windowWidth="23256" windowHeight="12456" activeTab="1" xr2:uid="{1ECC472A-5CB6-4890-94E2-2461354D315F}"/>
  </bookViews>
  <sheets>
    <sheet name="Data" sheetId="3" r:id="rId1"/>
    <sheet name="Salary Slip" sheetId="4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1" i="4" l="1"/>
  <c r="D19" i="4"/>
  <c r="G21" i="4"/>
  <c r="G19" i="4"/>
  <c r="G17" i="4"/>
  <c r="G15" i="4"/>
  <c r="G13" i="4"/>
  <c r="G11" i="4"/>
  <c r="D15" i="4"/>
  <c r="D17" i="4"/>
  <c r="D25" i="4"/>
  <c r="D23" i="4"/>
  <c r="D13" i="4"/>
  <c r="D28" i="4"/>
  <c r="I3" i="3"/>
  <c r="J3" i="3"/>
  <c r="M3" i="3" s="1"/>
  <c r="K3" i="3"/>
  <c r="L3" i="3"/>
  <c r="I4" i="3"/>
  <c r="J4" i="3"/>
  <c r="K4" i="3"/>
  <c r="M4" i="3" s="1"/>
  <c r="L4" i="3"/>
  <c r="I5" i="3"/>
  <c r="J5" i="3"/>
  <c r="M5" i="3" s="1"/>
  <c r="K5" i="3"/>
  <c r="L5" i="3"/>
  <c r="I6" i="3"/>
  <c r="J6" i="3"/>
  <c r="K6" i="3"/>
  <c r="L6" i="3"/>
  <c r="M6" i="3"/>
  <c r="I7" i="3"/>
  <c r="J7" i="3"/>
  <c r="M7" i="3" s="1"/>
  <c r="K7" i="3"/>
  <c r="L7" i="3"/>
  <c r="I8" i="3"/>
  <c r="J8" i="3"/>
  <c r="K8" i="3"/>
  <c r="M8" i="3" s="1"/>
  <c r="L8" i="3"/>
  <c r="I9" i="3"/>
  <c r="J9" i="3"/>
  <c r="M9" i="3" s="1"/>
  <c r="K9" i="3"/>
  <c r="L9" i="3"/>
  <c r="I10" i="3"/>
  <c r="J10" i="3"/>
  <c r="K10" i="3"/>
  <c r="L10" i="3"/>
  <c r="M10" i="3"/>
  <c r="I11" i="3"/>
  <c r="J11" i="3"/>
  <c r="M11" i="3" s="1"/>
  <c r="K11" i="3"/>
  <c r="L11" i="3"/>
  <c r="I12" i="3"/>
  <c r="J12" i="3"/>
  <c r="K12" i="3"/>
  <c r="M12" i="3" s="1"/>
  <c r="L12" i="3"/>
  <c r="I13" i="3"/>
  <c r="J13" i="3"/>
  <c r="M13" i="3" s="1"/>
  <c r="K13" i="3"/>
  <c r="L13" i="3"/>
  <c r="I14" i="3"/>
  <c r="J14" i="3"/>
  <c r="K14" i="3"/>
  <c r="L14" i="3"/>
  <c r="M14" i="3"/>
  <c r="I15" i="3"/>
  <c r="J15" i="3"/>
  <c r="M15" i="3" s="1"/>
  <c r="K15" i="3"/>
  <c r="L15" i="3"/>
  <c r="I16" i="3"/>
  <c r="J16" i="3"/>
  <c r="K16" i="3"/>
  <c r="M16" i="3" s="1"/>
  <c r="L16" i="3"/>
  <c r="I17" i="3"/>
  <c r="J17" i="3"/>
  <c r="M17" i="3" s="1"/>
  <c r="K17" i="3"/>
  <c r="L17" i="3"/>
  <c r="I18" i="3"/>
  <c r="J18" i="3"/>
  <c r="K18" i="3"/>
  <c r="L18" i="3"/>
  <c r="M18" i="3"/>
  <c r="I19" i="3"/>
  <c r="J19" i="3"/>
  <c r="M19" i="3" s="1"/>
  <c r="K19" i="3"/>
  <c r="L19" i="3"/>
  <c r="I20" i="3"/>
  <c r="J20" i="3"/>
  <c r="K20" i="3"/>
  <c r="M20" i="3" s="1"/>
  <c r="L20" i="3"/>
  <c r="I21" i="3"/>
  <c r="J21" i="3"/>
  <c r="M21" i="3" s="1"/>
  <c r="K21" i="3"/>
  <c r="L21" i="3"/>
  <c r="I22" i="3"/>
  <c r="J22" i="3"/>
  <c r="K22" i="3"/>
  <c r="L22" i="3"/>
  <c r="M22" i="3"/>
  <c r="I23" i="3"/>
  <c r="J23" i="3"/>
  <c r="M23" i="3" s="1"/>
  <c r="K23" i="3"/>
  <c r="L23" i="3"/>
  <c r="I24" i="3"/>
  <c r="J24" i="3"/>
  <c r="K24" i="3"/>
  <c r="M24" i="3" s="1"/>
  <c r="L24" i="3"/>
  <c r="I25" i="3"/>
  <c r="J25" i="3"/>
  <c r="M25" i="3" s="1"/>
  <c r="K25" i="3"/>
  <c r="L25" i="3"/>
  <c r="I26" i="3"/>
  <c r="M26" i="3" s="1"/>
  <c r="J26" i="3"/>
  <c r="K26" i="3"/>
  <c r="L26" i="3"/>
  <c r="I27" i="3"/>
  <c r="J27" i="3"/>
  <c r="M27" i="3" s="1"/>
  <c r="K27" i="3"/>
  <c r="L27" i="3"/>
  <c r="I28" i="3"/>
  <c r="J28" i="3"/>
  <c r="M28" i="3" s="1"/>
  <c r="K28" i="3"/>
  <c r="L28" i="3"/>
  <c r="I29" i="3"/>
  <c r="J29" i="3"/>
  <c r="M29" i="3" s="1"/>
  <c r="K29" i="3"/>
  <c r="L29" i="3"/>
  <c r="I30" i="3"/>
  <c r="J30" i="3"/>
  <c r="K30" i="3"/>
  <c r="L30" i="3"/>
  <c r="M30" i="3"/>
  <c r="I31" i="3"/>
  <c r="J31" i="3"/>
  <c r="M31" i="3" s="1"/>
  <c r="K31" i="3"/>
  <c r="L31" i="3"/>
  <c r="I32" i="3"/>
  <c r="J32" i="3"/>
  <c r="M32" i="3" s="1"/>
  <c r="K32" i="3"/>
  <c r="L32" i="3"/>
  <c r="I33" i="3"/>
  <c r="J33" i="3"/>
  <c r="M33" i="3" s="1"/>
  <c r="K33" i="3"/>
  <c r="L33" i="3"/>
  <c r="I34" i="3"/>
  <c r="M34" i="3" s="1"/>
  <c r="J34" i="3"/>
  <c r="K34" i="3"/>
  <c r="L34" i="3"/>
  <c r="I35" i="3"/>
  <c r="J35" i="3"/>
  <c r="M35" i="3" s="1"/>
  <c r="K35" i="3"/>
  <c r="L35" i="3"/>
  <c r="I36" i="3"/>
  <c r="J36" i="3"/>
  <c r="M36" i="3" s="1"/>
  <c r="K36" i="3"/>
  <c r="L36" i="3"/>
  <c r="I37" i="3"/>
  <c r="J37" i="3"/>
  <c r="M37" i="3" s="1"/>
  <c r="K37" i="3"/>
  <c r="L37" i="3"/>
  <c r="I38" i="3"/>
  <c r="J38" i="3"/>
  <c r="K38" i="3"/>
  <c r="L38" i="3"/>
  <c r="M38" i="3"/>
  <c r="I39" i="3"/>
  <c r="J39" i="3"/>
  <c r="M39" i="3" s="1"/>
  <c r="K39" i="3"/>
  <c r="L39" i="3"/>
  <c r="I40" i="3"/>
  <c r="J40" i="3"/>
  <c r="M40" i="3" s="1"/>
  <c r="K40" i="3"/>
  <c r="L40" i="3"/>
  <c r="I41" i="3"/>
  <c r="J41" i="3"/>
  <c r="M41" i="3" s="1"/>
  <c r="K41" i="3"/>
  <c r="L41" i="3"/>
  <c r="I42" i="3"/>
  <c r="J42" i="3"/>
  <c r="K42" i="3"/>
  <c r="L42" i="3"/>
  <c r="M42" i="3"/>
  <c r="I43" i="3"/>
  <c r="J43" i="3"/>
  <c r="M43" i="3" s="1"/>
  <c r="K43" i="3"/>
  <c r="L43" i="3"/>
  <c r="I44" i="3"/>
  <c r="J44" i="3"/>
  <c r="M44" i="3" s="1"/>
  <c r="K44" i="3"/>
  <c r="L44" i="3"/>
  <c r="I45" i="3"/>
  <c r="J45" i="3"/>
  <c r="M45" i="3" s="1"/>
  <c r="K45" i="3"/>
  <c r="L45" i="3"/>
  <c r="I46" i="3"/>
  <c r="M46" i="3" s="1"/>
  <c r="J46" i="3"/>
  <c r="K46" i="3"/>
  <c r="L46" i="3"/>
  <c r="I47" i="3"/>
  <c r="J47" i="3"/>
  <c r="K47" i="3"/>
  <c r="M47" i="3" s="1"/>
  <c r="L47" i="3"/>
  <c r="I48" i="3"/>
  <c r="J48" i="3"/>
  <c r="M48" i="3" s="1"/>
  <c r="K48" i="3"/>
  <c r="L48" i="3"/>
  <c r="I49" i="3"/>
  <c r="J49" i="3"/>
  <c r="M49" i="3" s="1"/>
  <c r="K49" i="3"/>
  <c r="L49" i="3"/>
  <c r="I50" i="3"/>
  <c r="J50" i="3"/>
  <c r="K50" i="3"/>
  <c r="L50" i="3"/>
  <c r="M50" i="3"/>
</calcChain>
</file>

<file path=xl/sharedStrings.xml><?xml version="1.0" encoding="utf-8"?>
<sst xmlns="http://schemas.openxmlformats.org/spreadsheetml/2006/main" count="376" uniqueCount="259">
  <si>
    <t>Name</t>
  </si>
  <si>
    <t xml:space="preserve">Email </t>
  </si>
  <si>
    <t>phone</t>
  </si>
  <si>
    <t>Address</t>
  </si>
  <si>
    <t>Designation</t>
  </si>
  <si>
    <t>Basic</t>
  </si>
  <si>
    <t>TA</t>
  </si>
  <si>
    <t>DA</t>
  </si>
  <si>
    <t>HRA</t>
  </si>
  <si>
    <t>PF</t>
  </si>
  <si>
    <t>Net Salary</t>
  </si>
  <si>
    <t>E101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</si>
  <si>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</si>
  <si>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</si>
  <si>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</si>
  <si>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</si>
  <si>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</si>
  <si>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</si>
  <si>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</si>
  <si>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</si>
  <si>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</si>
  <si>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</si>
  <si>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</si>
  <si>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</si>
  <si>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</si>
  <si>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</si>
  <si>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</si>
  <si>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</si>
  <si>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</si>
  <si>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</si>
  <si>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</si>
  <si>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</si>
  <si>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</si>
  <si>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</si>
  <si>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</si>
  <si>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</si>
  <si>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</si>
  <si>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</si>
  <si>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</si>
  <si>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</si>
  <si>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</si>
  <si>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E131</t>
  </si>
  <si>
    <t>E132</t>
  </si>
  <si>
    <t>E133</t>
  </si>
  <si>
    <t>E134</t>
  </si>
  <si>
    <t>E135</t>
  </si>
  <si>
    <t>E136</t>
  </si>
  <si>
    <t>E137</t>
  </si>
  <si>
    <t>E138</t>
  </si>
  <si>
    <t>E139</t>
  </si>
  <si>
    <t>E140</t>
  </si>
  <si>
    <t>E141</t>
  </si>
  <si>
    <t>E142</t>
  </si>
  <si>
    <t>E143</t>
  </si>
  <si>
    <t>E144</t>
  </si>
  <si>
    <t>E145</t>
  </si>
  <si>
    <t>E146</t>
  </si>
  <si>
    <t>E147</t>
  </si>
  <si>
    <t>E148</t>
  </si>
  <si>
    <t xml:space="preserve"> ID</t>
  </si>
  <si>
    <t>Ranjan Singh</t>
  </si>
  <si>
    <t>Rishav Sharma</t>
  </si>
  <si>
    <t>Ankur Tiwari</t>
  </si>
  <si>
    <t>Anmol Raj</t>
  </si>
  <si>
    <t>Harsh Kumar</t>
  </si>
  <si>
    <t>Rakesh Raj</t>
  </si>
  <si>
    <t>Anukul Singhaniya</t>
  </si>
  <si>
    <t xml:space="preserve">Amit Trivedi </t>
  </si>
  <si>
    <t>Nikhil Dwivedi</t>
  </si>
  <si>
    <t>Akash Singh</t>
  </si>
  <si>
    <t>Riki Raj</t>
  </si>
  <si>
    <t>Ankush Singh</t>
  </si>
  <si>
    <t>Rajnish Kumar</t>
  </si>
  <si>
    <t>Avinash Kumar</t>
  </si>
  <si>
    <t>Alatmas Khan</t>
  </si>
  <si>
    <t>Sanjiv Kumar</t>
  </si>
  <si>
    <t>Rajat Sharma</t>
  </si>
  <si>
    <t>Narendra Singh</t>
  </si>
  <si>
    <t>Arjun Sharma</t>
  </si>
  <si>
    <t>Ravi Kumar</t>
  </si>
  <si>
    <t>Sanjay Gupta</t>
  </si>
  <si>
    <t>Ajay Mehta</t>
  </si>
  <si>
    <t>Rohit Kapoor</t>
  </si>
  <si>
    <t>Karan Nair</t>
  </si>
  <si>
    <t>Sameer Patil</t>
  </si>
  <si>
    <t>Vikram Desai</t>
  </si>
  <si>
    <t>Rajesh Iyer</t>
  </si>
  <si>
    <t>Harish Bhat</t>
  </si>
  <si>
    <t>Anil Reddy</t>
  </si>
  <si>
    <t>Deepak Singh</t>
  </si>
  <si>
    <t>Gopal Verma</t>
  </si>
  <si>
    <t>Nikhil Choudhary</t>
  </si>
  <si>
    <t>Praveen Joshi</t>
  </si>
  <si>
    <t>Ashok Shetty</t>
  </si>
  <si>
    <t>Manish Jain</t>
  </si>
  <si>
    <t>Suresh Dubey</t>
  </si>
  <si>
    <t>Abhishek Pandey</t>
  </si>
  <si>
    <t>Ramesh Thakur</t>
  </si>
  <si>
    <t>Aarav Sharma</t>
  </si>
  <si>
    <t>Vivaan Kapoor</t>
  </si>
  <si>
    <t>Aditya Mehra</t>
  </si>
  <si>
    <t>Arjun Malhotra</t>
  </si>
  <si>
    <t>Rohan Khanna</t>
  </si>
  <si>
    <t>Karthik Reddy</t>
  </si>
  <si>
    <t>Siddharth Iyer</t>
  </si>
  <si>
    <t>Harshvardhan Rao</t>
  </si>
  <si>
    <t>Ishaan Deshmukh</t>
  </si>
  <si>
    <t>Nikhil Joshi</t>
  </si>
  <si>
    <t>ranjansingh@hubnettech.com</t>
  </si>
  <si>
    <t>rishavsharma@hubnettech.com</t>
  </si>
  <si>
    <t>ankurtiwari@hubnettech.com</t>
  </si>
  <si>
    <t>anmolraj@hubnettech.com</t>
  </si>
  <si>
    <t>harshkumar@hubnettech.com</t>
  </si>
  <si>
    <t>rakeshraj@hubnettech.com</t>
  </si>
  <si>
    <t>anukulsinghaniya@hubnettech.com</t>
  </si>
  <si>
    <t>amittrivedi@hubnettech.com</t>
  </si>
  <si>
    <t>nikhildwivedi@hubnettech.com</t>
  </si>
  <si>
    <t>akashsingh@hubnettech.com</t>
  </si>
  <si>
    <t>rikiraj@hubnettech.com</t>
  </si>
  <si>
    <t>ankushsingh@hubnettech.com</t>
  </si>
  <si>
    <t>rajnishkumar@hubnettech.com</t>
  </si>
  <si>
    <t>avinashkumar@hubnettech.com</t>
  </si>
  <si>
    <t>alatmaskhan@hubnettech.com</t>
  </si>
  <si>
    <t>sanjivkumar@hubnettech.com</t>
  </si>
  <si>
    <t>rajatsharma@hubnettech.com</t>
  </si>
  <si>
    <t>narendrasingh@hubnettech.com</t>
  </si>
  <si>
    <t>arjunsharma@hubnettech.com</t>
  </si>
  <si>
    <t>ravikumar@hubnettech.com</t>
  </si>
  <si>
    <t>sanjaygupta@hubnettech.com</t>
  </si>
  <si>
    <t>ajaymehta@hubnettech.com</t>
  </si>
  <si>
    <t>rohitkapoor@hubnettech.com</t>
  </si>
  <si>
    <t>karannair@hubnettech.com</t>
  </si>
  <si>
    <t>sameerpatil@hubnettech.com</t>
  </si>
  <si>
    <t>vikramdesai@hubnettech.com</t>
  </si>
  <si>
    <t>rajeshiyer@hubnettech.com</t>
  </si>
  <si>
    <t>harishbhat@hubnettech.com</t>
  </si>
  <si>
    <t>anilreddy@hubnettech.com</t>
  </si>
  <si>
    <t>deepaksingh@hubnettech.com</t>
  </si>
  <si>
    <t>gopalverma@hubnettech.com</t>
  </si>
  <si>
    <t>nikhilchoudhary@hubnettech.com</t>
  </si>
  <si>
    <t>praveenjoshi@hubnettech.com</t>
  </si>
  <si>
    <t>ashokshetty@hubnettech.com</t>
  </si>
  <si>
    <t>manishjain@hubnettech.com</t>
  </si>
  <si>
    <t>sureshdubey@hubnettech.com</t>
  </si>
  <si>
    <t>abhishekpandey@hubnettech.com</t>
  </si>
  <si>
    <t>rameshthakur@hubnettech.com</t>
  </si>
  <si>
    <t>aaravsharma@hubnettech.com</t>
  </si>
  <si>
    <t>vivaankapoor@hubnettech.com</t>
  </si>
  <si>
    <t>adityamehra@hubnettech.com</t>
  </si>
  <si>
    <t>arjunmalhotra@hubnettech.com</t>
  </si>
  <si>
    <t>rohankhanna@hubnettech.com</t>
  </si>
  <si>
    <t>karthikreddy@hubnettech.com</t>
  </si>
  <si>
    <t>siddharthiyer@hubnettech.com</t>
  </si>
  <si>
    <t>harshvardhanrao@hubnettech.com</t>
  </si>
  <si>
    <t>ishaandeshmukh@hubnettech.com</t>
  </si>
  <si>
    <t>nikhiljoshi@hubnettech.com</t>
  </si>
  <si>
    <t>Patna</t>
  </si>
  <si>
    <t>Gaya</t>
  </si>
  <si>
    <t>Bhagalpur</t>
  </si>
  <si>
    <t>Muzaffarpur</t>
  </si>
  <si>
    <t>Darbhanga</t>
  </si>
  <si>
    <t>Purnia</t>
  </si>
  <si>
    <t>Chapra</t>
  </si>
  <si>
    <t>Nalanda</t>
  </si>
  <si>
    <t>Katihar</t>
  </si>
  <si>
    <t>Begusarai</t>
  </si>
  <si>
    <t>Arrah</t>
  </si>
  <si>
    <t>Buxar</t>
  </si>
  <si>
    <t>Siwan</t>
  </si>
  <si>
    <t>Bettiah</t>
  </si>
  <si>
    <t>Sasaram</t>
  </si>
  <si>
    <t>Hajipur</t>
  </si>
  <si>
    <t>Samastipur</t>
  </si>
  <si>
    <t>Motihari</t>
  </si>
  <si>
    <t>Madhubani</t>
  </si>
  <si>
    <t>Software Engineer</t>
  </si>
  <si>
    <t>Senior Developer</t>
  </si>
  <si>
    <t>Technical Lead</t>
  </si>
  <si>
    <t>Project Manager</t>
  </si>
  <si>
    <t>Business Analyst</t>
  </si>
  <si>
    <t>Quality Assurance Engineer</t>
  </si>
  <si>
    <t xml:space="preserve">IT Support </t>
  </si>
  <si>
    <t>+91-7091499110</t>
  </si>
  <si>
    <t>abhijeet@hubnettech.net</t>
  </si>
  <si>
    <t>ta</t>
  </si>
  <si>
    <t>da</t>
  </si>
  <si>
    <t>hra</t>
  </si>
  <si>
    <t>pf</t>
  </si>
  <si>
    <t>Employee's Signature</t>
  </si>
  <si>
    <t>Bank</t>
  </si>
  <si>
    <t>Acc. No</t>
  </si>
  <si>
    <t>AXIS BANK</t>
  </si>
  <si>
    <t>HDFC BANK</t>
  </si>
  <si>
    <t>CANARA BANK</t>
  </si>
  <si>
    <t xml:space="preserve">State Bank of India </t>
  </si>
  <si>
    <t xml:space="preserve">Kotak Mahindra </t>
  </si>
  <si>
    <t>Central Bank</t>
  </si>
  <si>
    <t>XXXX-XXXX-8759</t>
  </si>
  <si>
    <t>XXXX-XXXX-8578</t>
  </si>
  <si>
    <t>XXXX-XXXX-9689</t>
  </si>
  <si>
    <t>XXXX-XXXX-3546</t>
  </si>
  <si>
    <t>XXXX-XXXX-8541</t>
  </si>
  <si>
    <t>XXXX-XXXX-9321</t>
  </si>
  <si>
    <t>XXXX-XXXX-0114</t>
  </si>
  <si>
    <t>XXXX-XXXX-0056</t>
  </si>
  <si>
    <t>XXXX-XXXX-9005</t>
  </si>
  <si>
    <t>XXXX-XXXX-6550</t>
  </si>
  <si>
    <t>XXXX-XXXX-6200</t>
  </si>
  <si>
    <t>XXXX-XXXX-6502</t>
  </si>
  <si>
    <t>XXXX-XXXX-8056</t>
  </si>
  <si>
    <t>XXXX-XXXX-9589</t>
  </si>
  <si>
    <t>XXXX-XXXX-0065</t>
  </si>
  <si>
    <t>XXXX-XXXX-5403</t>
  </si>
  <si>
    <t>XXXX-XXXX-6045</t>
  </si>
  <si>
    <t>XXXX-XXXX-3021</t>
  </si>
  <si>
    <t>XXXX-XXXX-9063</t>
  </si>
  <si>
    <t>XXXX-XXXX-6705</t>
  </si>
  <si>
    <t>XXXX-XXXX-9056</t>
  </si>
  <si>
    <t>XXXX-XXXX-6120</t>
  </si>
  <si>
    <t>XXXX-XXXX-3510</t>
  </si>
  <si>
    <t>XXXX-XXXX-4655</t>
  </si>
  <si>
    <t>XXXX-XXXX-9965</t>
  </si>
  <si>
    <t>XXXX-XXXX-3321</t>
  </si>
  <si>
    <t>XXXX-XXXX-6512</t>
  </si>
  <si>
    <t>XXXX-XXXX-1120</t>
  </si>
  <si>
    <t>XXXX-XXXX-3320</t>
  </si>
  <si>
    <t>XXXX-XXXX-4500</t>
  </si>
  <si>
    <t>XXXX-XXXX-0014</t>
  </si>
  <si>
    <t>XXXX-XXXX-2253</t>
  </si>
  <si>
    <t>XXXX-XXXX-6500</t>
  </si>
  <si>
    <t>XXXX-XXXX-2510</t>
  </si>
  <si>
    <t>XXXX-XXXX-6506</t>
  </si>
  <si>
    <t>XXXX-XXXX-2563</t>
  </si>
  <si>
    <t>XXXX-XXXX-9456</t>
  </si>
  <si>
    <t>XXXX-XXXX-1563</t>
  </si>
  <si>
    <t>XXXX-XXXX-3651</t>
  </si>
  <si>
    <t>XXXX-XXXX-5163</t>
  </si>
  <si>
    <t>XXXX-XXXX-3615</t>
  </si>
  <si>
    <t>XXXX-XXXX-4689</t>
  </si>
  <si>
    <t>XXXX-XXXX-4967</t>
  </si>
  <si>
    <t>XXXX-XXXX-9467</t>
  </si>
  <si>
    <t>XXXX-XXXX-8967</t>
  </si>
  <si>
    <t>XXXX-XXXX-7096</t>
  </si>
  <si>
    <t>XXXX-XXXX-9064</t>
  </si>
  <si>
    <t>HUBnet</t>
  </si>
  <si>
    <t>+91-9334179627</t>
  </si>
  <si>
    <t>https://hubnettech.net/</t>
  </si>
  <si>
    <t>ID</t>
  </si>
  <si>
    <t>Email</t>
  </si>
  <si>
    <t>Phone</t>
  </si>
  <si>
    <t>basic salary</t>
  </si>
  <si>
    <t xml:space="preserve">2nd Floor, JJ Complex, East Boring </t>
  </si>
  <si>
    <t>Road, Patna, Bihar. 800001</t>
  </si>
  <si>
    <t>net salary</t>
  </si>
  <si>
    <t>Pay slip</t>
  </si>
  <si>
    <t>date</t>
  </si>
  <si>
    <t>Manger's Signature</t>
  </si>
  <si>
    <t>POST</t>
  </si>
  <si>
    <t>Account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</si>
</sst>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;[Red]&quot;₹&quot;\ #,##0.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20"/>
      <color theme="1"/>
      <name val="Algerian"/>
      <family val="5"/>
    </font>
    <font>
      <b/>
      <sz val="14"/>
      <color theme="1"/>
      <name val="Aptos Display"/>
      <family val="2"/>
    </font>
    <font>
      <b/>
      <sz val="12"/>
      <color theme="1"/>
      <name val="Arial Black"/>
      <family val="2"/>
    </font>
    <font>
      <b/>
      <sz val="11"/>
      <color theme="5" tint="-0.499984740745262"/>
      <name val="Aptos Display"/>
      <family val="2"/>
    </font>
    <font>
      <sz val="40"/>
      <color rgb="FF720000"/>
      <name val="Algerian"/>
      <family val="5"/>
    </font>
    <font>
      <b/>
      <sz val="11.5"/>
      <color theme="5" tint="-0.499984740745262"/>
      <name val="Aptos Display"/>
      <family val="2"/>
    </font>
    <font>
      <b/>
      <sz val="16"/>
      <color theme="1"/>
      <name val="Arial Black"/>
      <family val="2"/>
    </font>
    <font>
      <b/>
      <sz val="16"/>
      <color theme="1"/>
      <name val="Algerian"/>
      <family val="5"/>
    </font>
    <font>
      <b/>
      <sz val="18"/>
      <color theme="1"/>
      <name val="Algerian"/>
      <family val="5"/>
    </font>
    <font>
      <b/>
      <sz val="12"/>
      <color theme="1"/>
      <name val="Algerian"/>
      <family val="5"/>
    </font>
    <font>
      <b/>
      <sz val="14"/>
      <color theme="1"/>
      <name val="Algerian"/>
      <family val="5"/>
    </font>
    <font>
      <b/>
      <sz val="13"/>
      <color theme="1"/>
      <name val="Algerian"/>
      <family val="5"/>
    </font>
    <font>
      <b/>
      <sz val="14"/>
      <color theme="1"/>
      <name val="Arial Black"/>
      <family val="2"/>
    </font>
    <font>
      <b/>
      <u/>
      <sz val="20"/>
      <color theme="9" tint="-0.499984740745262"/>
      <name val="Algerian"/>
      <family val="5"/>
    </font>
    <font>
      <sz val="14"/>
      <color theme="1"/>
      <name val="Aptos Display"/>
      <family val="2"/>
    </font>
    <font>
      <b/>
      <sz val="20"/>
      <color theme="7" tint="0.79998168889431442"/>
      <name val="Algerian"/>
      <family val="5"/>
    </font>
    <font>
      <b/>
      <sz val="11"/>
      <color rgb="FFC00000"/>
      <name val="Arial Rounded MT Bold"/>
      <family val="2"/>
    </font>
    <font>
      <b/>
      <sz val="25"/>
      <color theme="7" tint="0.79998168889431442"/>
      <name val="Algerian"/>
      <family val="5"/>
    </font>
  </fonts>
  <fills count="1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rgb="FFF6C3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747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49998474074526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9">
    <xf numFmtId="0" fontId="0" fillId="0" borderId="0" xfId="0"/>
    <xf numFmtId="0" fontId="0" fillId="2" borderId="0" xfId="0" applyFill="1"/>
    <xf numFmtId="0" fontId="0" fillId="2" borderId="8" xfId="0" applyFill="1" applyBorder="1"/>
    <xf numFmtId="0" fontId="0" fillId="2" borderId="1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5" xfId="0" applyFill="1" applyBorder="1"/>
    <xf numFmtId="0" fontId="2" fillId="4" borderId="6" xfId="1" applyFill="1" applyBorder="1"/>
    <xf numFmtId="0" fontId="2" fillId="4" borderId="5" xfId="1" applyFill="1" applyBorder="1"/>
    <xf numFmtId="0" fontId="0" fillId="2" borderId="0" xfId="0" applyFill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0" borderId="0" xfId="0" applyAlignment="1">
      <alignment horizontal="center"/>
    </xf>
    <xf numFmtId="164" fontId="0" fillId="4" borderId="6" xfId="0" applyNumberFormat="1" applyFill="1" applyBorder="1"/>
    <xf numFmtId="164" fontId="0" fillId="4" borderId="5" xfId="0" applyNumberFormat="1" applyFill="1" applyBorder="1"/>
    <xf numFmtId="0" fontId="1" fillId="2" borderId="0" xfId="0" applyFont="1" applyFill="1"/>
    <xf numFmtId="0" fontId="3" fillId="3" borderId="4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164" fontId="0" fillId="4" borderId="20" xfId="0" applyNumberFormat="1" applyFill="1" applyBorder="1"/>
    <xf numFmtId="0" fontId="3" fillId="11" borderId="18" xfId="0" applyFont="1" applyFill="1" applyBorder="1" applyAlignment="1">
      <alignment horizontal="center" vertical="center"/>
    </xf>
    <xf numFmtId="164" fontId="0" fillId="13" borderId="5" xfId="0" applyNumberFormat="1" applyFill="1" applyBorder="1"/>
    <xf numFmtId="0" fontId="0" fillId="14" borderId="0" xfId="0" applyFill="1"/>
    <xf numFmtId="0" fontId="0" fillId="14" borderId="17" xfId="0" applyFill="1" applyBorder="1"/>
    <xf numFmtId="49" fontId="6" fillId="5" borderId="2" xfId="0" applyNumberFormat="1" applyFont="1" applyFill="1" applyBorder="1" applyAlignment="1">
      <alignment horizontal="right" vertical="top"/>
    </xf>
    <xf numFmtId="49" fontId="6" fillId="15" borderId="0" xfId="0" applyNumberFormat="1" applyFont="1" applyFill="1" applyAlignment="1">
      <alignment horizontal="right" vertical="top"/>
    </xf>
    <xf numFmtId="0" fontId="0" fillId="15" borderId="0" xfId="0" applyFill="1"/>
    <xf numFmtId="0" fontId="0" fillId="15" borderId="19" xfId="0" applyFill="1" applyBorder="1"/>
    <xf numFmtId="0" fontId="6" fillId="5" borderId="18" xfId="0" applyFont="1" applyFill="1" applyBorder="1" applyAlignment="1">
      <alignment horizontal="right"/>
    </xf>
    <xf numFmtId="0" fontId="8" fillId="5" borderId="2" xfId="0" applyFont="1" applyFill="1" applyBorder="1" applyAlignment="1">
      <alignment horizontal="right"/>
    </xf>
    <xf numFmtId="0" fontId="11" fillId="5" borderId="2" xfId="0" applyFont="1" applyFill="1" applyBorder="1" applyAlignment="1">
      <alignment horizontal="left" vertical="center"/>
    </xf>
    <xf numFmtId="14" fontId="9" fillId="5" borderId="0" xfId="0" applyNumberFormat="1" applyFont="1" applyFill="1"/>
    <xf numFmtId="0" fontId="5" fillId="5" borderId="2" xfId="0" applyFont="1" applyFill="1" applyBorder="1"/>
    <xf numFmtId="0" fontId="0" fillId="12" borderId="0" xfId="0" applyFill="1"/>
    <xf numFmtId="0" fontId="0" fillId="15" borderId="3" xfId="0" applyFill="1" applyBorder="1"/>
    <xf numFmtId="0" fontId="0" fillId="15" borderId="16" xfId="0" applyFill="1" applyBorder="1"/>
    <xf numFmtId="0" fontId="0" fillId="15" borderId="17" xfId="0" applyFill="1" applyBorder="1"/>
    <xf numFmtId="0" fontId="7" fillId="10" borderId="10" xfId="0" applyFont="1" applyFill="1" applyBorder="1" applyAlignment="1">
      <alignment horizontal="center" vertical="center"/>
    </xf>
    <xf numFmtId="0" fontId="7" fillId="10" borderId="9" xfId="0" applyFont="1" applyFill="1" applyBorder="1" applyAlignment="1">
      <alignment horizontal="center" vertical="center"/>
    </xf>
    <xf numFmtId="0" fontId="7" fillId="10" borderId="11" xfId="0" applyFont="1" applyFill="1" applyBorder="1" applyAlignment="1">
      <alignment horizontal="center" vertical="center"/>
    </xf>
    <xf numFmtId="0" fontId="7" fillId="10" borderId="14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0" fontId="7" fillId="10" borderId="17" xfId="0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7" fillId="10" borderId="13" xfId="0" applyFont="1" applyFill="1" applyBorder="1" applyAlignment="1">
      <alignment horizontal="center" vertical="center"/>
    </xf>
    <xf numFmtId="0" fontId="13" fillId="5" borderId="15" xfId="0" applyFont="1" applyFill="1" applyBorder="1" applyAlignment="1">
      <alignment horizontal="left"/>
    </xf>
    <xf numFmtId="0" fontId="13" fillId="5" borderId="3" xfId="0" applyFont="1" applyFill="1" applyBorder="1" applyAlignment="1">
      <alignment horizontal="left"/>
    </xf>
    <xf numFmtId="0" fontId="4" fillId="5" borderId="15" xfId="0" applyFont="1" applyFill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164" fontId="5" fillId="5" borderId="15" xfId="0" applyNumberFormat="1" applyFont="1" applyFill="1" applyBorder="1" applyAlignment="1">
      <alignment horizontal="center"/>
    </xf>
    <xf numFmtId="164" fontId="5" fillId="5" borderId="3" xfId="0" applyNumberFormat="1" applyFont="1" applyFill="1" applyBorder="1" applyAlignment="1">
      <alignment horizontal="center"/>
    </xf>
    <xf numFmtId="0" fontId="5" fillId="5" borderId="15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12" fillId="5" borderId="15" xfId="0" applyFont="1" applyFill="1" applyBorder="1" applyAlignment="1">
      <alignment horizontal="center"/>
    </xf>
    <xf numFmtId="0" fontId="12" fillId="5" borderId="3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16" fillId="5" borderId="10" xfId="0" applyFont="1" applyFill="1" applyBorder="1" applyAlignment="1">
      <alignment horizontal="center" vertical="center"/>
    </xf>
    <xf numFmtId="0" fontId="16" fillId="5" borderId="11" xfId="0" applyFont="1" applyFill="1" applyBorder="1" applyAlignment="1">
      <alignment horizontal="center" vertical="center"/>
    </xf>
    <xf numFmtId="0" fontId="16" fillId="5" borderId="14" xfId="0" applyFont="1" applyFill="1" applyBorder="1" applyAlignment="1">
      <alignment horizontal="center" vertical="center"/>
    </xf>
    <xf numFmtId="0" fontId="16" fillId="5" borderId="17" xfId="0" applyFont="1" applyFill="1" applyBorder="1" applyAlignment="1">
      <alignment horizontal="center" vertical="center"/>
    </xf>
    <xf numFmtId="0" fontId="16" fillId="5" borderId="12" xfId="0" applyFont="1" applyFill="1" applyBorder="1" applyAlignment="1">
      <alignment horizontal="center" vertical="center"/>
    </xf>
    <xf numFmtId="0" fontId="16" fillId="5" borderId="13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/>
    </xf>
    <xf numFmtId="0" fontId="15" fillId="5" borderId="3" xfId="0" applyFont="1" applyFill="1" applyBorder="1" applyAlignment="1">
      <alignment horizontal="center"/>
    </xf>
    <xf numFmtId="14" fontId="10" fillId="5" borderId="15" xfId="0" applyNumberFormat="1" applyFont="1" applyFill="1" applyBorder="1" applyAlignment="1">
      <alignment horizontal="left"/>
    </xf>
    <xf numFmtId="14" fontId="10" fillId="5" borderId="3" xfId="0" applyNumberFormat="1" applyFont="1" applyFill="1" applyBorder="1" applyAlignment="1">
      <alignment horizontal="left"/>
    </xf>
    <xf numFmtId="14" fontId="15" fillId="5" borderId="15" xfId="0" applyNumberFormat="1" applyFont="1" applyFill="1" applyBorder="1" applyAlignment="1">
      <alignment horizontal="center"/>
    </xf>
    <xf numFmtId="14" fontId="15" fillId="5" borderId="3" xfId="0" applyNumberFormat="1" applyFont="1" applyFill="1" applyBorder="1" applyAlignment="1">
      <alignment horizontal="center"/>
    </xf>
    <xf numFmtId="0" fontId="17" fillId="5" borderId="16" xfId="0" applyFont="1" applyFill="1" applyBorder="1" applyAlignment="1">
      <alignment horizontal="center"/>
    </xf>
    <xf numFmtId="0" fontId="17" fillId="5" borderId="3" xfId="0" applyFont="1" applyFill="1" applyBorder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left" vertical="top"/>
    </xf>
    <xf numFmtId="0" fontId="4" fillId="5" borderId="16" xfId="0" applyFont="1" applyFill="1" applyBorder="1" applyAlignment="1">
      <alignment horizontal="left" vertical="top"/>
    </xf>
    <xf numFmtId="0" fontId="4" fillId="5" borderId="3" xfId="0" applyFont="1" applyFill="1" applyBorder="1" applyAlignment="1">
      <alignment horizontal="left" vertical="top"/>
    </xf>
    <xf numFmtId="0" fontId="13" fillId="5" borderId="15" xfId="0" applyFont="1" applyFill="1" applyBorder="1" applyAlignment="1">
      <alignment horizontal="center"/>
    </xf>
    <xf numFmtId="0" fontId="13" fillId="5" borderId="3" xfId="0" applyFont="1" applyFill="1" applyBorder="1" applyAlignment="1">
      <alignment horizontal="center"/>
    </xf>
    <xf numFmtId="164" fontId="18" fillId="16" borderId="9" xfId="0" applyNumberFormat="1" applyFont="1" applyFill="1" applyBorder="1" applyAlignment="1">
      <alignment horizontal="center" vertical="center"/>
    </xf>
    <xf numFmtId="164" fontId="18" fillId="16" borderId="0" xfId="0" applyNumberFormat="1" applyFont="1" applyFill="1" applyAlignment="1">
      <alignment horizontal="center" vertical="center"/>
    </xf>
    <xf numFmtId="164" fontId="18" fillId="16" borderId="1" xfId="0" applyNumberFormat="1" applyFont="1" applyFill="1" applyBorder="1" applyAlignment="1">
      <alignment horizontal="center" vertical="center"/>
    </xf>
    <xf numFmtId="0" fontId="14" fillId="5" borderId="15" xfId="0" applyFont="1" applyFill="1" applyBorder="1" applyAlignment="1">
      <alignment horizontal="left"/>
    </xf>
    <xf numFmtId="0" fontId="14" fillId="5" borderId="3" xfId="0" applyFont="1" applyFill="1" applyBorder="1" applyAlignment="1">
      <alignment horizontal="left"/>
    </xf>
    <xf numFmtId="0" fontId="19" fillId="5" borderId="9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0" xfId="0" applyFont="1" applyFill="1" applyBorder="1" applyAlignment="1">
      <alignment horizontal="center" vertical="center"/>
    </xf>
    <xf numFmtId="0" fontId="19" fillId="5" borderId="12" xfId="0" applyFont="1" applyFill="1" applyBorder="1" applyAlignment="1">
      <alignment horizontal="center" vertical="center"/>
    </xf>
    <xf numFmtId="0" fontId="19" fillId="5" borderId="13" xfId="0" applyFont="1" applyFill="1" applyBorder="1" applyAlignment="1">
      <alignment horizontal="center" vertical="center"/>
    </xf>
    <xf numFmtId="0" fontId="20" fillId="16" borderId="2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993300"/>
      <color rgb="FF000000"/>
      <color rgb="FFF063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image" Target="../media/image6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30480</xdr:colOff>
      <xdr:row>1</xdr:row>
      <xdr:rowOff>30480</xdr:rowOff>
    </xdr:from>
    <xdr:to>
      <xdr:col>7</xdr:col>
      <xdr:colOff>579120</xdr:colOff>
      <xdr:row>4</xdr:row>
      <xdr:rowOff>91440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298FF68-D740-42C3-974F-45B10A17C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1580" y="144780"/>
          <a:ext cx="1592580" cy="541020"/>
        </a:xfrm>
        <a:prstGeom prst="rect">
          <a:avLst/>
        </a:prstGeom>
        <a:solidFill>
          <a:srgbClr val="7030A0"/>
        </a:solidFill>
      </xdr:spPr>
    </xdr:pic>
    <xdr:clientData/>
  </xdr:twoCellAnchor>
  <xdr:twoCellAnchor>
    <xdr:from>
      <xdr:col>5</xdr:col>
      <xdr:colOff>15240</xdr:colOff>
      <xdr:row>1</xdr:row>
      <xdr:rowOff>15240</xdr:rowOff>
    </xdr:from>
    <xdr:to>
      <xdr:col>5</xdr:col>
      <xdr:colOff>487680</xdr:colOff>
      <xdr:row>4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52DB2944-8EE7-C733-D20E-609085B1EAD4}"/>
            </a:ext>
          </a:extLst>
        </xdr:cNvPr>
        <xdr:cNvSpPr/>
      </xdr:nvSpPr>
      <xdr:spPr>
        <a:xfrm>
          <a:off x="2887980" y="129540"/>
          <a:ext cx="472440" cy="46482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 editAs="oneCell">
    <xdr:from>
      <xdr:col>5</xdr:col>
      <xdr:colOff>38100</xdr:colOff>
      <xdr:row>1</xdr:row>
      <xdr:rowOff>15240</xdr:rowOff>
    </xdr:from>
    <xdr:to>
      <xdr:col>5</xdr:col>
      <xdr:colOff>495300</xdr:colOff>
      <xdr:row>4</xdr:row>
      <xdr:rowOff>22860</xdr:rowOff>
    </xdr:to>
    <xdr:pic>
      <xdr:nvPicPr>
        <xdr:cNvPr id="8" name="Graphic 7" descr="Speaker Phone">
          <a:extLst>
            <a:ext uri="{FF2B5EF4-FFF2-40B4-BE49-F238E27FC236}">
              <a16:creationId xmlns:a16="http://schemas.microsoft.com/office/drawing/2014/main" id="{3F865B16-FB0A-C988-98B2-2C7E41FD6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910840" y="129540"/>
          <a:ext cx="457200" cy="48768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</xdr:row>
      <xdr:rowOff>106680</xdr:rowOff>
    </xdr:from>
    <xdr:to>
      <xdr:col>5</xdr:col>
      <xdr:colOff>472440</xdr:colOff>
      <xdr:row>6</xdr:row>
      <xdr:rowOff>7620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A80B861E-A3F3-69DA-7666-B1C5E62FCD3F}"/>
            </a:ext>
          </a:extLst>
        </xdr:cNvPr>
        <xdr:cNvSpPr/>
      </xdr:nvSpPr>
      <xdr:spPr>
        <a:xfrm>
          <a:off x="3261360" y="701040"/>
          <a:ext cx="480060" cy="2667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 editAs="oneCell">
    <xdr:from>
      <xdr:col>5</xdr:col>
      <xdr:colOff>7620</xdr:colOff>
      <xdr:row>5</xdr:row>
      <xdr:rowOff>15240</xdr:rowOff>
    </xdr:from>
    <xdr:to>
      <xdr:col>5</xdr:col>
      <xdr:colOff>480060</xdr:colOff>
      <xdr:row>6</xdr:row>
      <xdr:rowOff>15240</xdr:rowOff>
    </xdr:to>
    <xdr:pic>
      <xdr:nvPicPr>
        <xdr:cNvPr id="13" name="Graphic 12" descr="Envelope">
          <a:extLst>
            <a:ext uri="{FF2B5EF4-FFF2-40B4-BE49-F238E27FC236}">
              <a16:creationId xmlns:a16="http://schemas.microsoft.com/office/drawing/2014/main" id="{F5DE8648-AF4B-0BAD-9BE8-70F768AE9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101340" y="723900"/>
          <a:ext cx="472440" cy="251460"/>
        </a:xfrm>
        <a:prstGeom prst="rect">
          <a:avLst/>
        </a:prstGeom>
      </xdr:spPr>
    </xdr:pic>
    <xdr:clientData/>
  </xdr:twoCellAnchor>
  <xdr:twoCellAnchor>
    <xdr:from>
      <xdr:col>5</xdr:col>
      <xdr:colOff>7620</xdr:colOff>
      <xdr:row>7</xdr:row>
      <xdr:rowOff>7620</xdr:rowOff>
    </xdr:from>
    <xdr:to>
      <xdr:col>5</xdr:col>
      <xdr:colOff>457200</xdr:colOff>
      <xdr:row>8</xdr:row>
      <xdr:rowOff>22860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4D0606C5-2ADC-2899-E6B3-8D62E6234023}"/>
            </a:ext>
          </a:extLst>
        </xdr:cNvPr>
        <xdr:cNvSpPr/>
      </xdr:nvSpPr>
      <xdr:spPr>
        <a:xfrm>
          <a:off x="3276600" y="1082040"/>
          <a:ext cx="449580" cy="20574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 editAs="oneCell">
    <xdr:from>
      <xdr:col>5</xdr:col>
      <xdr:colOff>15240</xdr:colOff>
      <xdr:row>7</xdr:row>
      <xdr:rowOff>15240</xdr:rowOff>
    </xdr:from>
    <xdr:to>
      <xdr:col>5</xdr:col>
      <xdr:colOff>457200</xdr:colOff>
      <xdr:row>8</xdr:row>
      <xdr:rowOff>28722</xdr:rowOff>
    </xdr:to>
    <xdr:pic>
      <xdr:nvPicPr>
        <xdr:cNvPr id="15" name="Graphic 14" descr="Internet">
          <a:extLst>
            <a:ext uri="{FF2B5EF4-FFF2-40B4-BE49-F238E27FC236}">
              <a16:creationId xmlns:a16="http://schemas.microsoft.com/office/drawing/2014/main" id="{9D4EA3D1-9898-0D53-6FE3-98A6BEE64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284220" y="1089660"/>
          <a:ext cx="441960" cy="2039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rajnishkumar@hubnettech.com" TargetMode="External"/><Relationship Id="rId18" Type="http://schemas.openxmlformats.org/officeDocument/2006/relationships/hyperlink" Target="mailto:narendrasingh@hubnettech.com" TargetMode="External"/><Relationship Id="rId26" Type="http://schemas.openxmlformats.org/officeDocument/2006/relationships/hyperlink" Target="mailto:vikramdesai@hubnettech.com" TargetMode="External"/><Relationship Id="rId39" Type="http://schemas.openxmlformats.org/officeDocument/2006/relationships/hyperlink" Target="mailto:aaravsharma@hubnettech.com" TargetMode="External"/><Relationship Id="rId21" Type="http://schemas.openxmlformats.org/officeDocument/2006/relationships/hyperlink" Target="mailto:sanjaygupta@hubnettech.com" TargetMode="External"/><Relationship Id="rId34" Type="http://schemas.openxmlformats.org/officeDocument/2006/relationships/hyperlink" Target="mailto:ashokshetty@hubnettech.com" TargetMode="External"/><Relationship Id="rId42" Type="http://schemas.openxmlformats.org/officeDocument/2006/relationships/hyperlink" Target="mailto:arjunmalhotra@hubnettech.com" TargetMode="External"/><Relationship Id="rId47" Type="http://schemas.openxmlformats.org/officeDocument/2006/relationships/hyperlink" Target="mailto:nikhiljoshi@hubnettech.com" TargetMode="External"/><Relationship Id="rId7" Type="http://schemas.openxmlformats.org/officeDocument/2006/relationships/hyperlink" Target="mailto:anukulsinghaniya@hubnettech.com" TargetMode="External"/><Relationship Id="rId2" Type="http://schemas.openxmlformats.org/officeDocument/2006/relationships/hyperlink" Target="mailto:rishavsharma@hubnettech.com" TargetMode="External"/><Relationship Id="rId16" Type="http://schemas.openxmlformats.org/officeDocument/2006/relationships/hyperlink" Target="mailto:sanjivkumar@hubnettech.com" TargetMode="External"/><Relationship Id="rId29" Type="http://schemas.openxmlformats.org/officeDocument/2006/relationships/hyperlink" Target="mailto:anilreddy@hubnettech.com" TargetMode="External"/><Relationship Id="rId1" Type="http://schemas.openxmlformats.org/officeDocument/2006/relationships/hyperlink" Target="mailto:ranjansingh@hubnettech.com" TargetMode="External"/><Relationship Id="rId6" Type="http://schemas.openxmlformats.org/officeDocument/2006/relationships/hyperlink" Target="mailto:rakeshraj@hubnettech.com" TargetMode="External"/><Relationship Id="rId11" Type="http://schemas.openxmlformats.org/officeDocument/2006/relationships/hyperlink" Target="mailto:rikiraj@hubnettech.com" TargetMode="External"/><Relationship Id="rId24" Type="http://schemas.openxmlformats.org/officeDocument/2006/relationships/hyperlink" Target="mailto:karannair@hubnettech.com" TargetMode="External"/><Relationship Id="rId32" Type="http://schemas.openxmlformats.org/officeDocument/2006/relationships/hyperlink" Target="mailto:nikhilchoudhary@hubnettech.com" TargetMode="External"/><Relationship Id="rId37" Type="http://schemas.openxmlformats.org/officeDocument/2006/relationships/hyperlink" Target="mailto:abhishekpandey@hubnettech.com" TargetMode="External"/><Relationship Id="rId40" Type="http://schemas.openxmlformats.org/officeDocument/2006/relationships/hyperlink" Target="mailto:vivaankapoor@hubnettech.com" TargetMode="External"/><Relationship Id="rId45" Type="http://schemas.openxmlformats.org/officeDocument/2006/relationships/hyperlink" Target="mailto:harshvardhanrao@hubnettech.com" TargetMode="External"/><Relationship Id="rId5" Type="http://schemas.openxmlformats.org/officeDocument/2006/relationships/hyperlink" Target="mailto:harshkumar@hubnettech.com" TargetMode="External"/><Relationship Id="rId15" Type="http://schemas.openxmlformats.org/officeDocument/2006/relationships/hyperlink" Target="mailto:alatmaskhan@hubnettech.com" TargetMode="External"/><Relationship Id="rId23" Type="http://schemas.openxmlformats.org/officeDocument/2006/relationships/hyperlink" Target="mailto:rohitkapoor@hubnettech.com" TargetMode="External"/><Relationship Id="rId28" Type="http://schemas.openxmlformats.org/officeDocument/2006/relationships/hyperlink" Target="mailto:harishbhat@hubnettech.com" TargetMode="External"/><Relationship Id="rId36" Type="http://schemas.openxmlformats.org/officeDocument/2006/relationships/hyperlink" Target="mailto:sureshdubey@hubnettech.com" TargetMode="External"/><Relationship Id="rId10" Type="http://schemas.openxmlformats.org/officeDocument/2006/relationships/hyperlink" Target="mailto:akashsingh@hubnettech.com" TargetMode="External"/><Relationship Id="rId19" Type="http://schemas.openxmlformats.org/officeDocument/2006/relationships/hyperlink" Target="mailto:arjunsharma@hubnettech.com" TargetMode="External"/><Relationship Id="rId31" Type="http://schemas.openxmlformats.org/officeDocument/2006/relationships/hyperlink" Target="mailto:gopalverma@hubnettech.com" TargetMode="External"/><Relationship Id="rId44" Type="http://schemas.openxmlformats.org/officeDocument/2006/relationships/hyperlink" Target="mailto:siddharthiyer@hubnettech.com" TargetMode="External"/><Relationship Id="rId4" Type="http://schemas.openxmlformats.org/officeDocument/2006/relationships/hyperlink" Target="mailto:anmolraj@hubnettech.com" TargetMode="External"/><Relationship Id="rId9" Type="http://schemas.openxmlformats.org/officeDocument/2006/relationships/hyperlink" Target="mailto:nikhildwivedi@hubnettech.com" TargetMode="External"/><Relationship Id="rId14" Type="http://schemas.openxmlformats.org/officeDocument/2006/relationships/hyperlink" Target="mailto:avinashkumar@hubnettech.com" TargetMode="External"/><Relationship Id="rId22" Type="http://schemas.openxmlformats.org/officeDocument/2006/relationships/hyperlink" Target="mailto:ajaymehta@hubnettech.com" TargetMode="External"/><Relationship Id="rId27" Type="http://schemas.openxmlformats.org/officeDocument/2006/relationships/hyperlink" Target="mailto:rajeshiyer@hubnettech.com" TargetMode="External"/><Relationship Id="rId30" Type="http://schemas.openxmlformats.org/officeDocument/2006/relationships/hyperlink" Target="mailto:deepaksingh@hubnettech.com" TargetMode="External"/><Relationship Id="rId35" Type="http://schemas.openxmlformats.org/officeDocument/2006/relationships/hyperlink" Target="mailto:manishjain@hubnettech.com" TargetMode="External"/><Relationship Id="rId43" Type="http://schemas.openxmlformats.org/officeDocument/2006/relationships/hyperlink" Target="mailto:rohankhanna@hubnettech.com" TargetMode="External"/><Relationship Id="rId48" Type="http://schemas.openxmlformats.org/officeDocument/2006/relationships/hyperlink" Target="mailto:karthikreddy@hubnettech.com" TargetMode="External"/><Relationship Id="rId8" Type="http://schemas.openxmlformats.org/officeDocument/2006/relationships/hyperlink" Target="mailto:amittrivedi@hubnettech.com" TargetMode="External"/><Relationship Id="rId3" Type="http://schemas.openxmlformats.org/officeDocument/2006/relationships/hyperlink" Target="mailto:ankurtiwari@hubnettech.com" TargetMode="External"/><Relationship Id="rId12" Type="http://schemas.openxmlformats.org/officeDocument/2006/relationships/hyperlink" Target="mailto:ankushsingh@hubnettech.com" TargetMode="External"/><Relationship Id="rId17" Type="http://schemas.openxmlformats.org/officeDocument/2006/relationships/hyperlink" Target="mailto:rajatsharma@hubnettech.com" TargetMode="External"/><Relationship Id="rId25" Type="http://schemas.openxmlformats.org/officeDocument/2006/relationships/hyperlink" Target="mailto:sameerpatil@hubnettech.com" TargetMode="External"/><Relationship Id="rId33" Type="http://schemas.openxmlformats.org/officeDocument/2006/relationships/hyperlink" Target="mailto:praveenjoshi@hubnettech.com" TargetMode="External"/><Relationship Id="rId38" Type="http://schemas.openxmlformats.org/officeDocument/2006/relationships/hyperlink" Target="mailto:rameshthakur@hubnettech.com" TargetMode="External"/><Relationship Id="rId46" Type="http://schemas.openxmlformats.org/officeDocument/2006/relationships/hyperlink" Target="mailto:ishaandeshmukh@hubnettech.com" TargetMode="External"/><Relationship Id="rId20" Type="http://schemas.openxmlformats.org/officeDocument/2006/relationships/hyperlink" Target="mailto:ravikumar@hubnettech.com" TargetMode="External"/><Relationship Id="rId41" Type="http://schemas.openxmlformats.org/officeDocument/2006/relationships/hyperlink" Target="mailto:adityamehra@hubnettech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5C39-5F0E-4760-808D-DF42129E81C0}">
  <dimension ref="A1:P51"/>
  <sheetViews>
    <sheetView topLeftCell="F1" workbookViewId="0">
      <selection activeCell="F19" sqref="F19"/>
    </sheetView>
  </sheetViews>
  <sheetFormatPr defaultRowHeight="14.4" x14ac:dyDescent="0.3"/>
  <cols>
    <col min="1" max="1" width="1.77734375" customWidth="1"/>
    <col min="2" max="2" width="16" bestFit="1" customWidth="1"/>
    <col min="3" max="3" width="6.21875" bestFit="1" customWidth="1"/>
    <col min="4" max="4" width="30.44140625" bestFit="1" customWidth="1"/>
    <col min="5" max="5" width="13.77734375" bestFit="1" customWidth="1"/>
    <col min="6" max="6" width="18.5546875" bestFit="1" customWidth="1"/>
    <col min="7" max="7" width="26.21875" bestFit="1" customWidth="1"/>
    <col min="8" max="8" width="12.5546875" bestFit="1" customWidth="1"/>
    <col min="9" max="12" width="9.44140625" bestFit="1" customWidth="1"/>
    <col min="13" max="13" width="24.88671875" bestFit="1" customWidth="1"/>
    <col min="14" max="14" width="16.88671875" bestFit="1" customWidth="1"/>
    <col min="15" max="15" width="16" bestFit="1" customWidth="1"/>
    <col min="16" max="16" width="2" customWidth="1"/>
  </cols>
  <sheetData>
    <row r="1" spans="1:16" ht="9" customHeight="1" thickBot="1" x14ac:dyDescent="0.35">
      <c r="A1" s="1"/>
      <c r="B1" s="1"/>
      <c r="C1" s="3"/>
      <c r="D1" s="1"/>
      <c r="E1" s="9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29.4" thickTop="1" thickBot="1" x14ac:dyDescent="0.6">
      <c r="A2" s="15"/>
      <c r="B2" s="17" t="s">
        <v>0</v>
      </c>
      <c r="C2" s="16" t="s">
        <v>59</v>
      </c>
      <c r="D2" s="17" t="s">
        <v>1</v>
      </c>
      <c r="E2" s="18" t="s">
        <v>2</v>
      </c>
      <c r="F2" s="17" t="s">
        <v>3</v>
      </c>
      <c r="G2" s="19" t="s">
        <v>4</v>
      </c>
      <c r="H2" s="20" t="s">
        <v>5</v>
      </c>
      <c r="I2" s="21" t="s">
        <v>6</v>
      </c>
      <c r="J2" s="21" t="s">
        <v>7</v>
      </c>
      <c r="K2" s="21" t="s">
        <v>8</v>
      </c>
      <c r="L2" s="22" t="s">
        <v>9</v>
      </c>
      <c r="M2" s="23" t="s">
        <v>10</v>
      </c>
      <c r="N2" s="25" t="s">
        <v>189</v>
      </c>
      <c r="O2" s="25" t="s">
        <v>190</v>
      </c>
      <c r="P2" s="15"/>
    </row>
    <row r="3" spans="1:16" ht="15" thickTop="1" x14ac:dyDescent="0.3">
      <c r="A3" s="2"/>
      <c r="B3" s="5" t="s">
        <v>60</v>
      </c>
      <c r="C3" s="4" t="s">
        <v>11</v>
      </c>
      <c r="D3" s="7" t="s">
        <v>108</v>
      </c>
      <c r="E3" s="10">
        <v>9875964859</v>
      </c>
      <c r="F3" s="4" t="s">
        <v>156</v>
      </c>
      <c r="G3" s="4" t="s">
        <v>175</v>
      </c>
      <c r="H3" s="13">
        <v>25000</v>
      </c>
      <c r="I3" s="13">
        <f t="shared" ref="I3:I50" si="0">5/100*H3</f>
        <v>1250</v>
      </c>
      <c r="J3" s="13">
        <f t="shared" ref="J3:J50" si="1">12/100*H3</f>
        <v>3000</v>
      </c>
      <c r="K3" s="13">
        <f t="shared" ref="K3:K50" si="2">20/100*H3</f>
        <v>5000</v>
      </c>
      <c r="L3" s="13">
        <f t="shared" ref="L3:L50" si="3">12/100*H3</f>
        <v>3000</v>
      </c>
      <c r="M3" s="24">
        <f t="shared" ref="M3:M50" si="4">(H3+I3+J3+K3)-L3</f>
        <v>31250</v>
      </c>
      <c r="N3" s="14" t="s">
        <v>191</v>
      </c>
      <c r="O3" s="14" t="s">
        <v>197</v>
      </c>
      <c r="P3" s="1"/>
    </row>
    <row r="4" spans="1:16" x14ac:dyDescent="0.3">
      <c r="A4" s="2"/>
      <c r="B4" s="6" t="s">
        <v>61</v>
      </c>
      <c r="C4" s="4" t="s">
        <v>12</v>
      </c>
      <c r="D4" s="8" t="s">
        <v>109</v>
      </c>
      <c r="E4" s="11">
        <v>9856478965</v>
      </c>
      <c r="F4" s="6" t="s">
        <v>157</v>
      </c>
      <c r="G4" s="6" t="s">
        <v>176</v>
      </c>
      <c r="H4" s="14">
        <v>32500</v>
      </c>
      <c r="I4" s="13">
        <f t="shared" si="0"/>
        <v>1625</v>
      </c>
      <c r="J4" s="13">
        <f t="shared" si="1"/>
        <v>3900</v>
      </c>
      <c r="K4" s="13">
        <f t="shared" si="2"/>
        <v>6500</v>
      </c>
      <c r="L4" s="13">
        <f t="shared" si="3"/>
        <v>3900</v>
      </c>
      <c r="M4" s="24">
        <f t="shared" si="4"/>
        <v>40625</v>
      </c>
      <c r="N4" s="14" t="s">
        <v>192</v>
      </c>
      <c r="O4" s="14" t="s">
        <v>198</v>
      </c>
      <c r="P4" s="1"/>
    </row>
    <row r="5" spans="1:16" x14ac:dyDescent="0.3">
      <c r="A5" s="1"/>
      <c r="B5" s="6" t="s">
        <v>62</v>
      </c>
      <c r="C5" s="4" t="s">
        <v>13</v>
      </c>
      <c r="D5" s="8" t="s">
        <v>110</v>
      </c>
      <c r="E5" s="11">
        <v>7584965874</v>
      </c>
      <c r="F5" s="6" t="s">
        <v>158</v>
      </c>
      <c r="G5" s="6" t="s">
        <v>177</v>
      </c>
      <c r="H5" s="14">
        <v>28000</v>
      </c>
      <c r="I5" s="13">
        <f t="shared" si="0"/>
        <v>1400</v>
      </c>
      <c r="J5" s="13">
        <f t="shared" si="1"/>
        <v>3360</v>
      </c>
      <c r="K5" s="13">
        <f t="shared" si="2"/>
        <v>5600</v>
      </c>
      <c r="L5" s="13">
        <f t="shared" si="3"/>
        <v>3360</v>
      </c>
      <c r="M5" s="24">
        <f t="shared" si="4"/>
        <v>35000</v>
      </c>
      <c r="N5" s="14" t="s">
        <v>193</v>
      </c>
      <c r="O5" s="14" t="s">
        <v>199</v>
      </c>
      <c r="P5" s="1"/>
    </row>
    <row r="6" spans="1:16" x14ac:dyDescent="0.3">
      <c r="A6" s="1"/>
      <c r="B6" s="6" t="s">
        <v>63</v>
      </c>
      <c r="C6" s="4" t="s">
        <v>14</v>
      </c>
      <c r="D6" s="8" t="s">
        <v>111</v>
      </c>
      <c r="E6" s="11">
        <v>8547859654</v>
      </c>
      <c r="F6" s="6" t="s">
        <v>159</v>
      </c>
      <c r="G6" s="6" t="s">
        <v>178</v>
      </c>
      <c r="H6" s="14">
        <v>40000</v>
      </c>
      <c r="I6" s="13">
        <f t="shared" si="0"/>
        <v>2000</v>
      </c>
      <c r="J6" s="13">
        <f t="shared" si="1"/>
        <v>4800</v>
      </c>
      <c r="K6" s="13">
        <f t="shared" si="2"/>
        <v>8000</v>
      </c>
      <c r="L6" s="13">
        <f t="shared" si="3"/>
        <v>4800</v>
      </c>
      <c r="M6" s="24">
        <f t="shared" si="4"/>
        <v>50000</v>
      </c>
      <c r="N6" s="14" t="s">
        <v>194</v>
      </c>
      <c r="O6" s="14" t="s">
        <v>200</v>
      </c>
      <c r="P6" s="1"/>
    </row>
    <row r="7" spans="1:16" x14ac:dyDescent="0.3">
      <c r="A7" s="1"/>
      <c r="B7" s="6" t="s">
        <v>64</v>
      </c>
      <c r="C7" s="4" t="s">
        <v>15</v>
      </c>
      <c r="D7" s="8" t="s">
        <v>112</v>
      </c>
      <c r="E7" s="11">
        <v>8547856854</v>
      </c>
      <c r="F7" s="6" t="s">
        <v>160</v>
      </c>
      <c r="G7" s="6" t="s">
        <v>179</v>
      </c>
      <c r="H7" s="14">
        <v>22500</v>
      </c>
      <c r="I7" s="13">
        <f t="shared" si="0"/>
        <v>1125</v>
      </c>
      <c r="J7" s="13">
        <f t="shared" si="1"/>
        <v>2700</v>
      </c>
      <c r="K7" s="13">
        <f t="shared" si="2"/>
        <v>4500</v>
      </c>
      <c r="L7" s="13">
        <f t="shared" si="3"/>
        <v>2700</v>
      </c>
      <c r="M7" s="24">
        <f t="shared" si="4"/>
        <v>28125</v>
      </c>
      <c r="N7" s="14" t="s">
        <v>195</v>
      </c>
      <c r="O7" s="14" t="s">
        <v>201</v>
      </c>
      <c r="P7" s="1"/>
    </row>
    <row r="8" spans="1:16" x14ac:dyDescent="0.3">
      <c r="A8" s="1"/>
      <c r="B8" s="6" t="s">
        <v>65</v>
      </c>
      <c r="C8" s="4" t="s">
        <v>16</v>
      </c>
      <c r="D8" s="8" t="s">
        <v>113</v>
      </c>
      <c r="E8" s="11">
        <v>7456921456</v>
      </c>
      <c r="F8" s="6" t="s">
        <v>161</v>
      </c>
      <c r="G8" s="4" t="s">
        <v>175</v>
      </c>
      <c r="H8" s="14">
        <v>30000</v>
      </c>
      <c r="I8" s="13">
        <f t="shared" si="0"/>
        <v>1500</v>
      </c>
      <c r="J8" s="13">
        <f t="shared" si="1"/>
        <v>3600</v>
      </c>
      <c r="K8" s="13">
        <f t="shared" si="2"/>
        <v>6000</v>
      </c>
      <c r="L8" s="13">
        <f t="shared" si="3"/>
        <v>3600</v>
      </c>
      <c r="M8" s="24">
        <f t="shared" si="4"/>
        <v>37500</v>
      </c>
      <c r="N8" s="14" t="s">
        <v>196</v>
      </c>
      <c r="O8" s="14" t="s">
        <v>202</v>
      </c>
      <c r="P8" s="1"/>
    </row>
    <row r="9" spans="1:16" x14ac:dyDescent="0.3">
      <c r="A9" s="1"/>
      <c r="B9" s="6" t="s">
        <v>66</v>
      </c>
      <c r="C9" s="4" t="s">
        <v>17</v>
      </c>
      <c r="D9" s="8" t="s">
        <v>114</v>
      </c>
      <c r="E9" s="11">
        <v>8123054698</v>
      </c>
      <c r="F9" s="6" t="s">
        <v>162</v>
      </c>
      <c r="G9" s="6" t="s">
        <v>176</v>
      </c>
      <c r="H9" s="14">
        <v>35000</v>
      </c>
      <c r="I9" s="13">
        <f t="shared" si="0"/>
        <v>1750</v>
      </c>
      <c r="J9" s="13">
        <f t="shared" si="1"/>
        <v>4200</v>
      </c>
      <c r="K9" s="13">
        <f t="shared" si="2"/>
        <v>7000</v>
      </c>
      <c r="L9" s="13">
        <f t="shared" si="3"/>
        <v>4200</v>
      </c>
      <c r="M9" s="24">
        <f t="shared" si="4"/>
        <v>43750</v>
      </c>
      <c r="N9" s="14" t="s">
        <v>191</v>
      </c>
      <c r="O9" s="14" t="s">
        <v>203</v>
      </c>
      <c r="P9" s="1"/>
    </row>
    <row r="10" spans="1:16" x14ac:dyDescent="0.3">
      <c r="A10" s="1"/>
      <c r="B10" s="6" t="s">
        <v>67</v>
      </c>
      <c r="C10" s="4" t="s">
        <v>18</v>
      </c>
      <c r="D10" s="8" t="s">
        <v>115</v>
      </c>
      <c r="E10" s="11">
        <v>9876543210</v>
      </c>
      <c r="F10" s="6" t="s">
        <v>163</v>
      </c>
      <c r="G10" s="6" t="s">
        <v>177</v>
      </c>
      <c r="H10" s="14">
        <v>45000</v>
      </c>
      <c r="I10" s="13">
        <f t="shared" si="0"/>
        <v>2250</v>
      </c>
      <c r="J10" s="13">
        <f t="shared" si="1"/>
        <v>5400</v>
      </c>
      <c r="K10" s="13">
        <f t="shared" si="2"/>
        <v>9000</v>
      </c>
      <c r="L10" s="13">
        <f t="shared" si="3"/>
        <v>5400</v>
      </c>
      <c r="M10" s="24">
        <f t="shared" si="4"/>
        <v>56250</v>
      </c>
      <c r="N10" s="14" t="s">
        <v>192</v>
      </c>
      <c r="O10" s="14" t="s">
        <v>204</v>
      </c>
      <c r="P10" s="1"/>
    </row>
    <row r="11" spans="1:16" x14ac:dyDescent="0.3">
      <c r="A11" s="1"/>
      <c r="B11" s="6" t="s">
        <v>68</v>
      </c>
      <c r="C11" s="4" t="s">
        <v>19</v>
      </c>
      <c r="D11" s="8" t="s">
        <v>116</v>
      </c>
      <c r="E11" s="11">
        <v>9123456789</v>
      </c>
      <c r="F11" s="6" t="s">
        <v>164</v>
      </c>
      <c r="G11" s="6" t="s">
        <v>178</v>
      </c>
      <c r="H11" s="14">
        <v>29000</v>
      </c>
      <c r="I11" s="13">
        <f t="shared" si="0"/>
        <v>1450</v>
      </c>
      <c r="J11" s="13">
        <f t="shared" si="1"/>
        <v>3480</v>
      </c>
      <c r="K11" s="13">
        <f t="shared" si="2"/>
        <v>5800</v>
      </c>
      <c r="L11" s="13">
        <f t="shared" si="3"/>
        <v>3480</v>
      </c>
      <c r="M11" s="24">
        <f t="shared" si="4"/>
        <v>36250</v>
      </c>
      <c r="N11" s="14" t="s">
        <v>193</v>
      </c>
      <c r="O11" s="14" t="s">
        <v>205</v>
      </c>
      <c r="P11" s="1"/>
    </row>
    <row r="12" spans="1:16" x14ac:dyDescent="0.3">
      <c r="A12" s="1"/>
      <c r="B12" s="6" t="s">
        <v>69</v>
      </c>
      <c r="C12" s="4" t="s">
        <v>20</v>
      </c>
      <c r="D12" s="8" t="s">
        <v>117</v>
      </c>
      <c r="E12" s="11">
        <v>9812345678</v>
      </c>
      <c r="F12" s="6" t="s">
        <v>165</v>
      </c>
      <c r="G12" s="6" t="s">
        <v>179</v>
      </c>
      <c r="H12" s="14">
        <v>38500</v>
      </c>
      <c r="I12" s="13">
        <f t="shared" si="0"/>
        <v>1925</v>
      </c>
      <c r="J12" s="13">
        <f t="shared" si="1"/>
        <v>4620</v>
      </c>
      <c r="K12" s="13">
        <f t="shared" si="2"/>
        <v>7700</v>
      </c>
      <c r="L12" s="13">
        <f t="shared" si="3"/>
        <v>4620</v>
      </c>
      <c r="M12" s="24">
        <f t="shared" si="4"/>
        <v>48125</v>
      </c>
      <c r="N12" s="14" t="s">
        <v>194</v>
      </c>
      <c r="O12" s="14" t="s">
        <v>206</v>
      </c>
      <c r="P12" s="1"/>
    </row>
    <row r="13" spans="1:16" x14ac:dyDescent="0.3">
      <c r="A13" s="1"/>
      <c r="B13" s="6" t="s">
        <v>70</v>
      </c>
      <c r="C13" s="4" t="s">
        <v>21</v>
      </c>
      <c r="D13" s="8" t="s">
        <v>118</v>
      </c>
      <c r="E13" s="11">
        <v>9001234567</v>
      </c>
      <c r="F13" s="6" t="s">
        <v>166</v>
      </c>
      <c r="G13" s="6" t="s">
        <v>180</v>
      </c>
      <c r="H13" s="14">
        <v>27000</v>
      </c>
      <c r="I13" s="13">
        <f t="shared" si="0"/>
        <v>1350</v>
      </c>
      <c r="J13" s="13">
        <f t="shared" si="1"/>
        <v>3240</v>
      </c>
      <c r="K13" s="13">
        <f t="shared" si="2"/>
        <v>5400</v>
      </c>
      <c r="L13" s="13">
        <f t="shared" si="3"/>
        <v>3240</v>
      </c>
      <c r="M13" s="24">
        <f t="shared" si="4"/>
        <v>33750</v>
      </c>
      <c r="N13" s="14" t="s">
        <v>195</v>
      </c>
      <c r="O13" s="14" t="s">
        <v>207</v>
      </c>
      <c r="P13" s="1"/>
    </row>
    <row r="14" spans="1:16" x14ac:dyDescent="0.3">
      <c r="A14" s="1"/>
      <c r="B14" s="6" t="s">
        <v>71</v>
      </c>
      <c r="C14" s="4" t="s">
        <v>22</v>
      </c>
      <c r="D14" s="8" t="s">
        <v>119</v>
      </c>
      <c r="E14" s="11">
        <v>8765432109</v>
      </c>
      <c r="F14" s="6" t="s">
        <v>167</v>
      </c>
      <c r="G14" s="6" t="s">
        <v>181</v>
      </c>
      <c r="H14" s="14">
        <v>33500</v>
      </c>
      <c r="I14" s="13">
        <f t="shared" si="0"/>
        <v>1675</v>
      </c>
      <c r="J14" s="13">
        <f t="shared" si="1"/>
        <v>4020</v>
      </c>
      <c r="K14" s="13">
        <f t="shared" si="2"/>
        <v>6700</v>
      </c>
      <c r="L14" s="13">
        <f t="shared" si="3"/>
        <v>4020</v>
      </c>
      <c r="M14" s="24">
        <f t="shared" si="4"/>
        <v>41875</v>
      </c>
      <c r="N14" s="14" t="s">
        <v>196</v>
      </c>
      <c r="O14" s="14" t="s">
        <v>208</v>
      </c>
      <c r="P14" s="1"/>
    </row>
    <row r="15" spans="1:16" x14ac:dyDescent="0.3">
      <c r="A15" s="1"/>
      <c r="B15" s="6" t="s">
        <v>72</v>
      </c>
      <c r="C15" s="4" t="s">
        <v>23</v>
      </c>
      <c r="D15" s="8" t="s">
        <v>120</v>
      </c>
      <c r="E15" s="11">
        <v>8098765432</v>
      </c>
      <c r="F15" s="6" t="s">
        <v>156</v>
      </c>
      <c r="G15" s="6" t="s">
        <v>175</v>
      </c>
      <c r="H15" s="14">
        <v>41000</v>
      </c>
      <c r="I15" s="13">
        <f t="shared" si="0"/>
        <v>2050</v>
      </c>
      <c r="J15" s="13">
        <f t="shared" si="1"/>
        <v>4920</v>
      </c>
      <c r="K15" s="13">
        <f t="shared" si="2"/>
        <v>8200</v>
      </c>
      <c r="L15" s="13">
        <f t="shared" si="3"/>
        <v>4920</v>
      </c>
      <c r="M15" s="24">
        <f t="shared" si="4"/>
        <v>51250</v>
      </c>
      <c r="N15" s="14" t="s">
        <v>191</v>
      </c>
      <c r="O15" s="14" t="s">
        <v>209</v>
      </c>
      <c r="P15" s="1"/>
    </row>
    <row r="16" spans="1:16" x14ac:dyDescent="0.3">
      <c r="A16" s="1"/>
      <c r="B16" s="6" t="s">
        <v>73</v>
      </c>
      <c r="C16" s="4" t="s">
        <v>24</v>
      </c>
      <c r="D16" s="8" t="s">
        <v>121</v>
      </c>
      <c r="E16" s="11">
        <v>7890123456</v>
      </c>
      <c r="F16" s="6" t="s">
        <v>157</v>
      </c>
      <c r="G16" s="6" t="s">
        <v>176</v>
      </c>
      <c r="H16" s="14">
        <v>31000</v>
      </c>
      <c r="I16" s="13">
        <f t="shared" si="0"/>
        <v>1550</v>
      </c>
      <c r="J16" s="13">
        <f t="shared" si="1"/>
        <v>3720</v>
      </c>
      <c r="K16" s="13">
        <f t="shared" si="2"/>
        <v>6200</v>
      </c>
      <c r="L16" s="13">
        <f t="shared" si="3"/>
        <v>3720</v>
      </c>
      <c r="M16" s="24">
        <f t="shared" si="4"/>
        <v>38750</v>
      </c>
      <c r="N16" s="14" t="s">
        <v>192</v>
      </c>
      <c r="O16" s="14" t="s">
        <v>210</v>
      </c>
      <c r="P16" s="1"/>
    </row>
    <row r="17" spans="1:16" x14ac:dyDescent="0.3">
      <c r="A17" s="1"/>
      <c r="B17" s="6" t="s">
        <v>74</v>
      </c>
      <c r="C17" s="4" t="s">
        <v>25</v>
      </c>
      <c r="D17" s="8" t="s">
        <v>122</v>
      </c>
      <c r="E17" s="11">
        <v>8123456789</v>
      </c>
      <c r="F17" s="6" t="s">
        <v>158</v>
      </c>
      <c r="G17" s="6" t="s">
        <v>177</v>
      </c>
      <c r="H17" s="14">
        <v>36000</v>
      </c>
      <c r="I17" s="13">
        <f t="shared" si="0"/>
        <v>1800</v>
      </c>
      <c r="J17" s="13">
        <f t="shared" si="1"/>
        <v>4320</v>
      </c>
      <c r="K17" s="13">
        <f t="shared" si="2"/>
        <v>7200</v>
      </c>
      <c r="L17" s="13">
        <f t="shared" si="3"/>
        <v>4320</v>
      </c>
      <c r="M17" s="24">
        <f t="shared" si="4"/>
        <v>45000</v>
      </c>
      <c r="N17" s="14" t="s">
        <v>193</v>
      </c>
      <c r="O17" s="14" t="s">
        <v>216</v>
      </c>
      <c r="P17" s="1"/>
    </row>
    <row r="18" spans="1:16" x14ac:dyDescent="0.3">
      <c r="A18" s="1"/>
      <c r="B18" s="6" t="s">
        <v>75</v>
      </c>
      <c r="C18" s="4" t="s">
        <v>26</v>
      </c>
      <c r="D18" s="8" t="s">
        <v>123</v>
      </c>
      <c r="E18" s="11">
        <v>7012345678</v>
      </c>
      <c r="F18" s="6" t="s">
        <v>159</v>
      </c>
      <c r="G18" s="6" t="s">
        <v>178</v>
      </c>
      <c r="H18" s="14">
        <v>24000</v>
      </c>
      <c r="I18" s="13">
        <f t="shared" si="0"/>
        <v>1200</v>
      </c>
      <c r="J18" s="13">
        <f t="shared" si="1"/>
        <v>2880</v>
      </c>
      <c r="K18" s="13">
        <f t="shared" si="2"/>
        <v>4800</v>
      </c>
      <c r="L18" s="13">
        <f t="shared" si="3"/>
        <v>2880</v>
      </c>
      <c r="M18" s="24">
        <f t="shared" si="4"/>
        <v>30000</v>
      </c>
      <c r="N18" s="14" t="s">
        <v>194</v>
      </c>
      <c r="O18" s="14" t="s">
        <v>217</v>
      </c>
      <c r="P18" s="1"/>
    </row>
    <row r="19" spans="1:16" x14ac:dyDescent="0.3">
      <c r="A19" s="1"/>
      <c r="B19" s="6" t="s">
        <v>76</v>
      </c>
      <c r="C19" s="4" t="s">
        <v>27</v>
      </c>
      <c r="D19" s="8" t="s">
        <v>124</v>
      </c>
      <c r="E19" s="11">
        <v>9512345678</v>
      </c>
      <c r="F19" s="6" t="s">
        <v>160</v>
      </c>
      <c r="G19" s="6" t="s">
        <v>179</v>
      </c>
      <c r="H19" s="14">
        <v>39000</v>
      </c>
      <c r="I19" s="13">
        <f t="shared" si="0"/>
        <v>1950</v>
      </c>
      <c r="J19" s="13">
        <f t="shared" si="1"/>
        <v>4680</v>
      </c>
      <c r="K19" s="13">
        <f t="shared" si="2"/>
        <v>7800</v>
      </c>
      <c r="L19" s="13">
        <f t="shared" si="3"/>
        <v>4680</v>
      </c>
      <c r="M19" s="24">
        <f t="shared" si="4"/>
        <v>48750</v>
      </c>
      <c r="N19" s="14" t="s">
        <v>195</v>
      </c>
      <c r="O19" s="14" t="s">
        <v>218</v>
      </c>
      <c r="P19" s="1"/>
    </row>
    <row r="20" spans="1:16" x14ac:dyDescent="0.3">
      <c r="A20" s="1"/>
      <c r="B20" s="6" t="s">
        <v>77</v>
      </c>
      <c r="C20" s="4" t="s">
        <v>28</v>
      </c>
      <c r="D20" s="8" t="s">
        <v>125</v>
      </c>
      <c r="E20" s="11">
        <v>9823456789</v>
      </c>
      <c r="F20" s="6" t="s">
        <v>161</v>
      </c>
      <c r="G20" s="6" t="s">
        <v>175</v>
      </c>
      <c r="H20" s="14">
        <v>26500</v>
      </c>
      <c r="I20" s="13">
        <f t="shared" si="0"/>
        <v>1325</v>
      </c>
      <c r="J20" s="13">
        <f t="shared" si="1"/>
        <v>3180</v>
      </c>
      <c r="K20" s="13">
        <f t="shared" si="2"/>
        <v>5300</v>
      </c>
      <c r="L20" s="13">
        <f t="shared" si="3"/>
        <v>3180</v>
      </c>
      <c r="M20" s="24">
        <f t="shared" si="4"/>
        <v>33125</v>
      </c>
      <c r="N20" s="14" t="s">
        <v>196</v>
      </c>
      <c r="O20" s="14" t="s">
        <v>226</v>
      </c>
      <c r="P20" s="1"/>
    </row>
    <row r="21" spans="1:16" x14ac:dyDescent="0.3">
      <c r="A21" s="1"/>
      <c r="B21" s="6" t="s">
        <v>78</v>
      </c>
      <c r="C21" s="4" t="s">
        <v>29</v>
      </c>
      <c r="D21" s="8" t="s">
        <v>126</v>
      </c>
      <c r="E21" s="11">
        <v>8112233445</v>
      </c>
      <c r="F21" s="6" t="s">
        <v>162</v>
      </c>
      <c r="G21" s="6" t="s">
        <v>176</v>
      </c>
      <c r="H21" s="14">
        <v>43500</v>
      </c>
      <c r="I21" s="13">
        <f t="shared" si="0"/>
        <v>2175</v>
      </c>
      <c r="J21" s="13">
        <f t="shared" si="1"/>
        <v>5220</v>
      </c>
      <c r="K21" s="13">
        <f t="shared" si="2"/>
        <v>8700</v>
      </c>
      <c r="L21" s="13">
        <f t="shared" si="3"/>
        <v>5220</v>
      </c>
      <c r="M21" s="24">
        <f t="shared" si="4"/>
        <v>54375</v>
      </c>
      <c r="N21" s="14" t="s">
        <v>191</v>
      </c>
      <c r="O21" s="14" t="s">
        <v>227</v>
      </c>
      <c r="P21" s="1"/>
    </row>
    <row r="22" spans="1:16" x14ac:dyDescent="0.3">
      <c r="A22" s="1"/>
      <c r="B22" s="6" t="s">
        <v>79</v>
      </c>
      <c r="C22" s="4" t="s">
        <v>30</v>
      </c>
      <c r="D22" s="8" t="s">
        <v>127</v>
      </c>
      <c r="E22" s="11">
        <v>8301234567</v>
      </c>
      <c r="F22" s="6" t="s">
        <v>163</v>
      </c>
      <c r="G22" s="6" t="s">
        <v>175</v>
      </c>
      <c r="H22" s="14">
        <v>34000</v>
      </c>
      <c r="I22" s="13">
        <f t="shared" si="0"/>
        <v>1700</v>
      </c>
      <c r="J22" s="13">
        <f t="shared" si="1"/>
        <v>4080</v>
      </c>
      <c r="K22" s="13">
        <f t="shared" si="2"/>
        <v>6800</v>
      </c>
      <c r="L22" s="13">
        <f t="shared" si="3"/>
        <v>4080</v>
      </c>
      <c r="M22" s="24">
        <f t="shared" si="4"/>
        <v>42500</v>
      </c>
      <c r="N22" s="14" t="s">
        <v>192</v>
      </c>
      <c r="O22" s="14" t="s">
        <v>228</v>
      </c>
      <c r="P22" s="1"/>
    </row>
    <row r="23" spans="1:16" x14ac:dyDescent="0.3">
      <c r="A23" s="1"/>
      <c r="B23" s="6" t="s">
        <v>80</v>
      </c>
      <c r="C23" s="4" t="s">
        <v>31</v>
      </c>
      <c r="D23" s="8" t="s">
        <v>128</v>
      </c>
      <c r="E23" s="11">
        <v>7412345678</v>
      </c>
      <c r="F23" s="6" t="s">
        <v>164</v>
      </c>
      <c r="G23" s="6" t="s">
        <v>176</v>
      </c>
      <c r="H23" s="14">
        <v>32000</v>
      </c>
      <c r="I23" s="13">
        <f t="shared" si="0"/>
        <v>1600</v>
      </c>
      <c r="J23" s="13">
        <f t="shared" si="1"/>
        <v>3840</v>
      </c>
      <c r="K23" s="13">
        <f t="shared" si="2"/>
        <v>6400</v>
      </c>
      <c r="L23" s="13">
        <f t="shared" si="3"/>
        <v>3840</v>
      </c>
      <c r="M23" s="24">
        <f t="shared" si="4"/>
        <v>40000</v>
      </c>
      <c r="N23" s="14" t="s">
        <v>193</v>
      </c>
      <c r="O23" s="14" t="s">
        <v>229</v>
      </c>
      <c r="P23" s="1"/>
    </row>
    <row r="24" spans="1:16" x14ac:dyDescent="0.3">
      <c r="A24" s="1"/>
      <c r="B24" s="6" t="s">
        <v>81</v>
      </c>
      <c r="C24" s="4" t="s">
        <v>32</v>
      </c>
      <c r="D24" s="8" t="s">
        <v>129</v>
      </c>
      <c r="E24" s="11">
        <v>9923456781</v>
      </c>
      <c r="F24" s="6" t="s">
        <v>165</v>
      </c>
      <c r="G24" s="6" t="s">
        <v>177</v>
      </c>
      <c r="H24" s="14">
        <v>37000</v>
      </c>
      <c r="I24" s="13">
        <f t="shared" si="0"/>
        <v>1850</v>
      </c>
      <c r="J24" s="13">
        <f t="shared" si="1"/>
        <v>4440</v>
      </c>
      <c r="K24" s="13">
        <f t="shared" si="2"/>
        <v>7400</v>
      </c>
      <c r="L24" s="13">
        <f t="shared" si="3"/>
        <v>4440</v>
      </c>
      <c r="M24" s="24">
        <f t="shared" si="4"/>
        <v>46250</v>
      </c>
      <c r="N24" s="14" t="s">
        <v>194</v>
      </c>
      <c r="O24" s="14" t="s">
        <v>208</v>
      </c>
      <c r="P24" s="1"/>
    </row>
    <row r="25" spans="1:16" x14ac:dyDescent="0.3">
      <c r="A25" s="1"/>
      <c r="B25" s="6" t="s">
        <v>82</v>
      </c>
      <c r="C25" s="4" t="s">
        <v>33</v>
      </c>
      <c r="D25" s="8" t="s">
        <v>130</v>
      </c>
      <c r="E25" s="11">
        <v>8712345679</v>
      </c>
      <c r="F25" s="6" t="s">
        <v>166</v>
      </c>
      <c r="G25" s="6" t="s">
        <v>178</v>
      </c>
      <c r="H25" s="14">
        <v>29500</v>
      </c>
      <c r="I25" s="13">
        <f t="shared" si="0"/>
        <v>1475</v>
      </c>
      <c r="J25" s="13">
        <f t="shared" si="1"/>
        <v>3540</v>
      </c>
      <c r="K25" s="13">
        <f t="shared" si="2"/>
        <v>5900</v>
      </c>
      <c r="L25" s="13">
        <f t="shared" si="3"/>
        <v>3540</v>
      </c>
      <c r="M25" s="24">
        <f t="shared" si="4"/>
        <v>36875</v>
      </c>
      <c r="N25" s="14" t="s">
        <v>195</v>
      </c>
      <c r="O25" s="14" t="s">
        <v>232</v>
      </c>
      <c r="P25" s="1"/>
    </row>
    <row r="26" spans="1:16" x14ac:dyDescent="0.3">
      <c r="A26" s="1"/>
      <c r="B26" s="6" t="s">
        <v>83</v>
      </c>
      <c r="C26" s="4" t="s">
        <v>34</v>
      </c>
      <c r="D26" s="8" t="s">
        <v>131</v>
      </c>
      <c r="E26" s="11">
        <v>9912345678</v>
      </c>
      <c r="F26" s="6" t="s">
        <v>167</v>
      </c>
      <c r="G26" s="6" t="s">
        <v>179</v>
      </c>
      <c r="H26" s="14">
        <v>44000</v>
      </c>
      <c r="I26" s="13">
        <f t="shared" si="0"/>
        <v>2200</v>
      </c>
      <c r="J26" s="13">
        <f t="shared" si="1"/>
        <v>5280</v>
      </c>
      <c r="K26" s="13">
        <f t="shared" si="2"/>
        <v>8800</v>
      </c>
      <c r="L26" s="13">
        <f t="shared" si="3"/>
        <v>5280</v>
      </c>
      <c r="M26" s="24">
        <f t="shared" si="4"/>
        <v>55000</v>
      </c>
      <c r="N26" s="14" t="s">
        <v>196</v>
      </c>
      <c r="O26" s="14" t="s">
        <v>233</v>
      </c>
      <c r="P26" s="1"/>
    </row>
    <row r="27" spans="1:16" x14ac:dyDescent="0.3">
      <c r="A27" s="1"/>
      <c r="B27" s="6" t="s">
        <v>84</v>
      </c>
      <c r="C27" s="4" t="s">
        <v>35</v>
      </c>
      <c r="D27" s="8" t="s">
        <v>132</v>
      </c>
      <c r="E27" s="11">
        <v>8800123456</v>
      </c>
      <c r="F27" s="6" t="s">
        <v>168</v>
      </c>
      <c r="G27" s="6" t="s">
        <v>175</v>
      </c>
      <c r="H27" s="14">
        <v>23500</v>
      </c>
      <c r="I27" s="13">
        <f t="shared" si="0"/>
        <v>1175</v>
      </c>
      <c r="J27" s="13">
        <f t="shared" si="1"/>
        <v>2820</v>
      </c>
      <c r="K27" s="13">
        <f t="shared" si="2"/>
        <v>4700</v>
      </c>
      <c r="L27" s="13">
        <f t="shared" si="3"/>
        <v>2820</v>
      </c>
      <c r="M27" s="24">
        <f t="shared" si="4"/>
        <v>29375</v>
      </c>
      <c r="N27" s="14" t="s">
        <v>191</v>
      </c>
      <c r="O27" s="14" t="s">
        <v>234</v>
      </c>
      <c r="P27" s="1"/>
    </row>
    <row r="28" spans="1:16" x14ac:dyDescent="0.3">
      <c r="A28" s="1"/>
      <c r="B28" s="6" t="s">
        <v>85</v>
      </c>
      <c r="C28" s="4" t="s">
        <v>36</v>
      </c>
      <c r="D28" s="8" t="s">
        <v>133</v>
      </c>
      <c r="E28" s="11">
        <v>7898765432</v>
      </c>
      <c r="F28" s="6" t="s">
        <v>169</v>
      </c>
      <c r="G28" s="6" t="s">
        <v>176</v>
      </c>
      <c r="H28" s="14">
        <v>28500</v>
      </c>
      <c r="I28" s="13">
        <f t="shared" si="0"/>
        <v>1425</v>
      </c>
      <c r="J28" s="13">
        <f t="shared" si="1"/>
        <v>3420</v>
      </c>
      <c r="K28" s="13">
        <f t="shared" si="2"/>
        <v>5700</v>
      </c>
      <c r="L28" s="13">
        <f t="shared" si="3"/>
        <v>3420</v>
      </c>
      <c r="M28" s="24">
        <f t="shared" si="4"/>
        <v>35625</v>
      </c>
      <c r="N28" s="14" t="s">
        <v>192</v>
      </c>
      <c r="O28" s="14" t="s">
        <v>235</v>
      </c>
      <c r="P28" s="1"/>
    </row>
    <row r="29" spans="1:16" x14ac:dyDescent="0.3">
      <c r="A29" s="1"/>
      <c r="B29" s="6" t="s">
        <v>86</v>
      </c>
      <c r="C29" s="4" t="s">
        <v>37</v>
      </c>
      <c r="D29" s="8" t="s">
        <v>134</v>
      </c>
      <c r="E29" s="11">
        <v>8012345678</v>
      </c>
      <c r="F29" s="6" t="s">
        <v>170</v>
      </c>
      <c r="G29" s="6" t="s">
        <v>177</v>
      </c>
      <c r="H29" s="14">
        <v>40500</v>
      </c>
      <c r="I29" s="13">
        <f t="shared" si="0"/>
        <v>2025</v>
      </c>
      <c r="J29" s="13">
        <f t="shared" si="1"/>
        <v>4860</v>
      </c>
      <c r="K29" s="13">
        <f t="shared" si="2"/>
        <v>8100</v>
      </c>
      <c r="L29" s="13">
        <f t="shared" si="3"/>
        <v>4860</v>
      </c>
      <c r="M29" s="24">
        <f t="shared" si="4"/>
        <v>50625</v>
      </c>
      <c r="N29" s="14" t="s">
        <v>193</v>
      </c>
      <c r="O29" s="14" t="s">
        <v>236</v>
      </c>
      <c r="P29" s="1"/>
    </row>
    <row r="30" spans="1:16" x14ac:dyDescent="0.3">
      <c r="A30" s="1"/>
      <c r="B30" s="6" t="s">
        <v>87</v>
      </c>
      <c r="C30" s="4" t="s">
        <v>38</v>
      </c>
      <c r="D30" s="8" t="s">
        <v>135</v>
      </c>
      <c r="E30" s="11">
        <v>8312233445</v>
      </c>
      <c r="F30" s="6" t="s">
        <v>171</v>
      </c>
      <c r="G30" s="6" t="s">
        <v>178</v>
      </c>
      <c r="H30" s="14">
        <v>30500</v>
      </c>
      <c r="I30" s="13">
        <f t="shared" si="0"/>
        <v>1525</v>
      </c>
      <c r="J30" s="13">
        <f t="shared" si="1"/>
        <v>3660</v>
      </c>
      <c r="K30" s="13">
        <f t="shared" si="2"/>
        <v>6100</v>
      </c>
      <c r="L30" s="13">
        <f t="shared" si="3"/>
        <v>3660</v>
      </c>
      <c r="M30" s="24">
        <f t="shared" si="4"/>
        <v>38125</v>
      </c>
      <c r="N30" s="14" t="s">
        <v>194</v>
      </c>
      <c r="O30" s="14" t="s">
        <v>237</v>
      </c>
      <c r="P30" s="1"/>
    </row>
    <row r="31" spans="1:16" x14ac:dyDescent="0.3">
      <c r="A31" s="1"/>
      <c r="B31" s="6" t="s">
        <v>88</v>
      </c>
      <c r="C31" s="4" t="s">
        <v>39</v>
      </c>
      <c r="D31" s="8" t="s">
        <v>136</v>
      </c>
      <c r="E31" s="11">
        <v>9723456789</v>
      </c>
      <c r="F31" s="6" t="s">
        <v>172</v>
      </c>
      <c r="G31" s="6" t="s">
        <v>179</v>
      </c>
      <c r="H31" s="14">
        <v>34500</v>
      </c>
      <c r="I31" s="13">
        <f t="shared" si="0"/>
        <v>1725</v>
      </c>
      <c r="J31" s="13">
        <f t="shared" si="1"/>
        <v>4140</v>
      </c>
      <c r="K31" s="13">
        <f t="shared" si="2"/>
        <v>6900</v>
      </c>
      <c r="L31" s="13">
        <f t="shared" si="3"/>
        <v>4140</v>
      </c>
      <c r="M31" s="24">
        <f t="shared" si="4"/>
        <v>43125</v>
      </c>
      <c r="N31" s="14" t="s">
        <v>195</v>
      </c>
      <c r="O31" s="14" t="s">
        <v>238</v>
      </c>
      <c r="P31" s="1"/>
    </row>
    <row r="32" spans="1:16" x14ac:dyDescent="0.3">
      <c r="A32" s="1"/>
      <c r="B32" s="6" t="s">
        <v>89</v>
      </c>
      <c r="C32" s="4" t="s">
        <v>40</v>
      </c>
      <c r="D32" s="8" t="s">
        <v>137</v>
      </c>
      <c r="E32" s="11">
        <v>9810123456</v>
      </c>
      <c r="F32" s="6" t="s">
        <v>173</v>
      </c>
      <c r="G32" s="6" t="s">
        <v>180</v>
      </c>
      <c r="H32" s="14">
        <v>42000</v>
      </c>
      <c r="I32" s="13">
        <f t="shared" si="0"/>
        <v>2100</v>
      </c>
      <c r="J32" s="13">
        <f t="shared" si="1"/>
        <v>5040</v>
      </c>
      <c r="K32" s="13">
        <f t="shared" si="2"/>
        <v>8400</v>
      </c>
      <c r="L32" s="13">
        <f t="shared" si="3"/>
        <v>5040</v>
      </c>
      <c r="M32" s="24">
        <f t="shared" si="4"/>
        <v>52500</v>
      </c>
      <c r="N32" s="14" t="s">
        <v>196</v>
      </c>
      <c r="O32" s="14" t="s">
        <v>239</v>
      </c>
      <c r="P32" s="1"/>
    </row>
    <row r="33" spans="1:16" x14ac:dyDescent="0.3">
      <c r="A33" s="1"/>
      <c r="B33" s="6" t="s">
        <v>90</v>
      </c>
      <c r="C33" s="4" t="s">
        <v>41</v>
      </c>
      <c r="D33" s="8" t="s">
        <v>138</v>
      </c>
      <c r="E33" s="11">
        <v>9412345678</v>
      </c>
      <c r="F33" s="6" t="s">
        <v>174</v>
      </c>
      <c r="G33" s="6" t="s">
        <v>181</v>
      </c>
      <c r="H33" s="14">
        <v>31500</v>
      </c>
      <c r="I33" s="13">
        <f t="shared" si="0"/>
        <v>1575</v>
      </c>
      <c r="J33" s="13">
        <f t="shared" si="1"/>
        <v>3780</v>
      </c>
      <c r="K33" s="13">
        <f t="shared" si="2"/>
        <v>6300</v>
      </c>
      <c r="L33" s="13">
        <f t="shared" si="3"/>
        <v>3780</v>
      </c>
      <c r="M33" s="24">
        <f t="shared" si="4"/>
        <v>39375</v>
      </c>
      <c r="N33" s="14" t="s">
        <v>191</v>
      </c>
      <c r="O33" s="14" t="s">
        <v>240</v>
      </c>
      <c r="P33" s="1"/>
    </row>
    <row r="34" spans="1:16" x14ac:dyDescent="0.3">
      <c r="A34" s="1"/>
      <c r="B34" s="6" t="s">
        <v>91</v>
      </c>
      <c r="C34" s="4" t="s">
        <v>42</v>
      </c>
      <c r="D34" s="8" t="s">
        <v>139</v>
      </c>
      <c r="E34" s="11">
        <v>8880123456</v>
      </c>
      <c r="F34" s="6" t="s">
        <v>156</v>
      </c>
      <c r="G34" s="6" t="s">
        <v>177</v>
      </c>
      <c r="H34" s="14">
        <v>39500</v>
      </c>
      <c r="I34" s="13">
        <f t="shared" si="0"/>
        <v>1975</v>
      </c>
      <c r="J34" s="13">
        <f t="shared" si="1"/>
        <v>4740</v>
      </c>
      <c r="K34" s="13">
        <f t="shared" si="2"/>
        <v>7900</v>
      </c>
      <c r="L34" s="13">
        <f t="shared" si="3"/>
        <v>4740</v>
      </c>
      <c r="M34" s="24">
        <f t="shared" si="4"/>
        <v>49375</v>
      </c>
      <c r="N34" s="14" t="s">
        <v>192</v>
      </c>
      <c r="O34" s="14" t="s">
        <v>242</v>
      </c>
      <c r="P34" s="1"/>
    </row>
    <row r="35" spans="1:16" x14ac:dyDescent="0.3">
      <c r="A35" s="1"/>
      <c r="B35" s="6" t="s">
        <v>92</v>
      </c>
      <c r="C35" s="4" t="s">
        <v>43</v>
      </c>
      <c r="D35" s="8" t="s">
        <v>140</v>
      </c>
      <c r="E35" s="11">
        <v>7512345678</v>
      </c>
      <c r="F35" s="6" t="s">
        <v>157</v>
      </c>
      <c r="G35" s="6" t="s">
        <v>175</v>
      </c>
      <c r="H35" s="14">
        <v>25500</v>
      </c>
      <c r="I35" s="13">
        <f t="shared" si="0"/>
        <v>1275</v>
      </c>
      <c r="J35" s="13">
        <f t="shared" si="1"/>
        <v>3060</v>
      </c>
      <c r="K35" s="13">
        <f t="shared" si="2"/>
        <v>5100</v>
      </c>
      <c r="L35" s="13">
        <f t="shared" si="3"/>
        <v>3060</v>
      </c>
      <c r="M35" s="24">
        <f t="shared" si="4"/>
        <v>31875</v>
      </c>
      <c r="N35" s="14" t="s">
        <v>193</v>
      </c>
      <c r="O35" s="14" t="s">
        <v>241</v>
      </c>
      <c r="P35" s="1"/>
    </row>
    <row r="36" spans="1:16" x14ac:dyDescent="0.3">
      <c r="A36" s="1"/>
      <c r="B36" s="6" t="s">
        <v>93</v>
      </c>
      <c r="C36" s="4" t="s">
        <v>44</v>
      </c>
      <c r="D36" s="8" t="s">
        <v>141</v>
      </c>
      <c r="E36" s="11">
        <v>8711234567</v>
      </c>
      <c r="F36" s="6" t="s">
        <v>158</v>
      </c>
      <c r="G36" s="6" t="s">
        <v>181</v>
      </c>
      <c r="H36" s="14">
        <v>33000</v>
      </c>
      <c r="I36" s="13">
        <f t="shared" si="0"/>
        <v>1650</v>
      </c>
      <c r="J36" s="13">
        <f t="shared" si="1"/>
        <v>3960</v>
      </c>
      <c r="K36" s="13">
        <f t="shared" si="2"/>
        <v>6600</v>
      </c>
      <c r="L36" s="13">
        <f t="shared" si="3"/>
        <v>3960</v>
      </c>
      <c r="M36" s="24">
        <f t="shared" si="4"/>
        <v>41250</v>
      </c>
      <c r="N36" s="14" t="s">
        <v>194</v>
      </c>
      <c r="O36" s="14" t="s">
        <v>243</v>
      </c>
      <c r="P36" s="1"/>
    </row>
    <row r="37" spans="1:16" x14ac:dyDescent="0.3">
      <c r="A37" s="1"/>
      <c r="B37" s="6" t="s">
        <v>94</v>
      </c>
      <c r="C37" s="4" t="s">
        <v>45</v>
      </c>
      <c r="D37" s="8" t="s">
        <v>142</v>
      </c>
      <c r="E37" s="11">
        <v>9823456712</v>
      </c>
      <c r="F37" s="6" t="s">
        <v>159</v>
      </c>
      <c r="G37" s="6" t="s">
        <v>180</v>
      </c>
      <c r="H37" s="14">
        <v>30000</v>
      </c>
      <c r="I37" s="13">
        <f t="shared" si="0"/>
        <v>1500</v>
      </c>
      <c r="J37" s="13">
        <f t="shared" si="1"/>
        <v>3600</v>
      </c>
      <c r="K37" s="13">
        <f t="shared" si="2"/>
        <v>6000</v>
      </c>
      <c r="L37" s="13">
        <f t="shared" si="3"/>
        <v>3600</v>
      </c>
      <c r="M37" s="24">
        <f t="shared" si="4"/>
        <v>37500</v>
      </c>
      <c r="N37" s="14" t="s">
        <v>195</v>
      </c>
      <c r="O37" s="14" t="s">
        <v>231</v>
      </c>
      <c r="P37" s="1"/>
    </row>
    <row r="38" spans="1:16" x14ac:dyDescent="0.3">
      <c r="A38" s="1"/>
      <c r="B38" s="6" t="s">
        <v>95</v>
      </c>
      <c r="C38" s="4" t="s">
        <v>46</v>
      </c>
      <c r="D38" s="8" t="s">
        <v>143</v>
      </c>
      <c r="E38" s="11">
        <v>9612233445</v>
      </c>
      <c r="F38" s="6" t="s">
        <v>160</v>
      </c>
      <c r="G38" s="6" t="s">
        <v>179</v>
      </c>
      <c r="H38" s="14">
        <v>46000</v>
      </c>
      <c r="I38" s="13">
        <f t="shared" si="0"/>
        <v>2300</v>
      </c>
      <c r="J38" s="13">
        <f t="shared" si="1"/>
        <v>5520</v>
      </c>
      <c r="K38" s="13">
        <f t="shared" si="2"/>
        <v>9200</v>
      </c>
      <c r="L38" s="13">
        <f t="shared" si="3"/>
        <v>5520</v>
      </c>
      <c r="M38" s="24">
        <f t="shared" si="4"/>
        <v>57500</v>
      </c>
      <c r="N38" s="14" t="s">
        <v>196</v>
      </c>
      <c r="O38" s="14" t="s">
        <v>230</v>
      </c>
      <c r="P38" s="1"/>
    </row>
    <row r="39" spans="1:16" x14ac:dyDescent="0.3">
      <c r="A39" s="1"/>
      <c r="B39" s="6" t="s">
        <v>96</v>
      </c>
      <c r="C39" s="4" t="s">
        <v>47</v>
      </c>
      <c r="D39" s="8" t="s">
        <v>144</v>
      </c>
      <c r="E39" s="11">
        <v>9012345678</v>
      </c>
      <c r="F39" s="6" t="s">
        <v>161</v>
      </c>
      <c r="G39" s="6" t="s">
        <v>175</v>
      </c>
      <c r="H39" s="14">
        <v>29000</v>
      </c>
      <c r="I39" s="13">
        <f t="shared" si="0"/>
        <v>1450</v>
      </c>
      <c r="J39" s="13">
        <f t="shared" si="1"/>
        <v>3480</v>
      </c>
      <c r="K39" s="13">
        <f t="shared" si="2"/>
        <v>5800</v>
      </c>
      <c r="L39" s="13">
        <f t="shared" si="3"/>
        <v>3480</v>
      </c>
      <c r="M39" s="24">
        <f t="shared" si="4"/>
        <v>36250</v>
      </c>
      <c r="N39" s="14" t="s">
        <v>191</v>
      </c>
      <c r="O39" s="14" t="s">
        <v>225</v>
      </c>
      <c r="P39" s="1"/>
    </row>
    <row r="40" spans="1:16" x14ac:dyDescent="0.3">
      <c r="A40" s="1"/>
      <c r="B40" s="6" t="s">
        <v>97</v>
      </c>
      <c r="C40" s="4" t="s">
        <v>48</v>
      </c>
      <c r="D40" s="8" t="s">
        <v>145</v>
      </c>
      <c r="E40" s="11">
        <v>7401234567</v>
      </c>
      <c r="F40" s="6" t="s">
        <v>162</v>
      </c>
      <c r="G40" s="6" t="s">
        <v>176</v>
      </c>
      <c r="H40" s="14">
        <v>37500</v>
      </c>
      <c r="I40" s="13">
        <f t="shared" si="0"/>
        <v>1875</v>
      </c>
      <c r="J40" s="13">
        <f t="shared" si="1"/>
        <v>4500</v>
      </c>
      <c r="K40" s="13">
        <f t="shared" si="2"/>
        <v>7500</v>
      </c>
      <c r="L40" s="13">
        <f t="shared" si="3"/>
        <v>4500</v>
      </c>
      <c r="M40" s="24">
        <f t="shared" si="4"/>
        <v>46875</v>
      </c>
      <c r="N40" s="14" t="s">
        <v>192</v>
      </c>
      <c r="O40" s="14" t="s">
        <v>224</v>
      </c>
      <c r="P40" s="1"/>
    </row>
    <row r="41" spans="1:16" x14ac:dyDescent="0.3">
      <c r="A41" s="1"/>
      <c r="B41" s="6" t="s">
        <v>98</v>
      </c>
      <c r="C41" s="4" t="s">
        <v>49</v>
      </c>
      <c r="D41" s="8" t="s">
        <v>146</v>
      </c>
      <c r="E41" s="11">
        <v>9023456781</v>
      </c>
      <c r="F41" s="6" t="s">
        <v>163</v>
      </c>
      <c r="G41" s="6" t="s">
        <v>177</v>
      </c>
      <c r="H41" s="14">
        <v>35500</v>
      </c>
      <c r="I41" s="13">
        <f t="shared" si="0"/>
        <v>1775</v>
      </c>
      <c r="J41" s="13">
        <f t="shared" si="1"/>
        <v>4260</v>
      </c>
      <c r="K41" s="13">
        <f t="shared" si="2"/>
        <v>7100</v>
      </c>
      <c r="L41" s="13">
        <f t="shared" si="3"/>
        <v>4260</v>
      </c>
      <c r="M41" s="24">
        <f t="shared" si="4"/>
        <v>44375</v>
      </c>
      <c r="N41" s="14" t="s">
        <v>193</v>
      </c>
      <c r="O41" s="14" t="s">
        <v>223</v>
      </c>
      <c r="P41" s="1"/>
    </row>
    <row r="42" spans="1:16" x14ac:dyDescent="0.3">
      <c r="A42" s="1"/>
      <c r="B42" s="6" t="s">
        <v>99</v>
      </c>
      <c r="C42" s="4" t="s">
        <v>50</v>
      </c>
      <c r="D42" s="8" t="s">
        <v>147</v>
      </c>
      <c r="E42" s="11">
        <v>8123456709</v>
      </c>
      <c r="F42" s="6" t="s">
        <v>164</v>
      </c>
      <c r="G42" s="6" t="s">
        <v>178</v>
      </c>
      <c r="H42" s="14">
        <v>32000</v>
      </c>
      <c r="I42" s="13">
        <f t="shared" si="0"/>
        <v>1600</v>
      </c>
      <c r="J42" s="13">
        <f t="shared" si="1"/>
        <v>3840</v>
      </c>
      <c r="K42" s="13">
        <f t="shared" si="2"/>
        <v>6400</v>
      </c>
      <c r="L42" s="13">
        <f t="shared" si="3"/>
        <v>3840</v>
      </c>
      <c r="M42" s="24">
        <f t="shared" si="4"/>
        <v>40000</v>
      </c>
      <c r="N42" s="14" t="s">
        <v>194</v>
      </c>
      <c r="O42" s="14" t="s">
        <v>222</v>
      </c>
      <c r="P42" s="1"/>
    </row>
    <row r="43" spans="1:16" x14ac:dyDescent="0.3">
      <c r="A43" s="1"/>
      <c r="B43" s="6" t="s">
        <v>100</v>
      </c>
      <c r="C43" s="4" t="s">
        <v>51</v>
      </c>
      <c r="D43" s="8" t="s">
        <v>148</v>
      </c>
      <c r="E43" s="11">
        <v>8912345678</v>
      </c>
      <c r="F43" s="6" t="s">
        <v>165</v>
      </c>
      <c r="G43" s="6" t="s">
        <v>179</v>
      </c>
      <c r="H43" s="14">
        <v>28000</v>
      </c>
      <c r="I43" s="13">
        <f t="shared" si="0"/>
        <v>1400</v>
      </c>
      <c r="J43" s="13">
        <f t="shared" si="1"/>
        <v>3360</v>
      </c>
      <c r="K43" s="13">
        <f t="shared" si="2"/>
        <v>5600</v>
      </c>
      <c r="L43" s="13">
        <f t="shared" si="3"/>
        <v>3360</v>
      </c>
      <c r="M43" s="24">
        <f t="shared" si="4"/>
        <v>35000</v>
      </c>
      <c r="N43" s="14" t="s">
        <v>195</v>
      </c>
      <c r="O43" s="14" t="s">
        <v>221</v>
      </c>
      <c r="P43" s="1"/>
    </row>
    <row r="44" spans="1:16" x14ac:dyDescent="0.3">
      <c r="A44" s="1"/>
      <c r="B44" s="6" t="s">
        <v>101</v>
      </c>
      <c r="C44" s="4" t="s">
        <v>52</v>
      </c>
      <c r="D44" s="8" t="s">
        <v>149</v>
      </c>
      <c r="E44" s="11">
        <v>7012233445</v>
      </c>
      <c r="F44" s="6" t="s">
        <v>166</v>
      </c>
      <c r="G44" s="6" t="s">
        <v>180</v>
      </c>
      <c r="H44" s="14">
        <v>41500</v>
      </c>
      <c r="I44" s="13">
        <f t="shared" si="0"/>
        <v>2075</v>
      </c>
      <c r="J44" s="13">
        <f t="shared" si="1"/>
        <v>4980</v>
      </c>
      <c r="K44" s="13">
        <f t="shared" si="2"/>
        <v>8300</v>
      </c>
      <c r="L44" s="13">
        <f t="shared" si="3"/>
        <v>4980</v>
      </c>
      <c r="M44" s="24">
        <f t="shared" si="4"/>
        <v>51875</v>
      </c>
      <c r="N44" s="14" t="s">
        <v>196</v>
      </c>
      <c r="O44" s="14" t="s">
        <v>220</v>
      </c>
      <c r="P44" s="1"/>
    </row>
    <row r="45" spans="1:16" x14ac:dyDescent="0.3">
      <c r="A45" s="1"/>
      <c r="B45" s="6" t="s">
        <v>102</v>
      </c>
      <c r="C45" s="4" t="s">
        <v>53</v>
      </c>
      <c r="D45" s="8" t="s">
        <v>150</v>
      </c>
      <c r="E45" s="11">
        <v>7312345678</v>
      </c>
      <c r="F45" s="6" t="s">
        <v>167</v>
      </c>
      <c r="G45" s="6" t="s">
        <v>181</v>
      </c>
      <c r="H45" s="14">
        <v>33500</v>
      </c>
      <c r="I45" s="13">
        <f t="shared" si="0"/>
        <v>1675</v>
      </c>
      <c r="J45" s="13">
        <f t="shared" si="1"/>
        <v>4020</v>
      </c>
      <c r="K45" s="13">
        <f t="shared" si="2"/>
        <v>6700</v>
      </c>
      <c r="L45" s="13">
        <f t="shared" si="3"/>
        <v>4020</v>
      </c>
      <c r="M45" s="24">
        <f t="shared" si="4"/>
        <v>41875</v>
      </c>
      <c r="N45" s="14" t="s">
        <v>191</v>
      </c>
      <c r="O45" s="14" t="s">
        <v>219</v>
      </c>
      <c r="P45" s="1"/>
    </row>
    <row r="46" spans="1:16" x14ac:dyDescent="0.3">
      <c r="A46" s="1"/>
      <c r="B46" s="6" t="s">
        <v>103</v>
      </c>
      <c r="C46" s="4" t="s">
        <v>54</v>
      </c>
      <c r="D46" s="8" t="s">
        <v>151</v>
      </c>
      <c r="E46" s="11">
        <v>8801122334</v>
      </c>
      <c r="F46" s="6" t="s">
        <v>168</v>
      </c>
      <c r="G46" s="6" t="s">
        <v>177</v>
      </c>
      <c r="H46" s="14">
        <v>29000</v>
      </c>
      <c r="I46" s="13">
        <f t="shared" si="0"/>
        <v>1450</v>
      </c>
      <c r="J46" s="13">
        <f t="shared" si="1"/>
        <v>3480</v>
      </c>
      <c r="K46" s="13">
        <f t="shared" si="2"/>
        <v>5800</v>
      </c>
      <c r="L46" s="13">
        <f t="shared" si="3"/>
        <v>3480</v>
      </c>
      <c r="M46" s="24">
        <f t="shared" si="4"/>
        <v>36250</v>
      </c>
      <c r="N46" s="14" t="s">
        <v>192</v>
      </c>
      <c r="O46" s="14" t="s">
        <v>215</v>
      </c>
      <c r="P46" s="1"/>
    </row>
    <row r="47" spans="1:16" x14ac:dyDescent="0.3">
      <c r="A47" s="1"/>
      <c r="B47" s="6" t="s">
        <v>104</v>
      </c>
      <c r="C47" s="4" t="s">
        <v>55</v>
      </c>
      <c r="D47" s="8" t="s">
        <v>152</v>
      </c>
      <c r="E47" s="11">
        <v>9901234567</v>
      </c>
      <c r="F47" s="6" t="s">
        <v>169</v>
      </c>
      <c r="G47" s="6" t="s">
        <v>178</v>
      </c>
      <c r="H47" s="14">
        <v>38000</v>
      </c>
      <c r="I47" s="13">
        <f t="shared" si="0"/>
        <v>1900</v>
      </c>
      <c r="J47" s="13">
        <f t="shared" si="1"/>
        <v>4560</v>
      </c>
      <c r="K47" s="13">
        <f t="shared" si="2"/>
        <v>7600</v>
      </c>
      <c r="L47" s="13">
        <f t="shared" si="3"/>
        <v>4560</v>
      </c>
      <c r="M47" s="24">
        <f t="shared" si="4"/>
        <v>47500</v>
      </c>
      <c r="N47" s="14" t="s">
        <v>193</v>
      </c>
      <c r="O47" s="14" t="s">
        <v>214</v>
      </c>
      <c r="P47" s="1"/>
    </row>
    <row r="48" spans="1:16" x14ac:dyDescent="0.3">
      <c r="A48" s="1"/>
      <c r="B48" s="6" t="s">
        <v>105</v>
      </c>
      <c r="C48" s="4" t="s">
        <v>56</v>
      </c>
      <c r="D48" s="8" t="s">
        <v>153</v>
      </c>
      <c r="E48" s="11">
        <v>9901234567</v>
      </c>
      <c r="F48" s="6" t="s">
        <v>170</v>
      </c>
      <c r="G48" s="6" t="s">
        <v>179</v>
      </c>
      <c r="H48" s="14">
        <v>27500</v>
      </c>
      <c r="I48" s="13">
        <f t="shared" si="0"/>
        <v>1375</v>
      </c>
      <c r="J48" s="13">
        <f t="shared" si="1"/>
        <v>3300</v>
      </c>
      <c r="K48" s="13">
        <f t="shared" si="2"/>
        <v>5500</v>
      </c>
      <c r="L48" s="13">
        <f t="shared" si="3"/>
        <v>3300</v>
      </c>
      <c r="M48" s="24">
        <f t="shared" si="4"/>
        <v>34375</v>
      </c>
      <c r="N48" s="14" t="s">
        <v>194</v>
      </c>
      <c r="O48" s="14" t="s">
        <v>213</v>
      </c>
      <c r="P48" s="1"/>
    </row>
    <row r="49" spans="1:16" x14ac:dyDescent="0.3">
      <c r="A49" s="1"/>
      <c r="B49" s="6" t="s">
        <v>106</v>
      </c>
      <c r="C49" s="4" t="s">
        <v>57</v>
      </c>
      <c r="D49" s="8" t="s">
        <v>154</v>
      </c>
      <c r="E49" s="11">
        <v>9923456789</v>
      </c>
      <c r="F49" s="6" t="s">
        <v>171</v>
      </c>
      <c r="G49" s="6" t="s">
        <v>180</v>
      </c>
      <c r="H49" s="14">
        <v>34000</v>
      </c>
      <c r="I49" s="13">
        <f t="shared" si="0"/>
        <v>1700</v>
      </c>
      <c r="J49" s="13">
        <f t="shared" si="1"/>
        <v>4080</v>
      </c>
      <c r="K49" s="13">
        <f t="shared" si="2"/>
        <v>6800</v>
      </c>
      <c r="L49" s="13">
        <f t="shared" si="3"/>
        <v>4080</v>
      </c>
      <c r="M49" s="24">
        <f t="shared" si="4"/>
        <v>42500</v>
      </c>
      <c r="N49" s="14" t="s">
        <v>195</v>
      </c>
      <c r="O49" s="14" t="s">
        <v>212</v>
      </c>
      <c r="P49" s="1"/>
    </row>
    <row r="50" spans="1:16" x14ac:dyDescent="0.3">
      <c r="A50" s="1"/>
      <c r="B50" s="6" t="s">
        <v>107</v>
      </c>
      <c r="C50" s="4" t="s">
        <v>58</v>
      </c>
      <c r="D50" s="8" t="s">
        <v>155</v>
      </c>
      <c r="E50" s="11">
        <v>8311122334</v>
      </c>
      <c r="F50" s="6" t="s">
        <v>172</v>
      </c>
      <c r="G50" s="6" t="s">
        <v>181</v>
      </c>
      <c r="H50" s="14">
        <v>30000</v>
      </c>
      <c r="I50" s="13">
        <f t="shared" si="0"/>
        <v>1500</v>
      </c>
      <c r="J50" s="13">
        <f t="shared" si="1"/>
        <v>3600</v>
      </c>
      <c r="K50" s="13">
        <f t="shared" si="2"/>
        <v>6000</v>
      </c>
      <c r="L50" s="13">
        <f t="shared" si="3"/>
        <v>3600</v>
      </c>
      <c r="M50" s="24">
        <f t="shared" si="4"/>
        <v>37500</v>
      </c>
      <c r="N50" s="14" t="s">
        <v>196</v>
      </c>
      <c r="O50" s="14" t="s">
        <v>211</v>
      </c>
      <c r="P50" s="1"/>
    </row>
    <row r="51" spans="1:16" ht="10.199999999999999" customHeight="1" x14ac:dyDescent="0.3">
      <c r="A51" s="1"/>
      <c r="B51" s="1"/>
      <c r="C51" s="1"/>
      <c r="D51" s="1"/>
      <c r="E51" s="9"/>
      <c r="F51" s="1"/>
      <c r="G51" s="1"/>
      <c r="H51" s="1"/>
      <c r="I51" s="1"/>
      <c r="J51" s="1"/>
      <c r="K51" s="1"/>
      <c r="L51" s="1"/>
      <c r="M51" s="1"/>
      <c r="N51" s="1"/>
      <c r="O51" s="26"/>
      <c r="P51" s="1"/>
    </row>
  </sheetData>
  <hyperlinks>
    <hyperlink ref="D3" r:id="rId1" xr:uid="{28DE4010-4D65-4DEE-A87B-281D9585843F}"/>
    <hyperlink ref="D4" r:id="rId2" xr:uid="{53FDACD5-38EB-40A5-90EA-765213F9C9B4}"/>
    <hyperlink ref="D5" r:id="rId3" xr:uid="{8C24D05B-70D7-4BD1-9567-47B42550D4A9}"/>
    <hyperlink ref="D6" r:id="rId4" xr:uid="{E1B8F000-6B96-4820-A24B-3DBD3F0FF571}"/>
    <hyperlink ref="D7" r:id="rId5" xr:uid="{CD3DC152-C696-4B6E-B5F5-D5FD131D4AF7}"/>
    <hyperlink ref="D8" r:id="rId6" xr:uid="{CE9A6517-6F92-46C2-A5E3-722A6A625647}"/>
    <hyperlink ref="D9" r:id="rId7" xr:uid="{23833DFD-B5B0-4E46-A927-3C9DC7E6CD2C}"/>
    <hyperlink ref="D10" r:id="rId8" xr:uid="{25A511F7-73B1-4527-BFE4-873FAA608FBB}"/>
    <hyperlink ref="D11" r:id="rId9" xr:uid="{8E514230-53EB-44FF-8F3F-600FC0D7273F}"/>
    <hyperlink ref="D12" r:id="rId10" xr:uid="{FD484DBD-8CFB-4251-AFA2-2BAE57A0B018}"/>
    <hyperlink ref="D13" r:id="rId11" xr:uid="{A4974573-86FD-46D9-AE41-43C5D7026ECC}"/>
    <hyperlink ref="D14" r:id="rId12" xr:uid="{00BD2F6A-2854-4465-8808-35D4A5243D09}"/>
    <hyperlink ref="D15" r:id="rId13" xr:uid="{22B3725C-64CC-4466-8298-11748EA33FC4}"/>
    <hyperlink ref="D16" r:id="rId14" xr:uid="{30EC36DA-4E7F-4524-A712-04160AFCF5B2}"/>
    <hyperlink ref="D17" r:id="rId15" xr:uid="{A1404282-E0DF-4C29-B61E-AEA474A49C6A}"/>
    <hyperlink ref="D18" r:id="rId16" xr:uid="{68564EE7-58EF-47B5-AA97-566DEE226864}"/>
    <hyperlink ref="D19" r:id="rId17" xr:uid="{D39FBBEC-E22F-4CE3-A112-03D5638B4A57}"/>
    <hyperlink ref="D20" r:id="rId18" xr:uid="{B5CE86D3-21FD-4F0F-A1AA-D740EC8DF6FE}"/>
    <hyperlink ref="D21" r:id="rId19" xr:uid="{0A377027-C455-4A38-86A7-22DA88ECB94B}"/>
    <hyperlink ref="D22" r:id="rId20" xr:uid="{7F37DBD0-DE1F-458C-990F-EB4834903699}"/>
    <hyperlink ref="D23" r:id="rId21" xr:uid="{BE526D11-51AB-4A1D-B616-C75C1B356C4E}"/>
    <hyperlink ref="D24" r:id="rId22" xr:uid="{B722FE4F-F92C-46AB-A110-DD5837C350BA}"/>
    <hyperlink ref="D25" r:id="rId23" xr:uid="{CA442BE9-87DC-4D30-BAAC-9D3FC9C4A792}"/>
    <hyperlink ref="D26" r:id="rId24" xr:uid="{4EA9D5B8-9D21-4347-BA92-4AC93506FC60}"/>
    <hyperlink ref="D27" r:id="rId25" xr:uid="{51042D7E-F07D-4AF6-BEF8-398E4668C76C}"/>
    <hyperlink ref="D28" r:id="rId26" xr:uid="{C7B6068E-BA0A-4890-B1E4-9E5124373A97}"/>
    <hyperlink ref="D29" r:id="rId27" xr:uid="{29A1740B-C47B-4D7D-BF0C-A2FC9FE8350C}"/>
    <hyperlink ref="D30" r:id="rId28" xr:uid="{0EBEE4A1-C6AF-4D55-B15F-5A2CAE6908EE}"/>
    <hyperlink ref="D31" r:id="rId29" xr:uid="{282D98AB-759B-4098-8ACB-6C045D710822}"/>
    <hyperlink ref="D32" r:id="rId30" xr:uid="{8300D384-E1B5-4EAE-ACB4-881A76C0AD3E}"/>
    <hyperlink ref="D33" r:id="rId31" xr:uid="{29B384EC-76D4-480D-A6CA-157BC84B38C5}"/>
    <hyperlink ref="D34" r:id="rId32" xr:uid="{712AD8D1-FFF4-41A6-9E03-1A6C2DDE90AF}"/>
    <hyperlink ref="D35" r:id="rId33" xr:uid="{6C9D9C05-DF17-4834-A381-B04F7F7C5645}"/>
    <hyperlink ref="D36" r:id="rId34" xr:uid="{7598C282-524F-4CAE-A2EF-490BA8410ADC}"/>
    <hyperlink ref="D37" r:id="rId35" xr:uid="{A0E1C93A-0D48-4551-9C0D-AC3006D19820}"/>
    <hyperlink ref="D38" r:id="rId36" xr:uid="{2E82DAB8-DDDE-4ED4-8ED0-9575896764D2}"/>
    <hyperlink ref="D39" r:id="rId37" xr:uid="{66F8517F-553E-4095-93B0-F06DC8FF5877}"/>
    <hyperlink ref="D40" r:id="rId38" xr:uid="{4ECC45BB-1469-47AB-9BCB-86DA43BF4DF1}"/>
    <hyperlink ref="D41" r:id="rId39" xr:uid="{D38F316F-9781-47D4-9350-41EE9EC94C39}"/>
    <hyperlink ref="D42" r:id="rId40" xr:uid="{CDEC3D56-DB78-4CF1-B262-49D755EE6698}"/>
    <hyperlink ref="D43" r:id="rId41" xr:uid="{9F8B0F14-13C3-43FC-83C8-3D0F886FCA99}"/>
    <hyperlink ref="D44" r:id="rId42" xr:uid="{3E730704-9715-45CE-949F-AF06D013D489}"/>
    <hyperlink ref="D45" r:id="rId43" xr:uid="{D237A166-0311-4064-AC73-F0279C3945C9}"/>
    <hyperlink ref="D47" r:id="rId44" xr:uid="{5687F8BD-735F-42C9-A3BD-38CBB7C3CB4F}"/>
    <hyperlink ref="D48" r:id="rId45" xr:uid="{B6CC1B1C-7A8D-440B-A5DF-02556BB7AEA5}"/>
    <hyperlink ref="D49" r:id="rId46" xr:uid="{BB532083-3A01-4779-BCC1-3BADE60AB645}"/>
    <hyperlink ref="D50" r:id="rId47" xr:uid="{D293B570-80F9-4AAD-93D9-C04D94749861}"/>
    <hyperlink ref="D46" r:id="rId48" xr:uid="{3135DF8C-D0EA-4BA8-9B29-A8757737A8E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857DB-BE2E-4501-855A-E7E9F817843D}">
  <dimension ref="A1:L29"/>
  <sheetViews>
    <sheetView showGridLines="0" tabSelected="1" workbookViewId="0">
      <selection activeCell="L28" sqref="L28"/>
    </sheetView>
  </sheetViews>
  <sheetFormatPr defaultRowHeight="14.4" x14ac:dyDescent="0.3"/>
  <cols>
    <col min="1" max="1" width="1.77734375" customWidth="1"/>
    <col min="2" max="2" width="6.44140625" customWidth="1"/>
    <col min="3" max="3" width="9.33203125" customWidth="1"/>
    <col min="5" max="5" width="15.44140625" customWidth="1"/>
    <col min="6" max="6" width="30.88671875" customWidth="1"/>
    <col min="7" max="7" width="15.21875" customWidth="1"/>
    <col min="8" max="8" width="8.6640625" customWidth="1"/>
    <col min="9" max="9" width="1.77734375" customWidth="1"/>
  </cols>
  <sheetData>
    <row r="1" spans="1:12" ht="9" customHeight="1" thickBot="1" x14ac:dyDescent="0.35">
      <c r="A1" s="27"/>
      <c r="B1" s="27"/>
      <c r="C1" s="27"/>
      <c r="D1" s="27"/>
      <c r="E1" s="27"/>
      <c r="F1" s="27"/>
      <c r="G1" s="27"/>
      <c r="H1" s="27"/>
      <c r="I1" s="27"/>
    </row>
    <row r="2" spans="1:12" ht="14.4" customHeight="1" thickTop="1" thickBot="1" x14ac:dyDescent="0.35">
      <c r="A2" s="27"/>
      <c r="B2" s="42" t="s">
        <v>244</v>
      </c>
      <c r="C2" s="43"/>
      <c r="D2" s="43"/>
      <c r="E2" s="44"/>
      <c r="F2" s="29" t="s">
        <v>245</v>
      </c>
      <c r="G2" s="61"/>
      <c r="H2" s="62"/>
      <c r="I2" s="27"/>
    </row>
    <row r="3" spans="1:12" ht="9" customHeight="1" thickTop="1" thickBot="1" x14ac:dyDescent="0.35">
      <c r="A3" s="27"/>
      <c r="B3" s="45"/>
      <c r="C3" s="46"/>
      <c r="D3" s="46"/>
      <c r="E3" s="47"/>
      <c r="F3" s="30"/>
      <c r="G3" s="63"/>
      <c r="H3" s="64"/>
      <c r="I3" s="27"/>
    </row>
    <row r="4" spans="1:12" ht="14.4" customHeight="1" thickTop="1" thickBot="1" x14ac:dyDescent="0.35">
      <c r="A4" s="27"/>
      <c r="B4" s="45"/>
      <c r="C4" s="46"/>
      <c r="D4" s="46"/>
      <c r="E4" s="47"/>
      <c r="F4" s="29" t="s">
        <v>182</v>
      </c>
      <c r="G4" s="63"/>
      <c r="H4" s="64"/>
      <c r="I4" s="27"/>
    </row>
    <row r="5" spans="1:12" ht="9" customHeight="1" thickTop="1" thickBot="1" x14ac:dyDescent="0.35">
      <c r="A5" s="27"/>
      <c r="B5" s="48"/>
      <c r="C5" s="49"/>
      <c r="D5" s="49"/>
      <c r="E5" s="50"/>
      <c r="F5" s="31"/>
      <c r="G5" s="65"/>
      <c r="H5" s="66"/>
      <c r="I5" s="27"/>
    </row>
    <row r="6" spans="1:12" ht="19.8" customHeight="1" thickTop="1" thickBot="1" x14ac:dyDescent="0.35">
      <c r="A6" s="28"/>
      <c r="B6" s="92" t="s">
        <v>251</v>
      </c>
      <c r="C6" s="92"/>
      <c r="D6" s="92"/>
      <c r="E6" s="93"/>
      <c r="F6" s="34" t="s">
        <v>183</v>
      </c>
      <c r="G6" s="67" t="s">
        <v>254</v>
      </c>
      <c r="H6" s="68"/>
      <c r="I6" s="27"/>
    </row>
    <row r="7" spans="1:12" ht="9" customHeight="1" thickTop="1" thickBot="1" x14ac:dyDescent="0.35">
      <c r="A7" s="28"/>
      <c r="B7" s="94"/>
      <c r="C7" s="94"/>
      <c r="D7" s="94"/>
      <c r="E7" s="94"/>
      <c r="F7" s="31"/>
      <c r="G7" s="69"/>
      <c r="H7" s="70"/>
      <c r="I7" s="27"/>
      <c r="L7" s="12"/>
    </row>
    <row r="8" spans="1:12" ht="15" customHeight="1" thickTop="1" x14ac:dyDescent="0.3">
      <c r="A8" s="28"/>
      <c r="B8" s="95" t="s">
        <v>252</v>
      </c>
      <c r="C8" s="92"/>
      <c r="D8" s="92"/>
      <c r="E8" s="93"/>
      <c r="F8" s="33" t="s">
        <v>246</v>
      </c>
      <c r="G8" s="69"/>
      <c r="H8" s="70"/>
      <c r="I8" s="27"/>
    </row>
    <row r="9" spans="1:12" ht="9" customHeight="1" thickBot="1" x14ac:dyDescent="0.35">
      <c r="A9" s="28"/>
      <c r="B9" s="96"/>
      <c r="C9" s="94"/>
      <c r="D9" s="94"/>
      <c r="E9" s="97"/>
      <c r="F9" s="32"/>
      <c r="G9" s="71"/>
      <c r="H9" s="72"/>
      <c r="I9" s="27"/>
    </row>
    <row r="10" spans="1:12" ht="9" customHeight="1" thickTop="1" thickBot="1" x14ac:dyDescent="0.35">
      <c r="A10" s="27"/>
      <c r="B10" s="27"/>
      <c r="C10" s="27"/>
      <c r="D10" s="27"/>
      <c r="E10" s="27"/>
      <c r="F10" s="27"/>
      <c r="G10" s="27"/>
      <c r="H10" s="27"/>
      <c r="I10" s="27"/>
    </row>
    <row r="11" spans="1:12" ht="26.4" thickTop="1" thickBot="1" x14ac:dyDescent="0.55000000000000004">
      <c r="A11" s="27"/>
      <c r="B11" s="51" t="s">
        <v>0</v>
      </c>
      <c r="C11" s="52"/>
      <c r="D11" s="73" t="s">
        <v>60</v>
      </c>
      <c r="E11" s="74"/>
      <c r="F11" s="35" t="s">
        <v>250</v>
      </c>
      <c r="G11" s="55">
        <f>VLOOKUP(D11,Data!B2:O50,7,)</f>
        <v>25000</v>
      </c>
      <c r="H11" s="56"/>
      <c r="I11" s="27"/>
    </row>
    <row r="12" spans="1:12" ht="9" customHeight="1" thickTop="1" thickBot="1" x14ac:dyDescent="0.35">
      <c r="A12" s="27"/>
      <c r="B12" s="31"/>
      <c r="C12" s="31"/>
      <c r="D12" s="31"/>
      <c r="E12" s="31"/>
      <c r="F12" s="31"/>
      <c r="G12" s="31"/>
      <c r="H12" s="31"/>
      <c r="I12" s="27"/>
    </row>
    <row r="13" spans="1:12" ht="21" customHeight="1" thickTop="1" thickBot="1" x14ac:dyDescent="0.5">
      <c r="A13" s="27"/>
      <c r="B13" s="51" t="s">
        <v>247</v>
      </c>
      <c r="C13" s="52"/>
      <c r="D13" s="53" t="str">
        <f>VLOOKUP(D11,Data!B2:O50,2,)</f>
        <v>E101</v>
      </c>
      <c r="E13" s="54"/>
      <c r="F13" s="35" t="s">
        <v>184</v>
      </c>
      <c r="G13" s="55">
        <f>VLOOKUP(D11,Data!B2:O50,8,)</f>
        <v>1250</v>
      </c>
      <c r="H13" s="56"/>
      <c r="I13" s="27"/>
    </row>
    <row r="14" spans="1:12" ht="9" customHeight="1" thickTop="1" thickBot="1" x14ac:dyDescent="0.35">
      <c r="A14" s="27"/>
      <c r="B14" s="31"/>
      <c r="C14" s="31"/>
      <c r="D14" s="31"/>
      <c r="E14" s="31"/>
      <c r="F14" s="31"/>
      <c r="G14" s="31"/>
      <c r="H14" s="31"/>
      <c r="I14" s="27"/>
    </row>
    <row r="15" spans="1:12" ht="21" customHeight="1" thickTop="1" thickBot="1" x14ac:dyDescent="0.5">
      <c r="A15" s="27"/>
      <c r="B15" s="90" t="s">
        <v>257</v>
      </c>
      <c r="C15" s="91"/>
      <c r="D15" s="53" t="str">
        <f>VLOOKUP(D11,Data!B2:O50,6,)</f>
        <v>Software Engineer</v>
      </c>
      <c r="E15" s="54"/>
      <c r="F15" s="35" t="s">
        <v>185</v>
      </c>
      <c r="G15" s="55">
        <f>VLOOKUP(D11,Data!B2:O50,9,)</f>
        <v>3000</v>
      </c>
      <c r="H15" s="56"/>
      <c r="I15" s="27"/>
    </row>
    <row r="16" spans="1:12" ht="9" customHeight="1" thickTop="1" thickBot="1" x14ac:dyDescent="0.35">
      <c r="A16" s="27"/>
      <c r="B16" s="31"/>
      <c r="C16" s="31"/>
      <c r="D16" s="31"/>
      <c r="E16" s="31"/>
      <c r="F16" s="31"/>
      <c r="G16" s="31"/>
      <c r="H16" s="31"/>
      <c r="I16" s="27"/>
    </row>
    <row r="17" spans="1:11" ht="21" customHeight="1" thickTop="1" thickBot="1" x14ac:dyDescent="0.5">
      <c r="A17" s="27"/>
      <c r="B17" s="51" t="s">
        <v>3</v>
      </c>
      <c r="C17" s="52"/>
      <c r="D17" s="53" t="str">
        <f>VLOOKUP(D11,Data!B2:O50,5,)</f>
        <v>Patna</v>
      </c>
      <c r="E17" s="54"/>
      <c r="F17" s="35" t="s">
        <v>186</v>
      </c>
      <c r="G17" s="55">
        <f>VLOOKUP(D11,Data!B2:O50,10,)</f>
        <v>5000</v>
      </c>
      <c r="H17" s="56"/>
      <c r="I17" s="27"/>
    </row>
    <row r="18" spans="1:11" ht="9" customHeight="1" thickTop="1" thickBot="1" x14ac:dyDescent="0.35">
      <c r="A18" s="27"/>
      <c r="B18" s="31"/>
      <c r="C18" s="31"/>
      <c r="D18" s="31"/>
      <c r="E18" s="31"/>
      <c r="F18" s="31"/>
      <c r="G18" s="31"/>
      <c r="H18" s="31"/>
      <c r="I18" s="27"/>
    </row>
    <row r="19" spans="1:11" ht="21" customHeight="1" thickTop="1" thickBot="1" x14ac:dyDescent="0.5">
      <c r="A19" s="27"/>
      <c r="B19" s="85" t="s">
        <v>189</v>
      </c>
      <c r="C19" s="86"/>
      <c r="D19" s="53" t="str">
        <f>VLOOKUP(D11,Data!B2:O50,13,)</f>
        <v>AXIS BANK</v>
      </c>
      <c r="E19" s="54"/>
      <c r="F19" s="35" t="s">
        <v>187</v>
      </c>
      <c r="G19" s="55">
        <f>VLOOKUP(D11,Data!B2:O50,11,)</f>
        <v>3000</v>
      </c>
      <c r="H19" s="56"/>
      <c r="I19" s="27"/>
    </row>
    <row r="20" spans="1:11" ht="9" customHeight="1" thickTop="1" thickBot="1" x14ac:dyDescent="0.35">
      <c r="A20" s="27"/>
      <c r="B20" s="31"/>
      <c r="C20" s="31"/>
      <c r="D20" s="31"/>
      <c r="E20" s="31"/>
      <c r="F20" s="31"/>
      <c r="G20" s="31"/>
      <c r="H20" s="31"/>
      <c r="I20" s="27"/>
    </row>
    <row r="21" spans="1:11" ht="28.2" customHeight="1" thickTop="1" thickBot="1" x14ac:dyDescent="0.4">
      <c r="A21" s="27"/>
      <c r="B21" s="59" t="s">
        <v>258</v>
      </c>
      <c r="C21" s="60"/>
      <c r="D21" s="53" t="str">
        <f>VLOOKUP(D11,Data!B2:O50,14,)</f>
        <v>XXXX-XXXX-8759</v>
      </c>
      <c r="E21" s="54"/>
      <c r="F21" s="98" t="s">
        <v>253</v>
      </c>
      <c r="G21" s="87">
        <f>VLOOKUP(D11,Data!B2:O50,12,)</f>
        <v>31250</v>
      </c>
      <c r="H21" s="87"/>
      <c r="I21" s="27"/>
      <c r="K21" s="38"/>
    </row>
    <row r="22" spans="1:11" ht="9" customHeight="1" thickTop="1" thickBot="1" x14ac:dyDescent="0.35">
      <c r="A22" s="27"/>
      <c r="B22" s="31"/>
      <c r="C22" s="31"/>
      <c r="D22" s="31"/>
      <c r="E22" s="31"/>
      <c r="F22" s="41"/>
      <c r="G22" s="88"/>
      <c r="H22" s="88"/>
      <c r="I22" s="27"/>
    </row>
    <row r="23" spans="1:11" ht="21" customHeight="1" thickTop="1" thickBot="1" x14ac:dyDescent="0.45">
      <c r="A23" s="27"/>
      <c r="B23" s="51" t="s">
        <v>248</v>
      </c>
      <c r="C23" s="52"/>
      <c r="D23" s="82" t="str">
        <f>VLOOKUP(D11,Data!B2:O50,3,)</f>
        <v>ranjansingh@hubnettech.com</v>
      </c>
      <c r="E23" s="83"/>
      <c r="F23" s="84"/>
      <c r="G23" s="88"/>
      <c r="H23" s="88"/>
      <c r="I23" s="27"/>
    </row>
    <row r="24" spans="1:11" ht="9" customHeight="1" thickTop="1" thickBot="1" x14ac:dyDescent="0.35">
      <c r="A24" s="27"/>
      <c r="B24" s="31"/>
      <c r="C24" s="31"/>
      <c r="D24" s="31"/>
      <c r="E24" s="40"/>
      <c r="F24" s="39"/>
      <c r="G24" s="89"/>
      <c r="H24" s="89"/>
      <c r="I24" s="27"/>
    </row>
    <row r="25" spans="1:11" ht="23.4" customHeight="1" thickTop="1" thickBot="1" x14ac:dyDescent="0.5">
      <c r="A25" s="27"/>
      <c r="B25" s="51" t="s">
        <v>249</v>
      </c>
      <c r="C25" s="52"/>
      <c r="D25" s="57">
        <f>VLOOKUP(D11,Data!B2:O50,4,)</f>
        <v>9875964859</v>
      </c>
      <c r="E25" s="58"/>
      <c r="F25" s="37" t="s">
        <v>256</v>
      </c>
      <c r="G25" s="79"/>
      <c r="H25" s="80"/>
      <c r="I25" s="27"/>
    </row>
    <row r="26" spans="1:11" ht="9" customHeight="1" thickTop="1" thickBot="1" x14ac:dyDescent="0.35">
      <c r="A26" s="27"/>
      <c r="B26" s="31"/>
      <c r="C26" s="31"/>
      <c r="D26" s="31"/>
      <c r="E26" s="31"/>
      <c r="F26" s="31"/>
      <c r="G26" s="31"/>
      <c r="H26" s="31"/>
      <c r="I26" s="27"/>
    </row>
    <row r="27" spans="1:11" ht="5.4" hidden="1" customHeight="1" x14ac:dyDescent="0.65">
      <c r="A27" s="27"/>
      <c r="B27" s="36"/>
      <c r="C27" s="36"/>
      <c r="D27" s="36"/>
      <c r="E27" s="36"/>
      <c r="I27" s="27"/>
    </row>
    <row r="28" spans="1:11" ht="23.4" customHeight="1" thickTop="1" thickBot="1" x14ac:dyDescent="0.55000000000000004">
      <c r="A28" s="27"/>
      <c r="B28" s="75" t="s">
        <v>255</v>
      </c>
      <c r="C28" s="76"/>
      <c r="D28" s="77">
        <f ca="1">TODAY()</f>
        <v>45650</v>
      </c>
      <c r="E28" s="78"/>
      <c r="F28" s="37" t="s">
        <v>188</v>
      </c>
      <c r="G28" s="81"/>
      <c r="H28" s="80"/>
      <c r="I28" s="27"/>
    </row>
    <row r="29" spans="1:11" ht="9" customHeight="1" thickTop="1" x14ac:dyDescent="0.3">
      <c r="A29" s="27"/>
      <c r="B29" s="27"/>
      <c r="C29" s="27"/>
      <c r="D29" s="27"/>
      <c r="E29" s="27"/>
      <c r="F29" s="27"/>
      <c r="G29" s="27"/>
      <c r="H29" s="27"/>
      <c r="I29" s="27"/>
    </row>
  </sheetData>
  <mergeCells count="31">
    <mergeCell ref="G2:H5"/>
    <mergeCell ref="G6:H9"/>
    <mergeCell ref="D11:E11"/>
    <mergeCell ref="B28:C28"/>
    <mergeCell ref="D28:E28"/>
    <mergeCell ref="G25:H25"/>
    <mergeCell ref="G28:H28"/>
    <mergeCell ref="D23:F23"/>
    <mergeCell ref="B19:C19"/>
    <mergeCell ref="G19:H19"/>
    <mergeCell ref="G17:H17"/>
    <mergeCell ref="G15:H15"/>
    <mergeCell ref="G21:H24"/>
    <mergeCell ref="B15:C15"/>
    <mergeCell ref="D17:E17"/>
    <mergeCell ref="D15:E15"/>
    <mergeCell ref="G11:H11"/>
    <mergeCell ref="G13:H13"/>
    <mergeCell ref="B23:C23"/>
    <mergeCell ref="B25:C25"/>
    <mergeCell ref="D25:E25"/>
    <mergeCell ref="D19:E19"/>
    <mergeCell ref="B21:C21"/>
    <mergeCell ref="D21:E21"/>
    <mergeCell ref="B17:C17"/>
    <mergeCell ref="B2:E5"/>
    <mergeCell ref="B6:E7"/>
    <mergeCell ref="B8:E9"/>
    <mergeCell ref="B13:C13"/>
    <mergeCell ref="D13:E13"/>
    <mergeCell ref="B11:C11"/>
  </mergeCells>
  <pageMargins left="0.25" right="0.25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840C6F9-AEA9-4548-AB08-847D9C7E7E52}">
          <x14:formula1>
            <xm:f>Data!$B$3:$B$50</xm:f>
          </x14:formula1>
          <xm:sqref>D11:E11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Salary Slip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Santosh Kumar</dc:creator>
  <cp:lastModifiedBy>Santosh Kumar</cp:lastModifiedBy>
  <cp:lastPrinted>2024-12-24T09:46:21Z</cp:lastPrinted>
  <dcterms:created xsi:type="dcterms:W3CDTF">2024-12-23T09:14:46Z</dcterms:created>
  <dcterms:modified xsi:type="dcterms:W3CDTF">2024-12-24T09:46:39Z</dcterms:modified>
</cp:coreProperties>
</file>