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S Notes\"/>
    </mc:Choice>
  </mc:AlternateContent>
  <xr:revisionPtr revIDLastSave="0" documentId="13_ncr:1_{8A40153A-7E96-4B39-8879-B1396C15CC87}" xr6:coauthVersionLast="47" xr6:coauthVersionMax="47" xr10:uidLastSave="{00000000-0000-0000-0000-000000000000}"/>
  <bookViews>
    <workbookView xWindow="-108" yWindow="-108" windowWidth="23256" windowHeight="12456" xr2:uid="{E26E824E-3361-4D92-B077-2797B4FA03A4}"/>
  </bookViews>
  <sheets>
    <sheet name="Menu " sheetId="1" r:id="rId1"/>
    <sheet name="Bill" sheetId="4" r:id="rId2"/>
    <sheet name="Invoice" sheetId="3" r:id="rId3"/>
    <sheet name="Sales" sheetId="2" r:id="rId4"/>
  </sheets>
  <definedNames>
    <definedName name="_xlnm._FilterDatabase" localSheetId="1" hidden="1">Bill!$P$56:$U$64</definedName>
    <definedName name="_xlnm._FilterDatabase" localSheetId="0" hidden="1">'Menu '!$B$54:$F$62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2" l="1"/>
  <c r="H23" i="2"/>
  <c r="H22" i="2"/>
  <c r="H21" i="2"/>
  <c r="J2" i="2"/>
  <c r="K2" i="2" s="1"/>
  <c r="K3" i="2"/>
  <c r="H25" i="2"/>
  <c r="D5" i="4"/>
  <c r="F5" i="4" s="1"/>
  <c r="D6" i="4"/>
  <c r="F6" i="4" s="1"/>
  <c r="D7" i="4"/>
  <c r="F7" i="4" s="1"/>
  <c r="G7" i="4" s="1"/>
  <c r="D8" i="4"/>
  <c r="F8" i="4" s="1"/>
  <c r="D9" i="4"/>
  <c r="F9" i="4" s="1"/>
  <c r="D10" i="4"/>
  <c r="F10" i="4" s="1"/>
  <c r="D11" i="4"/>
  <c r="F11" i="4" s="1"/>
  <c r="D4" i="4"/>
  <c r="F4" i="4" s="1"/>
  <c r="G14" i="3"/>
  <c r="J5" i="2" l="1"/>
  <c r="H5" i="2" s="1"/>
  <c r="G5" i="4"/>
  <c r="G8" i="4"/>
  <c r="H8" i="4" s="1"/>
  <c r="G10" i="4"/>
  <c r="H10" i="4" s="1"/>
  <c r="G6" i="4"/>
  <c r="H6" i="4" s="1"/>
  <c r="G9" i="4"/>
  <c r="H9" i="4" s="1"/>
  <c r="H7" i="4"/>
  <c r="G11" i="4"/>
  <c r="G4" i="4"/>
  <c r="H4" i="2" l="1"/>
  <c r="H5" i="4"/>
  <c r="H11" i="4"/>
  <c r="H4" i="4"/>
</calcChain>
</file>

<file path=xl/sharedStrings.xml><?xml version="1.0" encoding="utf-8"?>
<sst xmlns="http://schemas.openxmlformats.org/spreadsheetml/2006/main" count="235" uniqueCount="92">
  <si>
    <t>Tawa Roti</t>
  </si>
  <si>
    <t>Butter Roti</t>
  </si>
  <si>
    <t>Lachha Paratha</t>
  </si>
  <si>
    <t>Butter Naan</t>
  </si>
  <si>
    <t>BREADS</t>
  </si>
  <si>
    <t>PRICE</t>
  </si>
  <si>
    <t>Garlic Naan</t>
  </si>
  <si>
    <t>STARTER</t>
  </si>
  <si>
    <t>Paneer Pakoda</t>
  </si>
  <si>
    <t>Crispy Corn</t>
  </si>
  <si>
    <t>Baby Corn</t>
  </si>
  <si>
    <t>Chilly Potato</t>
  </si>
  <si>
    <t>Paneer Tikka</t>
  </si>
  <si>
    <t>Indian (VEG)</t>
  </si>
  <si>
    <t>Price</t>
  </si>
  <si>
    <t>Mushroom Curry</t>
  </si>
  <si>
    <t>Paneer Kadhai</t>
  </si>
  <si>
    <t xml:space="preserve">Veg Cutlet </t>
  </si>
  <si>
    <t>Dal Tadka</t>
  </si>
  <si>
    <t>Mix Veg</t>
  </si>
  <si>
    <t>Paneer Butter Masala</t>
  </si>
  <si>
    <t>Malai Kofta</t>
  </si>
  <si>
    <t>Paneer Bhurji</t>
  </si>
  <si>
    <t>Rajma Masala</t>
  </si>
  <si>
    <t>Indian (Non-VEG)</t>
  </si>
  <si>
    <t xml:space="preserve">Chicken Curry </t>
  </si>
  <si>
    <t xml:space="preserve">Chicken Tikka Masala </t>
  </si>
  <si>
    <t>Chicken Handi</t>
  </si>
  <si>
    <t>Chicken Korma</t>
  </si>
  <si>
    <t xml:space="preserve">Mutton Curry </t>
  </si>
  <si>
    <t>Mutton Masala</t>
  </si>
  <si>
    <t>Mutton Korma</t>
  </si>
  <si>
    <t>Mutton Kadhai</t>
  </si>
  <si>
    <t>Drinks</t>
  </si>
  <si>
    <t>Adrak Chai</t>
  </si>
  <si>
    <t>Masala Chai</t>
  </si>
  <si>
    <t>Hot Coffee</t>
  </si>
  <si>
    <t>Cold Coffee</t>
  </si>
  <si>
    <t>Black Coffee</t>
  </si>
  <si>
    <t>Chocolate Shake</t>
  </si>
  <si>
    <t>Oreo Shake</t>
  </si>
  <si>
    <t>Protein Shake</t>
  </si>
  <si>
    <t>Sweets</t>
  </si>
  <si>
    <t xml:space="preserve">Chocolate </t>
  </si>
  <si>
    <t>Ice Cream</t>
  </si>
  <si>
    <t>Vanilla</t>
  </si>
  <si>
    <t>Strawberry</t>
  </si>
  <si>
    <t>Butterscotch</t>
  </si>
  <si>
    <t>Blueberry</t>
  </si>
  <si>
    <t>Shakes</t>
  </si>
  <si>
    <t>Biryani</t>
  </si>
  <si>
    <t>Rasgulla</t>
  </si>
  <si>
    <t>Gulab Jamun</t>
  </si>
  <si>
    <t>Rabdi</t>
  </si>
  <si>
    <t>Gajar Halva</t>
  </si>
  <si>
    <t>Ras Malai</t>
  </si>
  <si>
    <t>Product</t>
  </si>
  <si>
    <t>Quantity</t>
  </si>
  <si>
    <t>Amount</t>
  </si>
  <si>
    <t>Tax</t>
  </si>
  <si>
    <t>Total</t>
  </si>
  <si>
    <t>Veg Biryani</t>
  </si>
  <si>
    <t>Egg Biryani</t>
  </si>
  <si>
    <t>Chicken Biryani</t>
  </si>
  <si>
    <t>Mutton Biryani</t>
  </si>
  <si>
    <t>Vanilla Shake</t>
  </si>
  <si>
    <t>Kitkat Shake</t>
  </si>
  <si>
    <t>Dairymilk Shake</t>
  </si>
  <si>
    <t>Strawberry Shake</t>
  </si>
  <si>
    <t>Total Bill</t>
  </si>
  <si>
    <t>Invoice</t>
  </si>
  <si>
    <t xml:space="preserve"> </t>
  </si>
  <si>
    <t>Orders</t>
  </si>
  <si>
    <t>Order 1</t>
  </si>
  <si>
    <t>Order 2</t>
  </si>
  <si>
    <t>Order 3</t>
  </si>
  <si>
    <t>Order 4</t>
  </si>
  <si>
    <t>Order 5</t>
  </si>
  <si>
    <t>Order 6</t>
  </si>
  <si>
    <t>Order 7</t>
  </si>
  <si>
    <t>Order 8</t>
  </si>
  <si>
    <t>Menu</t>
  </si>
  <si>
    <t>Name of Dish</t>
  </si>
  <si>
    <t>Date</t>
  </si>
  <si>
    <t/>
  </si>
  <si>
    <t>Dish</t>
  </si>
  <si>
    <t>price</t>
  </si>
  <si>
    <t>Bill</t>
  </si>
  <si>
    <t>PANEER BUTTER MASALA</t>
  </si>
  <si>
    <t>BUTTER NAAN</t>
  </si>
  <si>
    <t>GULAB JAMUN</t>
  </si>
  <si>
    <t>Let's grab a bite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</si>
</sst>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\ #,##0.00"/>
    <numFmt numFmtId="165" formatCode="&quot;₹&quot;\ #,##0.00;[Red]&quot;₹&quot;\ #,##0.00"/>
    <numFmt numFmtId="166" formatCode="#,##0;[Red]#,##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Algerian"/>
      <family val="5"/>
    </font>
    <font>
      <b/>
      <sz val="11"/>
      <color theme="1"/>
      <name val="Algerian"/>
      <family val="5"/>
    </font>
    <font>
      <b/>
      <sz val="22"/>
      <color theme="1"/>
      <name val="Algerian"/>
      <family val="5"/>
    </font>
    <font>
      <sz val="20"/>
      <color theme="1"/>
      <name val="Arial Black"/>
      <family val="2"/>
    </font>
    <font>
      <b/>
      <sz val="16"/>
      <color rgb="FFCCFFCC"/>
      <name val="Algerian"/>
      <family val="5"/>
    </font>
    <font>
      <sz val="8"/>
      <name val="Calibri"/>
      <family val="2"/>
      <scheme val="minor"/>
    </font>
    <font>
      <b/>
      <sz val="12"/>
      <color theme="1"/>
      <name val="Algerian"/>
      <family val="5"/>
    </font>
    <font>
      <b/>
      <sz val="22"/>
      <color rgb="FF7F3F00"/>
      <name val="Algerian"/>
      <family val="5"/>
    </font>
    <font>
      <b/>
      <sz val="14"/>
      <color rgb="FF7F3F00"/>
      <name val="Algerian"/>
      <family val="5"/>
    </font>
    <font>
      <sz val="16"/>
      <color rgb="FF7F3F00"/>
      <name val="Algerian"/>
      <family val="5"/>
    </font>
    <font>
      <b/>
      <sz val="12"/>
      <color theme="1"/>
      <name val="Calibri"/>
      <family val="2"/>
      <scheme val="minor"/>
    </font>
    <font>
      <b/>
      <sz val="20"/>
      <color rgb="FF7F3F00"/>
      <name val="Arial Black"/>
      <family val="2"/>
    </font>
    <font>
      <b/>
      <sz val="28"/>
      <color theme="1"/>
      <name val="Algerian"/>
      <family val="5"/>
    </font>
  </fonts>
  <fills count="14">
    <fill>
      <patternFill patternType="none"/>
    </fill>
    <fill>
      <patternFill patternType="gray125"/>
    </fill>
    <fill>
      <patternFill patternType="solid">
        <fgColor rgb="FFF6C3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1" xfId="0" applyFont="1" applyBorder="1"/>
    <xf numFmtId="0" fontId="3" fillId="2" borderId="1" xfId="0" applyFont="1" applyFill="1" applyBorder="1"/>
    <xf numFmtId="0" fontId="1" fillId="0" borderId="3" xfId="0" applyFont="1" applyBorder="1"/>
    <xf numFmtId="0" fontId="1" fillId="0" borderId="6" xfId="0" applyFont="1" applyBorder="1"/>
    <xf numFmtId="0" fontId="1" fillId="0" borderId="8" xfId="0" applyFont="1" applyBorder="1"/>
    <xf numFmtId="165" fontId="0" fillId="0" borderId="0" xfId="0" applyNumberFormat="1"/>
    <xf numFmtId="0" fontId="5" fillId="0" borderId="0" xfId="0" applyFont="1"/>
    <xf numFmtId="0" fontId="0" fillId="4" borderId="1" xfId="0" applyFill="1" applyBorder="1"/>
    <xf numFmtId="0" fontId="5" fillId="6" borderId="1" xfId="0" applyFont="1" applyFill="1" applyBorder="1"/>
    <xf numFmtId="0" fontId="6" fillId="5" borderId="1" xfId="0" applyFont="1" applyFill="1" applyBorder="1"/>
    <xf numFmtId="0" fontId="0" fillId="0" borderId="1" xfId="0" applyBorder="1"/>
    <xf numFmtId="0" fontId="1" fillId="0" borderId="0" xfId="0" applyFont="1"/>
    <xf numFmtId="0" fontId="1" fillId="0" borderId="13" xfId="0" applyFont="1" applyBorder="1"/>
    <xf numFmtId="0" fontId="1" fillId="0" borderId="14" xfId="0" applyFont="1" applyBorder="1"/>
    <xf numFmtId="0" fontId="1" fillId="0" borderId="10" xfId="0" applyFont="1" applyBorder="1"/>
    <xf numFmtId="0" fontId="3" fillId="8" borderId="0" xfId="0" applyFont="1" applyFill="1"/>
    <xf numFmtId="0" fontId="8" fillId="2" borderId="13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0" fillId="10" borderId="0" xfId="0" applyFill="1"/>
    <xf numFmtId="0" fontId="8" fillId="10" borderId="0" xfId="0" applyFont="1" applyFill="1"/>
    <xf numFmtId="0" fontId="1" fillId="10" borderId="0" xfId="0" applyFont="1" applyFill="1"/>
    <xf numFmtId="0" fontId="10" fillId="9" borderId="10" xfId="0" applyFont="1" applyFill="1" applyBorder="1" applyAlignment="1">
      <alignment horizontal="left" vertical="center"/>
    </xf>
    <xf numFmtId="0" fontId="11" fillId="3" borderId="18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8" fillId="8" borderId="1" xfId="0" applyFont="1" applyFill="1" applyBorder="1"/>
    <xf numFmtId="0" fontId="8" fillId="8" borderId="15" xfId="0" applyFont="1" applyFill="1" applyBorder="1"/>
    <xf numFmtId="0" fontId="3" fillId="8" borderId="10" xfId="0" applyFont="1" applyFill="1" applyBorder="1"/>
    <xf numFmtId="165" fontId="12" fillId="9" borderId="10" xfId="0" applyNumberFormat="1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0" fillId="11" borderId="0" xfId="0" applyFill="1"/>
    <xf numFmtId="0" fontId="1" fillId="11" borderId="0" xfId="0" applyFont="1" applyFill="1"/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/>
    <xf numFmtId="0" fontId="2" fillId="7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165" fontId="0" fillId="0" borderId="1" xfId="0" applyNumberFormat="1" applyBorder="1" applyAlignment="1">
      <alignment horizontal="center" vertical="top"/>
    </xf>
    <xf numFmtId="166" fontId="0" fillId="0" borderId="1" xfId="0" applyNumberFormat="1" applyBorder="1" applyAlignment="1">
      <alignment horizontal="center" vertical="top"/>
    </xf>
    <xf numFmtId="164" fontId="0" fillId="0" borderId="1" xfId="0" applyNumberForma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1" fillId="11" borderId="5" xfId="0" applyFont="1" applyFill="1" applyBorder="1"/>
    <xf numFmtId="0" fontId="1" fillId="11" borderId="1" xfId="0" applyFont="1" applyFill="1" applyBorder="1"/>
    <xf numFmtId="0" fontId="1" fillId="11" borderId="6" xfId="0" applyFont="1" applyFill="1" applyBorder="1"/>
    <xf numFmtId="0" fontId="1" fillId="11" borderId="7" xfId="0" applyFont="1" applyFill="1" applyBorder="1"/>
    <xf numFmtId="0" fontId="1" fillId="11" borderId="8" xfId="0" applyFont="1" applyFill="1" applyBorder="1"/>
    <xf numFmtId="0" fontId="1" fillId="11" borderId="9" xfId="0" applyFont="1" applyFill="1" applyBorder="1"/>
    <xf numFmtId="0" fontId="0" fillId="11" borderId="0" xfId="0" applyFill="1" applyAlignment="1">
      <alignment horizontal="center" vertical="center"/>
    </xf>
    <xf numFmtId="164" fontId="0" fillId="11" borderId="0" xfId="0" applyNumberFormat="1" applyFill="1"/>
    <xf numFmtId="164" fontId="0" fillId="11" borderId="0" xfId="0" applyNumberFormat="1" applyFill="1" applyAlignment="1">
      <alignment horizontal="center" vertical="center"/>
    </xf>
    <xf numFmtId="165" fontId="0" fillId="11" borderId="0" xfId="0" applyNumberFormat="1" applyFill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5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166" fontId="0" fillId="0" borderId="1" xfId="0" applyNumberFormat="1" applyBorder="1" applyAlignment="1">
      <alignment horizontal="center" vertical="center"/>
    </xf>
    <xf numFmtId="165" fontId="2" fillId="7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12" borderId="0" xfId="0" applyFill="1"/>
    <xf numFmtId="14" fontId="2" fillId="7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14" fillId="11" borderId="0" xfId="0" applyFont="1" applyFill="1" applyAlignment="1">
      <alignment horizontal="center"/>
    </xf>
    <xf numFmtId="0" fontId="9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5" fillId="6" borderId="11" xfId="0" applyFont="1" applyFill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5" fillId="6" borderId="13" xfId="0" applyFont="1" applyFill="1" applyBorder="1" applyAlignment="1">
      <alignment horizontal="center"/>
    </xf>
    <xf numFmtId="0" fontId="4" fillId="0" borderId="0" xfId="0" applyFont="1" applyAlignment="1">
      <alignment horizontal="left" vertical="top" indent="6"/>
    </xf>
    <xf numFmtId="0" fontId="1" fillId="13" borderId="3" xfId="0" applyFont="1" applyFill="1" applyBorder="1"/>
    <xf numFmtId="0" fontId="1" fillId="13" borderId="1" xfId="0" applyFont="1" applyFill="1" applyBorder="1"/>
    <xf numFmtId="0" fontId="1" fillId="13" borderId="8" xfId="0" applyFont="1" applyFill="1" applyBorder="1"/>
    <xf numFmtId="14" fontId="0" fillId="0" borderId="1" xfId="0" applyNumberFormat="1" applyBorder="1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10"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5" formatCode="&quot;₹&quot;\ #,##0.00;[Red]&quot;₹&quot;\ 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₹&quot;\ #,##0.00;[Red]&quot;₹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₹&quot;\ #,##0.00;[Red]&quot;₹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₹&quot;\ #,##0.00;[Red]&quot;₹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lgerian"/>
        <family val="5"/>
        <scheme val="none"/>
      </font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000000"/>
      <color rgb="FFF0D990"/>
      <color rgb="FFFD8BEA"/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sv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32845</xdr:colOff>
      <xdr:row>1</xdr:row>
      <xdr:rowOff>13138</xdr:rowOff>
    </xdr:from>
    <xdr:to>
      <xdr:col>10</xdr:col>
      <xdr:colOff>98534</xdr:colOff>
      <xdr:row>10</xdr:row>
      <xdr:rowOff>183932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674BE41B-BB63-DD4D-7F97-9BAA310BD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4759" y="91966"/>
          <a:ext cx="1635672" cy="1957552"/>
        </a:xfrm>
        <a:prstGeom prst="rect">
          <a:avLst/>
        </a:prstGeom>
      </xdr:spPr>
    </xdr:pic>
    <xdr:clientData/>
  </xdr:twoCellAnchor>
  <xdr:twoCellAnchor>
    <xdr:from>
      <xdr:col>9</xdr:col>
      <xdr:colOff>34017</xdr:colOff>
      <xdr:row>18</xdr:row>
      <xdr:rowOff>32845</xdr:rowOff>
    </xdr:from>
    <xdr:to>
      <xdr:col>10</xdr:col>
      <xdr:colOff>659947</xdr:colOff>
      <xdr:row>20</xdr:row>
      <xdr:rowOff>170793</xdr:rowOff>
    </xdr:to>
    <xdr:sp macro="[0]!BILLING" textlink="">
      <xdr:nvSpPr>
        <xdr:cNvPr id="4" name="TextBox 3">
          <a:extLst>
            <a:ext uri="{FF2B5EF4-FFF2-40B4-BE49-F238E27FC236}">
              <a16:creationId xmlns:a16="http://schemas.microsoft.com/office/drawing/2014/main" id="{3C4D21C1-D17D-9497-B958-91D05D815F41}"/>
            </a:ext>
          </a:extLst>
        </xdr:cNvPr>
        <xdr:cNvSpPr txBox="1"/>
      </xdr:nvSpPr>
      <xdr:spPr>
        <a:xfrm>
          <a:off x="323051" y="3350173"/>
          <a:ext cx="2025120" cy="512379"/>
        </a:xfrm>
        <a:prstGeom prst="rect">
          <a:avLst/>
        </a:prstGeom>
        <a:noFill/>
        <a:ln w="889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IN" sz="4000" b="1" kern="1200">
            <a:latin typeface="Algerian" panose="04020705040A02060702" pitchFamily="82" charset="0"/>
          </a:endParaRPr>
        </a:p>
      </xdr:txBody>
    </xdr:sp>
    <xdr:clientData/>
  </xdr:twoCellAnchor>
  <xdr:twoCellAnchor>
    <xdr:from>
      <xdr:col>1</xdr:col>
      <xdr:colOff>702879</xdr:colOff>
      <xdr:row>69</xdr:row>
      <xdr:rowOff>0</xdr:rowOff>
    </xdr:from>
    <xdr:to>
      <xdr:col>3</xdr:col>
      <xdr:colOff>613963</xdr:colOff>
      <xdr:row>72</xdr:row>
      <xdr:rowOff>155779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103586F-B596-4B36-B0D1-26B0EBFD288C}"/>
            </a:ext>
          </a:extLst>
        </xdr:cNvPr>
        <xdr:cNvSpPr txBox="1"/>
      </xdr:nvSpPr>
      <xdr:spPr>
        <a:xfrm>
          <a:off x="2391103" y="12540155"/>
          <a:ext cx="1743826" cy="707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4400" b="1" kern="1200">
            <a:latin typeface="Algerian" panose="04020705040A02060702" pitchFamily="82" charset="0"/>
          </a:endParaRPr>
        </a:p>
      </xdr:txBody>
    </xdr:sp>
    <xdr:clientData/>
  </xdr:twoCellAnchor>
  <xdr:twoCellAnchor>
    <xdr:from>
      <xdr:col>2</xdr:col>
      <xdr:colOff>26276</xdr:colOff>
      <xdr:row>2</xdr:row>
      <xdr:rowOff>197071</xdr:rowOff>
    </xdr:from>
    <xdr:to>
      <xdr:col>7</xdr:col>
      <xdr:colOff>6569</xdr:colOff>
      <xdr:row>8</xdr:row>
      <xdr:rowOff>111673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17F31D94-96AC-696D-78B9-E63696D7918F}"/>
            </a:ext>
          </a:extLst>
        </xdr:cNvPr>
        <xdr:cNvSpPr/>
      </xdr:nvSpPr>
      <xdr:spPr>
        <a:xfrm>
          <a:off x="729155" y="387571"/>
          <a:ext cx="3823138" cy="1136430"/>
        </a:xfrm>
        <a:prstGeom prst="ellipse">
          <a:avLst/>
        </a:prstGeom>
        <a:noFill/>
        <a:ln w="241300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</xdr:col>
      <xdr:colOff>59121</xdr:colOff>
      <xdr:row>8</xdr:row>
      <xdr:rowOff>118241</xdr:rowOff>
    </xdr:from>
    <xdr:to>
      <xdr:col>2</xdr:col>
      <xdr:colOff>788277</xdr:colOff>
      <xdr:row>10</xdr:row>
      <xdr:rowOff>157655</xdr:rowOff>
    </xdr:to>
    <xdr:sp macro="" textlink="">
      <xdr:nvSpPr>
        <xdr:cNvPr id="12" name="Speech Bubble: Oval 11">
          <a:extLst>
            <a:ext uri="{FF2B5EF4-FFF2-40B4-BE49-F238E27FC236}">
              <a16:creationId xmlns:a16="http://schemas.microsoft.com/office/drawing/2014/main" id="{B08EFFBA-2AA9-A184-D9C1-279AE72F884A}"/>
            </a:ext>
          </a:extLst>
        </xdr:cNvPr>
        <xdr:cNvSpPr/>
      </xdr:nvSpPr>
      <xdr:spPr>
        <a:xfrm>
          <a:off x="59121" y="1530569"/>
          <a:ext cx="1432035" cy="413845"/>
        </a:xfrm>
        <a:prstGeom prst="wedgeEllipseCallout">
          <a:avLst/>
        </a:prstGeom>
        <a:solidFill>
          <a:srgbClr val="F0D990">
            <a:alpha val="21961"/>
          </a:srgb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kern="1200">
              <a:solidFill>
                <a:schemeClr val="tx1"/>
              </a:solidFill>
              <a:latin typeface="Arial Black" panose="020B0A04020102020204" pitchFamily="34" charset="0"/>
            </a:rPr>
            <a:t>Welcome!!</a:t>
          </a:r>
        </a:p>
      </xdr:txBody>
    </xdr:sp>
    <xdr:clientData/>
  </xdr:twoCellAnchor>
  <xdr:twoCellAnchor editAs="oneCell">
    <xdr:from>
      <xdr:col>1</xdr:col>
      <xdr:colOff>13138</xdr:colOff>
      <xdr:row>17</xdr:row>
      <xdr:rowOff>59121</xdr:rowOff>
    </xdr:from>
    <xdr:to>
      <xdr:col>10</xdr:col>
      <xdr:colOff>91964</xdr:colOff>
      <xdr:row>24</xdr:row>
      <xdr:rowOff>183930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24F6C6-1A2C-DC43-D295-7F22A1198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28" y="3231931"/>
          <a:ext cx="6385033" cy="1425465"/>
        </a:xfrm>
        <a:prstGeom prst="rect">
          <a:avLst/>
        </a:prstGeom>
      </xdr:spPr>
    </xdr:pic>
    <xdr:clientData/>
  </xdr:twoCellAnchor>
  <xdr:twoCellAnchor editAs="oneCell">
    <xdr:from>
      <xdr:col>2</xdr:col>
      <xdr:colOff>625365</xdr:colOff>
      <xdr:row>11</xdr:row>
      <xdr:rowOff>45982</xdr:rowOff>
    </xdr:from>
    <xdr:to>
      <xdr:col>4</xdr:col>
      <xdr:colOff>111673</xdr:colOff>
      <xdr:row>17</xdr:row>
      <xdr:rowOff>85395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8950D66B-9D5C-8F4F-7C66-63BD75AEF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28244" y="2023241"/>
          <a:ext cx="1286205" cy="1156137"/>
        </a:xfrm>
        <a:prstGeom prst="rect">
          <a:avLst/>
        </a:prstGeom>
      </xdr:spPr>
    </xdr:pic>
    <xdr:clientData/>
  </xdr:twoCellAnchor>
  <xdr:twoCellAnchor editAs="oneCell">
    <xdr:from>
      <xdr:col>6</xdr:col>
      <xdr:colOff>236481</xdr:colOff>
      <xdr:row>11</xdr:row>
      <xdr:rowOff>19707</xdr:rowOff>
    </xdr:from>
    <xdr:to>
      <xdr:col>10</xdr:col>
      <xdr:colOff>105102</xdr:colOff>
      <xdr:row>17</xdr:row>
      <xdr:rowOff>59121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AA55C600-7F36-1641-33F1-893D7697A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8360" y="2075793"/>
          <a:ext cx="2108639" cy="1156138"/>
        </a:xfrm>
        <a:prstGeom prst="rect">
          <a:avLst/>
        </a:prstGeom>
      </xdr:spPr>
    </xdr:pic>
    <xdr:clientData/>
  </xdr:twoCellAnchor>
  <xdr:twoCellAnchor editAs="oneCell">
    <xdr:from>
      <xdr:col>4</xdr:col>
      <xdr:colOff>128095</xdr:colOff>
      <xdr:row>11</xdr:row>
      <xdr:rowOff>45983</xdr:rowOff>
    </xdr:from>
    <xdr:to>
      <xdr:col>6</xdr:col>
      <xdr:colOff>218089</xdr:colOff>
      <xdr:row>17</xdr:row>
      <xdr:rowOff>65688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51EFA7B-244A-CB8A-3F31-D4A62BFF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561" y="2102069"/>
          <a:ext cx="1653407" cy="1136429"/>
        </a:xfrm>
        <a:prstGeom prst="rect">
          <a:avLst/>
        </a:prstGeom>
      </xdr:spPr>
    </xdr:pic>
    <xdr:clientData/>
  </xdr:twoCellAnchor>
  <xdr:twoCellAnchor editAs="oneCell">
    <xdr:from>
      <xdr:col>6</xdr:col>
      <xdr:colOff>141832</xdr:colOff>
      <xdr:row>1</xdr:row>
      <xdr:rowOff>92136</xdr:rowOff>
    </xdr:from>
    <xdr:to>
      <xdr:col>7</xdr:col>
      <xdr:colOff>107797</xdr:colOff>
      <xdr:row>3</xdr:row>
      <xdr:rowOff>58102</xdr:rowOff>
    </xdr:to>
    <xdr:pic>
      <xdr:nvPicPr>
        <xdr:cNvPr id="31" name="Graphic 30" descr="Burger and drink">
          <a:extLst>
            <a:ext uri="{FF2B5EF4-FFF2-40B4-BE49-F238E27FC236}">
              <a16:creationId xmlns:a16="http://schemas.microsoft.com/office/drawing/2014/main" id="{2E4F4B46-1D5D-52AB-9808-42E124D87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2798598">
          <a:off x="4208022" y="92136"/>
          <a:ext cx="445500" cy="445500"/>
        </a:xfrm>
        <a:prstGeom prst="rect">
          <a:avLst/>
        </a:prstGeom>
      </xdr:spPr>
    </xdr:pic>
    <xdr:clientData/>
  </xdr:twoCellAnchor>
  <xdr:twoCellAnchor editAs="oneCell">
    <xdr:from>
      <xdr:col>1</xdr:col>
      <xdr:colOff>202387</xdr:colOff>
      <xdr:row>1</xdr:row>
      <xdr:rowOff>118240</xdr:rowOff>
    </xdr:from>
    <xdr:to>
      <xdr:col>1</xdr:col>
      <xdr:colOff>630618</xdr:colOff>
      <xdr:row>3</xdr:row>
      <xdr:rowOff>19705</xdr:rowOff>
    </xdr:to>
    <xdr:pic>
      <xdr:nvPicPr>
        <xdr:cNvPr id="33" name="Graphic 32" descr="Fork and knife">
          <a:extLst>
            <a:ext uri="{FF2B5EF4-FFF2-40B4-BE49-F238E27FC236}">
              <a16:creationId xmlns:a16="http://schemas.microsoft.com/office/drawing/2014/main" id="{6CD82C80-E225-8939-0268-217EDF368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02387" y="118240"/>
          <a:ext cx="428231" cy="380999"/>
        </a:xfrm>
        <a:prstGeom prst="rect">
          <a:avLst/>
        </a:prstGeom>
      </xdr:spPr>
    </xdr:pic>
    <xdr:clientData/>
  </xdr:twoCellAnchor>
  <xdr:twoCellAnchor editAs="oneCell">
    <xdr:from>
      <xdr:col>6</xdr:col>
      <xdr:colOff>129245</xdr:colOff>
      <xdr:row>7</xdr:row>
      <xdr:rowOff>122297</xdr:rowOff>
    </xdr:from>
    <xdr:to>
      <xdr:col>8</xdr:col>
      <xdr:colOff>33609</xdr:colOff>
      <xdr:row>10</xdr:row>
      <xdr:rowOff>115358</xdr:rowOff>
    </xdr:to>
    <xdr:pic>
      <xdr:nvPicPr>
        <xdr:cNvPr id="35" name="Graphic 34" descr="Champagne glasses">
          <a:extLst>
            <a:ext uri="{FF2B5EF4-FFF2-40B4-BE49-F238E27FC236}">
              <a16:creationId xmlns:a16="http://schemas.microsoft.com/office/drawing/2014/main" id="{4BF01B0B-C893-9E14-19B5-375895462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2551178" flipH="1">
          <a:off x="4195435" y="1350694"/>
          <a:ext cx="574399" cy="551423"/>
        </a:xfrm>
        <a:prstGeom prst="rect">
          <a:avLst/>
        </a:prstGeom>
      </xdr:spPr>
    </xdr:pic>
    <xdr:clientData/>
  </xdr:twoCellAnchor>
  <xdr:twoCellAnchor editAs="oneCell">
    <xdr:from>
      <xdr:col>1</xdr:col>
      <xdr:colOff>13137</xdr:colOff>
      <xdr:row>11</xdr:row>
      <xdr:rowOff>65690</xdr:rowOff>
    </xdr:from>
    <xdr:to>
      <xdr:col>2</xdr:col>
      <xdr:colOff>558361</xdr:colOff>
      <xdr:row>17</xdr:row>
      <xdr:rowOff>118240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6489D46E-61FF-C6A3-F798-9EB9A4226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27" y="2121776"/>
          <a:ext cx="1248103" cy="1169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204181</xdr:colOff>
      <xdr:row>0</xdr:row>
      <xdr:rowOff>73445</xdr:rowOff>
    </xdr:from>
    <xdr:to>
      <xdr:col>8</xdr:col>
      <xdr:colOff>44161</xdr:colOff>
      <xdr:row>16</xdr:row>
      <xdr:rowOff>128530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1828540-3462-BC82-D60C-9EE41F875DFD}"/>
            </a:ext>
          </a:extLst>
        </xdr:cNvPr>
        <xdr:cNvSpPr/>
      </xdr:nvSpPr>
      <xdr:spPr>
        <a:xfrm>
          <a:off x="204181" y="73445"/>
          <a:ext cx="6514366" cy="5765495"/>
        </a:xfrm>
        <a:prstGeom prst="rect">
          <a:avLst/>
        </a:prstGeom>
        <a:noFill/>
        <a:ln w="10160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1064964</xdr:colOff>
      <xdr:row>12</xdr:row>
      <xdr:rowOff>348868</xdr:rowOff>
    </xdr:from>
    <xdr:to>
      <xdr:col>5</xdr:col>
      <xdr:colOff>110168</xdr:colOff>
      <xdr:row>15</xdr:row>
      <xdr:rowOff>238699</xdr:rowOff>
    </xdr:to>
    <xdr:sp macro="[0]!FINAL" textlink="">
      <xdr:nvSpPr>
        <xdr:cNvPr id="3" name="TextBox 2">
          <a:extLst>
            <a:ext uri="{FF2B5EF4-FFF2-40B4-BE49-F238E27FC236}">
              <a16:creationId xmlns:a16="http://schemas.microsoft.com/office/drawing/2014/main" id="{6ADAF13A-4F14-A31A-7E19-31F87A37BDD3}"/>
            </a:ext>
          </a:extLst>
        </xdr:cNvPr>
        <xdr:cNvSpPr txBox="1"/>
      </xdr:nvSpPr>
      <xdr:spPr>
        <a:xfrm>
          <a:off x="2148289" y="4516916"/>
          <a:ext cx="2377807" cy="1046602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635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 u="sng" kern="1200">
              <a:solidFill>
                <a:schemeClr val="accent2">
                  <a:lumMod val="50000"/>
                </a:schemeClr>
              </a:solidFill>
              <a:latin typeface="Arial Rounded MT Bold" panose="020F0704030504030204" pitchFamily="34" charset="0"/>
            </a:rPr>
            <a:t>Generate Bill</a:t>
          </a:r>
        </a:p>
      </xdr:txBody>
    </xdr:sp>
    <xdr:clientData/>
  </xdr:twoCellAnchor>
  <xdr:twoCellAnchor>
    <xdr:from>
      <xdr:col>0</xdr:col>
      <xdr:colOff>228600</xdr:colOff>
      <xdr:row>0</xdr:row>
      <xdr:rowOff>15240</xdr:rowOff>
    </xdr:from>
    <xdr:to>
      <xdr:col>8</xdr:col>
      <xdr:colOff>38100</xdr:colOff>
      <xdr:row>1</xdr:row>
      <xdr:rowOff>335280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8C2533-C80E-F79B-3DFA-48A72048D48D}"/>
            </a:ext>
          </a:extLst>
        </xdr:cNvPr>
        <xdr:cNvSpPr txBox="1"/>
      </xdr:nvSpPr>
      <xdr:spPr>
        <a:xfrm>
          <a:off x="228600" y="15240"/>
          <a:ext cx="6758940" cy="5334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8255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 kern="1200" baseline="0">
              <a:latin typeface="Arial Black" panose="020B0A04020102020204" pitchFamily="34" charset="0"/>
            </a:rPr>
            <a:t>  </a:t>
          </a:r>
          <a:r>
            <a:rPr lang="en-IN" sz="3600" b="1" kern="1200" baseline="0">
              <a:latin typeface="Algerian" panose="04020705040A02060702" pitchFamily="82" charset="0"/>
            </a:rPr>
            <a:t> </a:t>
          </a:r>
          <a:r>
            <a:rPr lang="en-IN" sz="3600" b="1" kern="1200">
              <a:solidFill>
                <a:schemeClr val="accent2">
                  <a:lumMod val="50000"/>
                </a:schemeClr>
              </a:solidFill>
              <a:latin typeface="Algerian" panose="04020705040A02060702" pitchFamily="82" charset="0"/>
            </a:rPr>
            <a:t>BILL</a:t>
          </a:r>
          <a:r>
            <a:rPr lang="en-IN" sz="2800" b="1" kern="1200">
              <a:latin typeface="Arial Black" panose="020B0A04020102020204" pitchFamily="34" charset="0"/>
            </a:rPr>
            <a:t>	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350520</xdr:colOff>
      <xdr:row>0</xdr:row>
      <xdr:rowOff>22860</xdr:rowOff>
    </xdr:from>
    <xdr:to>
      <xdr:col>7</xdr:col>
      <xdr:colOff>358140</xdr:colOff>
      <xdr:row>17</xdr:row>
      <xdr:rowOff>160020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5BA8764-4528-E30C-1877-5D4B8DDCC39B}"/>
            </a:ext>
          </a:extLst>
        </xdr:cNvPr>
        <xdr:cNvSpPr/>
      </xdr:nvSpPr>
      <xdr:spPr>
        <a:xfrm>
          <a:off x="350520" y="22860"/>
          <a:ext cx="6446520" cy="3550920"/>
        </a:xfrm>
        <a:prstGeom prst="rect">
          <a:avLst/>
        </a:prstGeom>
        <a:noFill/>
        <a:ln w="88900"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0</xdr:col>
      <xdr:colOff>388620</xdr:colOff>
      <xdr:row>15</xdr:row>
      <xdr:rowOff>91440</xdr:rowOff>
    </xdr:from>
    <xdr:to>
      <xdr:col>7</xdr:col>
      <xdr:colOff>312420</xdr:colOff>
      <xdr:row>17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6B6FEC1-6707-D23F-D397-C59EC5226BDD}"/>
            </a:ext>
          </a:extLst>
        </xdr:cNvPr>
        <xdr:cNvSpPr txBox="1"/>
      </xdr:nvSpPr>
      <xdr:spPr>
        <a:xfrm>
          <a:off x="388620" y="3139440"/>
          <a:ext cx="6362700" cy="38862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 algn="l"/>
          <a:r>
            <a:rPr lang="en-IN" sz="1800" kern="1200">
              <a:latin typeface="Bahnschrift Condensed" panose="020B0502040204020203" pitchFamily="34" charset="0"/>
            </a:rPr>
            <a:t>     Hope you had a great meal.</a:t>
          </a:r>
          <a:r>
            <a:rPr lang="en-IN" sz="1800" kern="1200" baseline="0">
              <a:latin typeface="Bahnschrift Condensed" panose="020B0502040204020203" pitchFamily="34" charset="0"/>
            </a:rPr>
            <a:t> We will be waiting to see you soon!!</a:t>
          </a:r>
          <a:endParaRPr lang="en-IN" sz="1800" kern="1200">
            <a:latin typeface="Bahnschrift Condensed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D961E6-FD98-4C10-A053-6DD11B48F2BB}" name="Table3" displayName="Table3" ref="B2:H51" totalsRowShown="0" headerRowDxfId="9" headerRowBorderDxfId="8" tableBorderDxfId="7">
  <autoFilter ref="B2:H51" xr:uid="{7AD961E6-FD98-4C10-A053-6DD11B48F2BB}"/>
  <tableColumns count="7">
    <tableColumn id="1" xr3:uid="{A2BA3739-D849-4536-AB59-7956A36D41C7}" name="Product" dataDxfId="6"/>
    <tableColumn id="2" xr3:uid="{863DEF80-D1B2-4E86-9A30-99398328FE0C}" name="Price" dataDxfId="5"/>
    <tableColumn id="3" xr3:uid="{F6E23553-F7BD-4926-9C08-09AE5BA2BFF7}" name="Quantity" dataDxfId="4"/>
    <tableColumn id="4" xr3:uid="{FCA4BF96-10C8-493D-B32C-854450F69E37}" name="Amount" dataDxfId="3"/>
    <tableColumn id="5" xr3:uid="{10002CBF-9EAB-4873-AAA8-C22B0AA3AD22}" name="Tax" dataDxfId="2"/>
    <tableColumn id="6" xr3:uid="{652A3F10-E2CD-4F78-9A5D-86EB29709169}" name="Total" dataDxfId="1"/>
    <tableColumn id="7" xr3:uid="{FA9D6278-3C44-417E-BBF2-A876549B1D6B}" name="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8B011-CCD6-4FAD-AF28-EBACDFFA7BCC}">
  <sheetPr codeName="Sheet1"/>
  <dimension ref="A1:T63"/>
  <sheetViews>
    <sheetView showGridLines="0" showRowColHeaders="0" tabSelected="1" zoomScale="113" zoomScaleNormal="112" workbookViewId="0">
      <selection activeCell="R3" sqref="R3"/>
    </sheetView>
  </sheetViews>
  <sheetFormatPr defaultRowHeight="14.4" x14ac:dyDescent="0.3"/>
  <cols>
    <col min="1" max="1" width="1" style="36" customWidth="1"/>
    <col min="2" max="2" width="10.21875" style="36" bestFit="1" customWidth="1"/>
    <col min="3" max="3" width="19.21875" style="36" bestFit="1" customWidth="1"/>
    <col min="4" max="4" width="7" style="36" bestFit="1" customWidth="1"/>
    <col min="5" max="5" width="2.77734375" style="36" customWidth="1"/>
    <col min="6" max="6" width="20" style="36" bestFit="1" customWidth="1"/>
    <col min="7" max="7" width="7" style="36" bestFit="1" customWidth="1"/>
    <col min="8" max="8" width="2.77734375" style="36" customWidth="1"/>
    <col min="9" max="9" width="15.88671875" style="36" bestFit="1" customWidth="1"/>
    <col min="10" max="10" width="7" style="36" bestFit="1" customWidth="1"/>
    <col min="11" max="11" width="1.77734375" style="36" customWidth="1"/>
    <col min="12" max="12" width="19.21875" style="36" bestFit="1" customWidth="1"/>
    <col min="13" max="13" width="7" style="36" bestFit="1" customWidth="1"/>
    <col min="14" max="14" width="1.33203125" style="36" customWidth="1"/>
    <col min="15" max="15" width="20" style="36" bestFit="1" customWidth="1"/>
    <col min="16" max="16" width="7" style="36" bestFit="1" customWidth="1"/>
    <col min="17" max="17" width="1.33203125" style="36" customWidth="1"/>
    <col min="18" max="18" width="15.88671875" style="36" bestFit="1" customWidth="1"/>
    <col min="19" max="19" width="7" style="36" bestFit="1" customWidth="1"/>
    <col min="20" max="20" width="1.33203125" style="36" customWidth="1"/>
    <col min="21" max="16384" width="8.88671875" style="36"/>
  </cols>
  <sheetData>
    <row r="1" spans="1:20" ht="6" customHeight="1" thickBot="1" x14ac:dyDescent="0.35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</row>
    <row r="2" spans="1:20" ht="15" customHeight="1" x14ac:dyDescent="0.3">
      <c r="A2" s="69"/>
      <c r="C2" s="72" t="s">
        <v>91</v>
      </c>
      <c r="D2" s="72"/>
      <c r="E2" s="72"/>
      <c r="F2" s="72"/>
      <c r="G2" s="72"/>
      <c r="L2" s="60" t="s">
        <v>7</v>
      </c>
      <c r="M2" s="61" t="s">
        <v>5</v>
      </c>
      <c r="N2" s="80"/>
      <c r="O2" s="61" t="s">
        <v>24</v>
      </c>
      <c r="P2" s="61" t="s">
        <v>14</v>
      </c>
      <c r="Q2" s="80"/>
      <c r="R2" s="61" t="s">
        <v>49</v>
      </c>
      <c r="S2" s="64" t="s">
        <v>14</v>
      </c>
      <c r="T2" s="69"/>
    </row>
    <row r="3" spans="1:20" ht="22.8" customHeight="1" x14ac:dyDescent="0.3">
      <c r="A3" s="69"/>
      <c r="C3" s="72"/>
      <c r="D3" s="72"/>
      <c r="E3" s="72"/>
      <c r="F3" s="72"/>
      <c r="G3" s="72"/>
      <c r="L3" s="50" t="s">
        <v>8</v>
      </c>
      <c r="M3" s="51">
        <v>120</v>
      </c>
      <c r="N3" s="81"/>
      <c r="O3" s="51" t="s">
        <v>25</v>
      </c>
      <c r="P3" s="51">
        <v>270</v>
      </c>
      <c r="Q3" s="81"/>
      <c r="R3" s="51" t="s">
        <v>39</v>
      </c>
      <c r="S3" s="52">
        <v>70</v>
      </c>
      <c r="T3" s="69"/>
    </row>
    <row r="4" spans="1:20" ht="15" customHeight="1" x14ac:dyDescent="0.3">
      <c r="A4" s="69"/>
      <c r="C4" s="72"/>
      <c r="D4" s="72"/>
      <c r="E4" s="72"/>
      <c r="F4" s="72"/>
      <c r="G4" s="72"/>
      <c r="L4" s="50" t="s">
        <v>12</v>
      </c>
      <c r="M4" s="51">
        <v>140</v>
      </c>
      <c r="N4" s="81"/>
      <c r="O4" s="51" t="s">
        <v>26</v>
      </c>
      <c r="P4" s="51">
        <v>290</v>
      </c>
      <c r="Q4" s="81"/>
      <c r="R4" s="51" t="s">
        <v>65</v>
      </c>
      <c r="S4" s="52">
        <v>80</v>
      </c>
      <c r="T4" s="69"/>
    </row>
    <row r="5" spans="1:20" ht="14.4" customHeight="1" x14ac:dyDescent="0.3">
      <c r="A5" s="69"/>
      <c r="C5" s="72"/>
      <c r="D5" s="72"/>
      <c r="E5" s="72"/>
      <c r="F5" s="72"/>
      <c r="G5" s="72"/>
      <c r="L5" s="50" t="s">
        <v>10</v>
      </c>
      <c r="M5" s="51">
        <v>150</v>
      </c>
      <c r="N5" s="81"/>
      <c r="O5" s="51" t="s">
        <v>27</v>
      </c>
      <c r="P5" s="51">
        <v>300</v>
      </c>
      <c r="Q5" s="81"/>
      <c r="R5" s="51" t="s">
        <v>40</v>
      </c>
      <c r="S5" s="52">
        <v>70</v>
      </c>
      <c r="T5" s="69"/>
    </row>
    <row r="6" spans="1:20" ht="14.4" customHeight="1" x14ac:dyDescent="0.3">
      <c r="A6" s="69"/>
      <c r="C6" s="72"/>
      <c r="D6" s="72"/>
      <c r="E6" s="72"/>
      <c r="F6" s="72"/>
      <c r="G6" s="72"/>
      <c r="L6" s="50" t="s">
        <v>11</v>
      </c>
      <c r="M6" s="51">
        <v>130</v>
      </c>
      <c r="N6" s="81"/>
      <c r="O6" s="51" t="s">
        <v>28</v>
      </c>
      <c r="P6" s="51">
        <v>350</v>
      </c>
      <c r="Q6" s="81"/>
      <c r="R6" s="51" t="s">
        <v>66</v>
      </c>
      <c r="S6" s="52">
        <v>80</v>
      </c>
      <c r="T6" s="69"/>
    </row>
    <row r="7" spans="1:20" ht="15" customHeight="1" x14ac:dyDescent="0.3">
      <c r="A7" s="69"/>
      <c r="C7" s="72"/>
      <c r="D7" s="72"/>
      <c r="E7" s="72"/>
      <c r="F7" s="72"/>
      <c r="G7" s="72"/>
      <c r="L7" s="50" t="s">
        <v>9</v>
      </c>
      <c r="M7" s="51">
        <v>140</v>
      </c>
      <c r="N7" s="81"/>
      <c r="O7" s="51" t="s">
        <v>29</v>
      </c>
      <c r="P7" s="51">
        <v>450</v>
      </c>
      <c r="Q7" s="81"/>
      <c r="R7" s="51" t="s">
        <v>67</v>
      </c>
      <c r="S7" s="52">
        <v>80</v>
      </c>
      <c r="T7" s="69"/>
    </row>
    <row r="8" spans="1:20" x14ac:dyDescent="0.3">
      <c r="A8" s="69"/>
      <c r="L8" s="50" t="s">
        <v>17</v>
      </c>
      <c r="M8" s="51">
        <v>110</v>
      </c>
      <c r="N8" s="81"/>
      <c r="O8" s="51" t="s">
        <v>30</v>
      </c>
      <c r="P8" s="51">
        <v>410</v>
      </c>
      <c r="Q8" s="81"/>
      <c r="R8" s="51" t="s">
        <v>68</v>
      </c>
      <c r="S8" s="52">
        <v>70</v>
      </c>
      <c r="T8" s="69"/>
    </row>
    <row r="9" spans="1:20" x14ac:dyDescent="0.3">
      <c r="A9" s="69"/>
      <c r="L9" s="50"/>
      <c r="M9" s="51"/>
      <c r="N9" s="81"/>
      <c r="O9" s="51" t="s">
        <v>31</v>
      </c>
      <c r="P9" s="51">
        <v>400</v>
      </c>
      <c r="Q9" s="81"/>
      <c r="R9" s="51" t="s">
        <v>41</v>
      </c>
      <c r="S9" s="52">
        <v>110</v>
      </c>
      <c r="T9" s="69"/>
    </row>
    <row r="10" spans="1:20" ht="15" x14ac:dyDescent="0.3">
      <c r="A10" s="69"/>
      <c r="L10" s="62" t="s">
        <v>4</v>
      </c>
      <c r="M10" s="63" t="s">
        <v>5</v>
      </c>
      <c r="N10" s="81"/>
      <c r="O10" s="51" t="s">
        <v>32</v>
      </c>
      <c r="P10" s="51">
        <v>460</v>
      </c>
      <c r="Q10" s="81"/>
      <c r="R10" s="51"/>
      <c r="S10" s="52"/>
      <c r="T10" s="69"/>
    </row>
    <row r="11" spans="1:20" ht="15" x14ac:dyDescent="0.3">
      <c r="A11" s="69"/>
      <c r="L11" s="50" t="s">
        <v>0</v>
      </c>
      <c r="M11" s="51">
        <v>7</v>
      </c>
      <c r="N11" s="81"/>
      <c r="O11" s="51"/>
      <c r="P11" s="51"/>
      <c r="Q11" s="81"/>
      <c r="R11" s="63" t="s">
        <v>44</v>
      </c>
      <c r="S11" s="65" t="s">
        <v>14</v>
      </c>
      <c r="T11" s="69"/>
    </row>
    <row r="12" spans="1:20" ht="15" x14ac:dyDescent="0.3">
      <c r="A12" s="69"/>
      <c r="L12" s="50" t="s">
        <v>1</v>
      </c>
      <c r="M12" s="51">
        <v>10</v>
      </c>
      <c r="N12" s="81"/>
      <c r="O12" s="63" t="s">
        <v>33</v>
      </c>
      <c r="P12" s="63" t="s">
        <v>14</v>
      </c>
      <c r="Q12" s="81"/>
      <c r="R12" s="51" t="s">
        <v>43</v>
      </c>
      <c r="S12" s="52">
        <v>40</v>
      </c>
      <c r="T12" s="69"/>
    </row>
    <row r="13" spans="1:20" x14ac:dyDescent="0.3">
      <c r="A13" s="69"/>
      <c r="L13" s="50" t="s">
        <v>2</v>
      </c>
      <c r="M13" s="51">
        <v>20</v>
      </c>
      <c r="N13" s="81"/>
      <c r="O13" s="51" t="s">
        <v>34</v>
      </c>
      <c r="P13" s="51">
        <v>20</v>
      </c>
      <c r="Q13" s="81"/>
      <c r="R13" s="51" t="s">
        <v>45</v>
      </c>
      <c r="S13" s="52">
        <v>35</v>
      </c>
      <c r="T13" s="69"/>
    </row>
    <row r="14" spans="1:20" x14ac:dyDescent="0.3">
      <c r="A14" s="69"/>
      <c r="L14" s="50" t="s">
        <v>3</v>
      </c>
      <c r="M14" s="51">
        <v>30</v>
      </c>
      <c r="N14" s="81"/>
      <c r="O14" s="51" t="s">
        <v>35</v>
      </c>
      <c r="P14" s="51">
        <v>25</v>
      </c>
      <c r="Q14" s="81"/>
      <c r="R14" s="51" t="s">
        <v>46</v>
      </c>
      <c r="S14" s="52">
        <v>45</v>
      </c>
      <c r="T14" s="69"/>
    </row>
    <row r="15" spans="1:20" x14ac:dyDescent="0.3">
      <c r="A15" s="69"/>
      <c r="L15" s="50" t="s">
        <v>6</v>
      </c>
      <c r="M15" s="51">
        <v>35</v>
      </c>
      <c r="N15" s="81"/>
      <c r="O15" s="51" t="s">
        <v>36</v>
      </c>
      <c r="P15" s="51">
        <v>60</v>
      </c>
      <c r="Q15" s="81"/>
      <c r="R15" s="51" t="s">
        <v>47</v>
      </c>
      <c r="S15" s="52">
        <v>40</v>
      </c>
      <c r="T15" s="69"/>
    </row>
    <row r="16" spans="1:20" ht="14.4" customHeight="1" x14ac:dyDescent="0.3">
      <c r="A16" s="69"/>
      <c r="L16" s="50"/>
      <c r="M16" s="51"/>
      <c r="N16" s="81"/>
      <c r="O16" s="51" t="s">
        <v>37</v>
      </c>
      <c r="P16" s="51">
        <v>70</v>
      </c>
      <c r="Q16" s="81"/>
      <c r="R16" s="51" t="s">
        <v>48</v>
      </c>
      <c r="S16" s="52">
        <v>50</v>
      </c>
      <c r="T16" s="69"/>
    </row>
    <row r="17" spans="1:20" ht="15" customHeight="1" x14ac:dyDescent="0.3">
      <c r="A17" s="69"/>
      <c r="L17" s="62" t="s">
        <v>13</v>
      </c>
      <c r="M17" s="63" t="s">
        <v>14</v>
      </c>
      <c r="N17" s="81"/>
      <c r="O17" s="51" t="s">
        <v>38</v>
      </c>
      <c r="P17" s="51">
        <v>50</v>
      </c>
      <c r="Q17" s="81"/>
      <c r="R17" s="51"/>
      <c r="S17" s="52"/>
      <c r="T17" s="69"/>
    </row>
    <row r="18" spans="1:20" ht="15" customHeight="1" x14ac:dyDescent="0.3">
      <c r="A18" s="69"/>
      <c r="L18" s="50" t="s">
        <v>15</v>
      </c>
      <c r="M18" s="51">
        <v>180</v>
      </c>
      <c r="N18" s="81"/>
      <c r="O18" s="51"/>
      <c r="P18" s="51"/>
      <c r="Q18" s="81"/>
      <c r="R18" s="63" t="s">
        <v>42</v>
      </c>
      <c r="S18" s="65" t="s">
        <v>14</v>
      </c>
      <c r="T18" s="69"/>
    </row>
    <row r="19" spans="1:20" ht="15" x14ac:dyDescent="0.3">
      <c r="A19" s="69"/>
      <c r="L19" s="50" t="s">
        <v>16</v>
      </c>
      <c r="M19" s="51">
        <v>190</v>
      </c>
      <c r="N19" s="81"/>
      <c r="O19" s="63" t="s">
        <v>50</v>
      </c>
      <c r="P19" s="63" t="s">
        <v>14</v>
      </c>
      <c r="Q19" s="81"/>
      <c r="R19" s="51" t="s">
        <v>51</v>
      </c>
      <c r="S19" s="52">
        <v>10</v>
      </c>
      <c r="T19" s="69"/>
    </row>
    <row r="20" spans="1:20" x14ac:dyDescent="0.3">
      <c r="A20" s="69"/>
      <c r="L20" s="50" t="s">
        <v>18</v>
      </c>
      <c r="M20" s="51">
        <v>140</v>
      </c>
      <c r="N20" s="81"/>
      <c r="O20" s="51" t="s">
        <v>61</v>
      </c>
      <c r="P20" s="51">
        <v>100</v>
      </c>
      <c r="Q20" s="81"/>
      <c r="R20" s="51" t="s">
        <v>52</v>
      </c>
      <c r="S20" s="52">
        <v>10</v>
      </c>
      <c r="T20" s="69"/>
    </row>
    <row r="21" spans="1:20" x14ac:dyDescent="0.3">
      <c r="A21" s="69"/>
      <c r="L21" s="50" t="s">
        <v>19</v>
      </c>
      <c r="M21" s="51">
        <v>130</v>
      </c>
      <c r="N21" s="81"/>
      <c r="O21" s="51" t="s">
        <v>62</v>
      </c>
      <c r="P21" s="51">
        <v>120</v>
      </c>
      <c r="Q21" s="81"/>
      <c r="R21" s="51" t="s">
        <v>53</v>
      </c>
      <c r="S21" s="52">
        <v>25</v>
      </c>
      <c r="T21" s="69"/>
    </row>
    <row r="22" spans="1:20" x14ac:dyDescent="0.3">
      <c r="A22" s="69"/>
      <c r="L22" s="50" t="s">
        <v>20</v>
      </c>
      <c r="M22" s="51">
        <v>210</v>
      </c>
      <c r="N22" s="81"/>
      <c r="O22" s="51" t="s">
        <v>63</v>
      </c>
      <c r="P22" s="51">
        <v>180</v>
      </c>
      <c r="Q22" s="81"/>
      <c r="R22" s="51" t="s">
        <v>54</v>
      </c>
      <c r="S22" s="52">
        <v>40</v>
      </c>
      <c r="T22" s="69"/>
    </row>
    <row r="23" spans="1:20" x14ac:dyDescent="0.3">
      <c r="A23" s="69"/>
      <c r="L23" s="50" t="s">
        <v>21</v>
      </c>
      <c r="M23" s="51">
        <v>180</v>
      </c>
      <c r="N23" s="81"/>
      <c r="O23" s="51" t="s">
        <v>64</v>
      </c>
      <c r="P23" s="51">
        <v>240</v>
      </c>
      <c r="Q23" s="81"/>
      <c r="R23" s="51" t="s">
        <v>55</v>
      </c>
      <c r="S23" s="52">
        <v>15</v>
      </c>
      <c r="T23" s="69"/>
    </row>
    <row r="24" spans="1:20" x14ac:dyDescent="0.3">
      <c r="A24" s="69"/>
      <c r="L24" s="50" t="s">
        <v>22</v>
      </c>
      <c r="M24" s="51">
        <v>160</v>
      </c>
      <c r="N24" s="81"/>
      <c r="O24" s="51"/>
      <c r="P24" s="51"/>
      <c r="Q24" s="81"/>
      <c r="R24" s="51"/>
      <c r="S24" s="52"/>
      <c r="T24" s="69"/>
    </row>
    <row r="25" spans="1:20" ht="15" thickBot="1" x14ac:dyDescent="0.35">
      <c r="A25" s="69"/>
      <c r="L25" s="53" t="s">
        <v>23</v>
      </c>
      <c r="M25" s="54">
        <v>150</v>
      </c>
      <c r="N25" s="82"/>
      <c r="O25" s="54"/>
      <c r="P25" s="54"/>
      <c r="Q25" s="82"/>
      <c r="R25" s="54"/>
      <c r="S25" s="55"/>
      <c r="T25" s="69"/>
    </row>
    <row r="26" spans="1:20" ht="7.2" customHeight="1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</row>
    <row r="35" spans="2:6" x14ac:dyDescent="0.3">
      <c r="B35" s="56"/>
      <c r="F35" s="57"/>
    </row>
    <row r="53" spans="2:6" x14ac:dyDescent="0.3">
      <c r="B53" s="56"/>
    </row>
    <row r="54" spans="2:6" x14ac:dyDescent="0.3">
      <c r="B54" s="56"/>
      <c r="C54" s="56"/>
      <c r="D54" s="58"/>
      <c r="E54" s="59"/>
      <c r="F54" s="57"/>
    </row>
    <row r="55" spans="2:6" x14ac:dyDescent="0.3">
      <c r="B55" s="56"/>
      <c r="C55" s="56"/>
      <c r="D55" s="58"/>
      <c r="E55" s="59"/>
      <c r="F55" s="57"/>
    </row>
    <row r="56" spans="2:6" x14ac:dyDescent="0.3">
      <c r="B56" s="56"/>
      <c r="C56" s="56"/>
      <c r="D56" s="58"/>
      <c r="E56" s="59"/>
      <c r="F56" s="57"/>
    </row>
    <row r="57" spans="2:6" x14ac:dyDescent="0.3">
      <c r="B57" s="56"/>
      <c r="C57" s="56"/>
      <c r="D57" s="58"/>
      <c r="E57" s="59"/>
      <c r="F57" s="57"/>
    </row>
    <row r="58" spans="2:6" x14ac:dyDescent="0.3">
      <c r="B58" s="56"/>
      <c r="C58" s="56"/>
      <c r="D58" s="58"/>
      <c r="E58" s="59"/>
      <c r="F58" s="57"/>
    </row>
    <row r="59" spans="2:6" x14ac:dyDescent="0.3">
      <c r="B59" s="56"/>
      <c r="C59" s="56"/>
      <c r="D59" s="58"/>
      <c r="E59" s="59"/>
      <c r="F59" s="57"/>
    </row>
    <row r="60" spans="2:6" x14ac:dyDescent="0.3">
      <c r="B60" s="56"/>
      <c r="C60" s="56"/>
      <c r="D60" s="58"/>
      <c r="E60" s="59"/>
      <c r="F60" s="57"/>
    </row>
    <row r="61" spans="2:6" x14ac:dyDescent="0.3">
      <c r="B61" s="56"/>
      <c r="C61" s="56"/>
      <c r="D61" s="58"/>
      <c r="E61" s="59"/>
      <c r="F61" s="57"/>
    </row>
    <row r="62" spans="2:6" x14ac:dyDescent="0.3">
      <c r="B62" s="56"/>
      <c r="C62" s="56"/>
      <c r="D62" s="58"/>
      <c r="E62" s="59"/>
      <c r="F62" s="57"/>
    </row>
    <row r="63" spans="2:6" x14ac:dyDescent="0.3">
      <c r="B63" s="56"/>
    </row>
  </sheetData>
  <dataConsolidate/>
  <mergeCells count="1">
    <mergeCell ref="C2:G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8B1CC-6E14-4860-B033-24619FFF82F1}">
  <sheetPr codeName="Sheet2"/>
  <dimension ref="B1:U67"/>
  <sheetViews>
    <sheetView showGridLines="0" zoomScale="83" zoomScaleNormal="100" workbookViewId="0">
      <selection activeCell="P57" sqref="P57"/>
    </sheetView>
  </sheetViews>
  <sheetFormatPr defaultRowHeight="14.4" x14ac:dyDescent="0.3"/>
  <cols>
    <col min="1" max="1" width="3.5546875" customWidth="1"/>
    <col min="2" max="2" width="12.21875" bestFit="1" customWidth="1"/>
    <col min="3" max="3" width="23.6640625" customWidth="1"/>
    <col min="4" max="4" width="9.44140625" bestFit="1" customWidth="1"/>
    <col min="5" max="5" width="15.33203125" bestFit="1" customWidth="1"/>
    <col min="6" max="6" width="12.88671875" bestFit="1" customWidth="1"/>
    <col min="7" max="7" width="9.44140625" customWidth="1"/>
    <col min="8" max="8" width="10.5546875" bestFit="1" customWidth="1"/>
    <col min="9" max="9" width="15.88671875" bestFit="1" customWidth="1"/>
    <col min="10" max="10" width="7" customWidth="1"/>
    <col min="11" max="11" width="0.88671875" hidden="1" customWidth="1"/>
    <col min="12" max="12" width="0.109375" customWidth="1"/>
    <col min="13" max="13" width="14.109375" bestFit="1" customWidth="1"/>
    <col min="14" max="14" width="7" customWidth="1"/>
    <col min="15" max="15" width="1.109375" hidden="1" customWidth="1"/>
    <col min="16" max="16" width="18.88671875" bestFit="1" customWidth="1"/>
    <col min="17" max="17" width="12.77734375" bestFit="1" customWidth="1"/>
    <col min="18" max="18" width="17.21875" bestFit="1" customWidth="1"/>
    <col min="19" max="19" width="15.109375" bestFit="1" customWidth="1"/>
    <col min="20" max="20" width="11" bestFit="1" customWidth="1"/>
    <col min="21" max="21" width="11.21875" bestFit="1" customWidth="1"/>
  </cols>
  <sheetData>
    <row r="1" spans="2:19" ht="16.8" thickBot="1" x14ac:dyDescent="0.35">
      <c r="L1" s="30"/>
      <c r="M1" s="17" t="s">
        <v>81</v>
      </c>
      <c r="N1" s="2" t="s">
        <v>5</v>
      </c>
    </row>
    <row r="2" spans="2:19" ht="30.6" customHeight="1" thickBot="1" x14ac:dyDescent="0.35">
      <c r="H2" s="12"/>
      <c r="L2" s="30"/>
      <c r="M2" s="31"/>
      <c r="N2" s="32">
        <v>0</v>
      </c>
      <c r="O2" s="3"/>
      <c r="P2" s="16"/>
    </row>
    <row r="3" spans="2:19" ht="30.6" customHeight="1" thickBot="1" x14ac:dyDescent="0.35">
      <c r="B3" s="25" t="s">
        <v>72</v>
      </c>
      <c r="C3" s="26" t="s">
        <v>82</v>
      </c>
      <c r="D3" s="26" t="s">
        <v>14</v>
      </c>
      <c r="E3" s="26" t="s">
        <v>57</v>
      </c>
      <c r="F3" s="26" t="s">
        <v>58</v>
      </c>
      <c r="G3" s="26" t="s">
        <v>59</v>
      </c>
      <c r="H3" s="27" t="s">
        <v>60</v>
      </c>
      <c r="L3" s="11"/>
      <c r="M3" s="18" t="s">
        <v>8</v>
      </c>
      <c r="N3" s="15">
        <v>120</v>
      </c>
      <c r="O3" s="1"/>
    </row>
    <row r="4" spans="2:19" ht="30.6" customHeight="1" x14ac:dyDescent="0.3">
      <c r="B4" s="24" t="s">
        <v>73</v>
      </c>
      <c r="C4" s="28" t="s">
        <v>8</v>
      </c>
      <c r="D4" s="33">
        <f>_xlfn.IFNA(VLOOKUP(C4, M2:N55, 2, FALSE), "")</f>
        <v>120</v>
      </c>
      <c r="E4" s="34">
        <v>2</v>
      </c>
      <c r="F4" s="33">
        <f>IF(OR(D4="", E4=""), "", D4 * E4)</f>
        <v>240</v>
      </c>
      <c r="G4" s="33">
        <f>IF(OR(F4=""), "", F4 * 5/100)</f>
        <v>12</v>
      </c>
      <c r="H4" s="33">
        <f>IF(OR(F4="", G4=""), "", F4+G4)</f>
        <v>252</v>
      </c>
      <c r="L4" s="11"/>
      <c r="M4" s="13" t="s">
        <v>12</v>
      </c>
      <c r="N4" s="1">
        <v>140</v>
      </c>
      <c r="O4" s="1"/>
    </row>
    <row r="5" spans="2:19" ht="30.6" customHeight="1" x14ac:dyDescent="0.3">
      <c r="B5" s="24" t="s">
        <v>74</v>
      </c>
      <c r="C5" s="29" t="s">
        <v>34</v>
      </c>
      <c r="D5" s="33">
        <f t="shared" ref="D5:D11" si="0">_xlfn.IFNA(VLOOKUP(C5, M3:N56, 2, FALSE), "")</f>
        <v>20</v>
      </c>
      <c r="E5" s="35">
        <v>4</v>
      </c>
      <c r="F5" s="33">
        <f t="shared" ref="F5:F11" si="1">IF(OR(D5="", E5=""), "", D5 * E5)</f>
        <v>80</v>
      </c>
      <c r="G5" s="33">
        <f t="shared" ref="G5:G11" si="2">IF(OR(F5=""), "", F5 * 5/100)</f>
        <v>4</v>
      </c>
      <c r="H5" s="33">
        <f t="shared" ref="H5:H11" si="3">IF(OR(F5="", G5=""), "", F5+G5)</f>
        <v>84</v>
      </c>
      <c r="L5" s="11"/>
      <c r="M5" s="13" t="s">
        <v>10</v>
      </c>
      <c r="N5" s="1">
        <v>150</v>
      </c>
      <c r="O5" s="1"/>
    </row>
    <row r="6" spans="2:19" ht="30.6" customHeight="1" x14ac:dyDescent="0.3">
      <c r="B6" s="24" t="s">
        <v>75</v>
      </c>
      <c r="C6" s="29" t="s">
        <v>66</v>
      </c>
      <c r="D6" s="33">
        <f t="shared" si="0"/>
        <v>80</v>
      </c>
      <c r="E6" s="35">
        <v>1</v>
      </c>
      <c r="F6" s="33">
        <f t="shared" si="1"/>
        <v>80</v>
      </c>
      <c r="G6" s="33">
        <f t="shared" si="2"/>
        <v>4</v>
      </c>
      <c r="H6" s="33">
        <f t="shared" si="3"/>
        <v>84</v>
      </c>
      <c r="L6" s="11"/>
      <c r="M6" s="13" t="s">
        <v>11</v>
      </c>
      <c r="N6" s="1">
        <v>130</v>
      </c>
      <c r="O6" s="1"/>
    </row>
    <row r="7" spans="2:19" ht="30.6" customHeight="1" x14ac:dyDescent="0.3">
      <c r="B7" s="24" t="s">
        <v>76</v>
      </c>
      <c r="C7" s="29"/>
      <c r="D7" s="33" t="str">
        <f t="shared" si="0"/>
        <v/>
      </c>
      <c r="E7" s="35"/>
      <c r="F7" s="33" t="str">
        <f t="shared" si="1"/>
        <v/>
      </c>
      <c r="G7" s="33" t="str">
        <f t="shared" si="2"/>
        <v/>
      </c>
      <c r="H7" s="33" t="str">
        <f t="shared" si="3"/>
        <v/>
      </c>
      <c r="L7" s="11"/>
      <c r="M7" s="13" t="s">
        <v>9</v>
      </c>
      <c r="N7" s="1">
        <v>140</v>
      </c>
      <c r="O7" s="1"/>
    </row>
    <row r="8" spans="2:19" ht="30.6" customHeight="1" x14ac:dyDescent="0.3">
      <c r="B8" s="24" t="s">
        <v>77</v>
      </c>
      <c r="C8" s="29"/>
      <c r="D8" s="33" t="str">
        <f t="shared" si="0"/>
        <v/>
      </c>
      <c r="E8" s="35"/>
      <c r="F8" s="33" t="str">
        <f t="shared" si="1"/>
        <v/>
      </c>
      <c r="G8" s="33" t="str">
        <f t="shared" si="2"/>
        <v/>
      </c>
      <c r="H8" s="33" t="str">
        <f t="shared" si="3"/>
        <v/>
      </c>
      <c r="L8" s="11"/>
      <c r="M8" s="13" t="s">
        <v>17</v>
      </c>
      <c r="N8" s="1">
        <v>110</v>
      </c>
      <c r="O8" s="1"/>
      <c r="Q8" s="6" t="s">
        <v>84</v>
      </c>
      <c r="R8" t="s">
        <v>84</v>
      </c>
      <c r="S8" t="s">
        <v>84</v>
      </c>
    </row>
    <row r="9" spans="2:19" ht="30.6" customHeight="1" x14ac:dyDescent="0.3">
      <c r="B9" s="24" t="s">
        <v>78</v>
      </c>
      <c r="C9" s="29"/>
      <c r="D9" s="33" t="str">
        <f t="shared" si="0"/>
        <v/>
      </c>
      <c r="E9" s="35"/>
      <c r="F9" s="33" t="str">
        <f t="shared" si="1"/>
        <v/>
      </c>
      <c r="G9" s="33" t="str">
        <f t="shared" si="2"/>
        <v/>
      </c>
      <c r="H9" s="33" t="str">
        <f t="shared" si="3"/>
        <v/>
      </c>
      <c r="L9" s="11"/>
      <c r="M9" s="13" t="s">
        <v>0</v>
      </c>
      <c r="N9" s="1">
        <v>7</v>
      </c>
      <c r="O9" s="1"/>
      <c r="Q9" s="6" t="s">
        <v>84</v>
      </c>
      <c r="R9" t="s">
        <v>84</v>
      </c>
      <c r="S9" t="s">
        <v>84</v>
      </c>
    </row>
    <row r="10" spans="2:19" ht="30.6" customHeight="1" x14ac:dyDescent="0.3">
      <c r="B10" s="24" t="s">
        <v>79</v>
      </c>
      <c r="C10" s="29"/>
      <c r="D10" s="33" t="str">
        <f t="shared" si="0"/>
        <v/>
      </c>
      <c r="E10" s="35"/>
      <c r="F10" s="33" t="str">
        <f t="shared" si="1"/>
        <v/>
      </c>
      <c r="G10" s="33" t="str">
        <f t="shared" si="2"/>
        <v/>
      </c>
      <c r="H10" s="33" t="str">
        <f t="shared" si="3"/>
        <v/>
      </c>
      <c r="L10" s="11"/>
      <c r="M10" s="13" t="s">
        <v>1</v>
      </c>
      <c r="N10" s="1">
        <v>10</v>
      </c>
      <c r="O10" s="1"/>
      <c r="Q10" t="s">
        <v>84</v>
      </c>
      <c r="R10" t="s">
        <v>84</v>
      </c>
      <c r="S10" t="s">
        <v>84</v>
      </c>
    </row>
    <row r="11" spans="2:19" ht="30.6" customHeight="1" x14ac:dyDescent="0.3">
      <c r="B11" s="24" t="s">
        <v>80</v>
      </c>
      <c r="C11" s="29"/>
      <c r="D11" s="33" t="str">
        <f t="shared" si="0"/>
        <v/>
      </c>
      <c r="E11" s="35"/>
      <c r="F11" s="33" t="str">
        <f t="shared" si="1"/>
        <v/>
      </c>
      <c r="G11" s="33" t="str">
        <f t="shared" si="2"/>
        <v/>
      </c>
      <c r="H11" s="33" t="str">
        <f t="shared" si="3"/>
        <v/>
      </c>
      <c r="L11" s="11"/>
      <c r="M11" s="13" t="s">
        <v>2</v>
      </c>
      <c r="N11" s="1">
        <v>20</v>
      </c>
      <c r="O11" s="1"/>
    </row>
    <row r="12" spans="2:19" ht="7.8" customHeight="1" x14ac:dyDescent="0.3">
      <c r="B12" s="22"/>
      <c r="C12" s="23"/>
      <c r="D12" s="21"/>
      <c r="E12" s="21"/>
      <c r="F12" s="21"/>
      <c r="G12" s="21"/>
      <c r="H12" s="23"/>
      <c r="L12" s="11"/>
      <c r="M12" s="13" t="s">
        <v>3</v>
      </c>
      <c r="N12" s="1">
        <v>30</v>
      </c>
      <c r="O12" s="1"/>
    </row>
    <row r="13" spans="2:19" ht="30.6" customHeight="1" x14ac:dyDescent="0.7">
      <c r="B13" s="73"/>
      <c r="C13" s="74"/>
      <c r="D13" s="36"/>
      <c r="E13" s="36"/>
      <c r="F13" s="36"/>
      <c r="G13" s="75"/>
      <c r="H13" s="75"/>
      <c r="L13" s="11"/>
      <c r="M13" s="13" t="s">
        <v>6</v>
      </c>
      <c r="N13" s="1">
        <v>35</v>
      </c>
      <c r="O13" s="1"/>
    </row>
    <row r="14" spans="2:19" ht="30.6" customHeight="1" x14ac:dyDescent="0.3">
      <c r="B14" s="36"/>
      <c r="C14" s="36"/>
      <c r="D14" s="36"/>
      <c r="E14" s="36"/>
      <c r="F14" s="36"/>
      <c r="G14" s="36"/>
      <c r="H14" s="37"/>
      <c r="L14" s="11"/>
      <c r="M14" s="13" t="s">
        <v>15</v>
      </c>
      <c r="N14" s="1">
        <v>180</v>
      </c>
      <c r="O14" s="1"/>
    </row>
    <row r="15" spans="2:19" ht="30.6" customHeight="1" x14ac:dyDescent="0.3">
      <c r="B15" s="36"/>
      <c r="C15" s="36"/>
      <c r="D15" s="36"/>
      <c r="E15" s="36"/>
      <c r="F15" s="36"/>
      <c r="G15" s="36"/>
      <c r="H15" s="37"/>
      <c r="L15" s="11"/>
      <c r="M15" s="13" t="s">
        <v>16</v>
      </c>
      <c r="N15" s="1">
        <v>190</v>
      </c>
      <c r="O15" s="1"/>
      <c r="P15" s="12"/>
    </row>
    <row r="16" spans="2:19" ht="30.6" customHeight="1" x14ac:dyDescent="0.3">
      <c r="B16" s="36"/>
      <c r="C16" s="36"/>
      <c r="D16" s="36"/>
      <c r="E16" s="36"/>
      <c r="F16" s="36"/>
      <c r="G16" s="36"/>
      <c r="H16" s="37"/>
      <c r="L16" s="11"/>
      <c r="M16" s="13" t="s">
        <v>18</v>
      </c>
      <c r="N16" s="1">
        <v>140</v>
      </c>
      <c r="O16" s="12"/>
      <c r="P16" s="12"/>
    </row>
    <row r="17" spans="7:15" ht="30.6" customHeight="1" x14ac:dyDescent="0.3">
      <c r="H17" s="12"/>
      <c r="L17" s="11"/>
      <c r="M17" s="13" t="s">
        <v>19</v>
      </c>
      <c r="N17" s="1">
        <v>130</v>
      </c>
      <c r="O17" s="12"/>
    </row>
    <row r="18" spans="7:15" x14ac:dyDescent="0.3">
      <c r="G18" s="12"/>
      <c r="H18" s="12"/>
      <c r="L18" s="11"/>
      <c r="M18" s="13" t="s">
        <v>20</v>
      </c>
      <c r="N18" s="1">
        <v>210</v>
      </c>
      <c r="O18" s="12"/>
    </row>
    <row r="19" spans="7:15" x14ac:dyDescent="0.3">
      <c r="H19" s="12"/>
      <c r="L19" s="11"/>
      <c r="M19" s="13" t="s">
        <v>21</v>
      </c>
      <c r="N19" s="1">
        <v>180</v>
      </c>
      <c r="O19" s="12"/>
    </row>
    <row r="20" spans="7:15" x14ac:dyDescent="0.3">
      <c r="H20" s="12"/>
      <c r="L20" s="11"/>
      <c r="M20" s="13" t="s">
        <v>22</v>
      </c>
      <c r="N20" s="1">
        <v>160</v>
      </c>
      <c r="O20" s="12"/>
    </row>
    <row r="21" spans="7:15" ht="15" thickBot="1" x14ac:dyDescent="0.35">
      <c r="H21" s="12"/>
      <c r="L21" s="11"/>
      <c r="M21" s="19" t="s">
        <v>23</v>
      </c>
      <c r="N21" s="5">
        <v>150</v>
      </c>
      <c r="O21" s="12"/>
    </row>
    <row r="22" spans="7:15" x14ac:dyDescent="0.3">
      <c r="H22" s="12"/>
      <c r="L22" s="11"/>
      <c r="M22" s="13" t="s">
        <v>25</v>
      </c>
      <c r="N22" s="1">
        <v>270</v>
      </c>
      <c r="O22" s="12"/>
    </row>
    <row r="23" spans="7:15" x14ac:dyDescent="0.3">
      <c r="H23" s="12"/>
      <c r="L23" s="11"/>
      <c r="M23" s="13" t="s">
        <v>26</v>
      </c>
      <c r="N23" s="1">
        <v>290</v>
      </c>
      <c r="O23" s="12"/>
    </row>
    <row r="24" spans="7:15" x14ac:dyDescent="0.3">
      <c r="H24" s="12"/>
      <c r="L24" s="11"/>
      <c r="M24" s="13" t="s">
        <v>27</v>
      </c>
      <c r="N24" s="1">
        <v>300</v>
      </c>
      <c r="O24" s="12"/>
    </row>
    <row r="25" spans="7:15" x14ac:dyDescent="0.3">
      <c r="H25" s="12"/>
      <c r="L25" s="11"/>
      <c r="M25" s="13" t="s">
        <v>28</v>
      </c>
      <c r="N25" s="1">
        <v>350</v>
      </c>
      <c r="O25" s="12"/>
    </row>
    <row r="26" spans="7:15" x14ac:dyDescent="0.3">
      <c r="L26" s="11"/>
      <c r="M26" s="13" t="s">
        <v>29</v>
      </c>
      <c r="N26" s="1">
        <v>450</v>
      </c>
    </row>
    <row r="27" spans="7:15" x14ac:dyDescent="0.3">
      <c r="L27" s="11"/>
      <c r="M27" s="13" t="s">
        <v>30</v>
      </c>
      <c r="N27" s="1">
        <v>410</v>
      </c>
    </row>
    <row r="28" spans="7:15" x14ac:dyDescent="0.3">
      <c r="L28" s="11"/>
      <c r="M28" s="13" t="s">
        <v>31</v>
      </c>
      <c r="N28" s="1">
        <v>400</v>
      </c>
    </row>
    <row r="29" spans="7:15" x14ac:dyDescent="0.3">
      <c r="L29" s="11"/>
      <c r="M29" s="13" t="s">
        <v>32</v>
      </c>
      <c r="N29" s="1">
        <v>460</v>
      </c>
    </row>
    <row r="30" spans="7:15" x14ac:dyDescent="0.3">
      <c r="L30" s="11"/>
      <c r="M30" s="13" t="s">
        <v>34</v>
      </c>
      <c r="N30" s="1">
        <v>20</v>
      </c>
    </row>
    <row r="31" spans="7:15" x14ac:dyDescent="0.3">
      <c r="L31" s="11"/>
      <c r="M31" s="13" t="s">
        <v>35</v>
      </c>
      <c r="N31" s="1">
        <v>25</v>
      </c>
    </row>
    <row r="32" spans="7:15" x14ac:dyDescent="0.3">
      <c r="L32" s="11"/>
      <c r="M32" s="13" t="s">
        <v>36</v>
      </c>
      <c r="N32" s="1">
        <v>60</v>
      </c>
    </row>
    <row r="33" spans="12:14" x14ac:dyDescent="0.3">
      <c r="L33" s="11"/>
      <c r="M33" s="13" t="s">
        <v>37</v>
      </c>
      <c r="N33" s="1">
        <v>70</v>
      </c>
    </row>
    <row r="34" spans="12:14" x14ac:dyDescent="0.3">
      <c r="L34" s="11"/>
      <c r="M34" s="13" t="s">
        <v>38</v>
      </c>
      <c r="N34" s="1">
        <v>50</v>
      </c>
    </row>
    <row r="35" spans="12:14" x14ac:dyDescent="0.3">
      <c r="L35" s="11"/>
      <c r="M35" s="13" t="s">
        <v>39</v>
      </c>
      <c r="N35" s="4">
        <v>70</v>
      </c>
    </row>
    <row r="36" spans="12:14" x14ac:dyDescent="0.3">
      <c r="L36" s="11"/>
      <c r="M36" s="13" t="s">
        <v>65</v>
      </c>
      <c r="N36" s="4">
        <v>80</v>
      </c>
    </row>
    <row r="37" spans="12:14" x14ac:dyDescent="0.3">
      <c r="L37" s="11"/>
      <c r="M37" s="13" t="s">
        <v>40</v>
      </c>
      <c r="N37" s="4">
        <v>70</v>
      </c>
    </row>
    <row r="38" spans="12:14" x14ac:dyDescent="0.3">
      <c r="L38" s="11"/>
      <c r="M38" s="13" t="s">
        <v>66</v>
      </c>
      <c r="N38" s="4">
        <v>80</v>
      </c>
    </row>
    <row r="39" spans="12:14" x14ac:dyDescent="0.3">
      <c r="L39" s="11"/>
      <c r="M39" s="13" t="s">
        <v>67</v>
      </c>
      <c r="N39" s="4">
        <v>80</v>
      </c>
    </row>
    <row r="40" spans="12:14" x14ac:dyDescent="0.3">
      <c r="L40" s="11"/>
      <c r="M40" s="13" t="s">
        <v>68</v>
      </c>
      <c r="N40" s="4">
        <v>70</v>
      </c>
    </row>
    <row r="41" spans="12:14" x14ac:dyDescent="0.3">
      <c r="L41" s="11"/>
      <c r="M41" s="13" t="s">
        <v>41</v>
      </c>
      <c r="N41" s="4">
        <v>110</v>
      </c>
    </row>
    <row r="42" spans="12:14" x14ac:dyDescent="0.3">
      <c r="L42" s="11"/>
      <c r="M42" s="13" t="s">
        <v>43</v>
      </c>
      <c r="N42" s="4">
        <v>40</v>
      </c>
    </row>
    <row r="43" spans="12:14" x14ac:dyDescent="0.3">
      <c r="L43" s="11"/>
      <c r="M43" s="13" t="s">
        <v>45</v>
      </c>
      <c r="N43" s="4">
        <v>35</v>
      </c>
    </row>
    <row r="44" spans="12:14" x14ac:dyDescent="0.3">
      <c r="L44" s="11"/>
      <c r="M44" s="13" t="s">
        <v>46</v>
      </c>
      <c r="N44" s="4">
        <v>45</v>
      </c>
    </row>
    <row r="45" spans="12:14" x14ac:dyDescent="0.3">
      <c r="L45" s="11"/>
      <c r="M45" s="13" t="s">
        <v>47</v>
      </c>
      <c r="N45" s="4">
        <v>40</v>
      </c>
    </row>
    <row r="46" spans="12:14" x14ac:dyDescent="0.3">
      <c r="L46" s="11"/>
      <c r="M46" s="13" t="s">
        <v>48</v>
      </c>
      <c r="N46" s="1">
        <v>50</v>
      </c>
    </row>
    <row r="47" spans="12:14" x14ac:dyDescent="0.3">
      <c r="L47" s="11"/>
      <c r="M47" s="13" t="s">
        <v>61</v>
      </c>
      <c r="N47" s="1">
        <v>100</v>
      </c>
    </row>
    <row r="48" spans="12:14" x14ac:dyDescent="0.3">
      <c r="L48" s="11"/>
      <c r="M48" s="13" t="s">
        <v>62</v>
      </c>
      <c r="N48" s="1">
        <v>120</v>
      </c>
    </row>
    <row r="49" spans="12:21" x14ac:dyDescent="0.3">
      <c r="L49" s="11"/>
      <c r="M49" s="13" t="s">
        <v>63</v>
      </c>
      <c r="N49" s="1">
        <v>180</v>
      </c>
    </row>
    <row r="50" spans="12:21" x14ac:dyDescent="0.3">
      <c r="L50" s="11"/>
      <c r="M50" s="13" t="s">
        <v>64</v>
      </c>
      <c r="N50" s="1">
        <v>240</v>
      </c>
    </row>
    <row r="51" spans="12:21" x14ac:dyDescent="0.3">
      <c r="L51" s="11"/>
      <c r="M51" s="13" t="s">
        <v>51</v>
      </c>
      <c r="N51" s="4">
        <v>10</v>
      </c>
    </row>
    <row r="52" spans="12:21" x14ac:dyDescent="0.3">
      <c r="L52" s="11"/>
      <c r="M52" s="13" t="s">
        <v>52</v>
      </c>
      <c r="N52" s="4">
        <v>10</v>
      </c>
    </row>
    <row r="53" spans="12:21" x14ac:dyDescent="0.3">
      <c r="L53" s="11"/>
      <c r="M53" s="13" t="s">
        <v>53</v>
      </c>
      <c r="N53" s="4">
        <v>25</v>
      </c>
    </row>
    <row r="54" spans="12:21" x14ac:dyDescent="0.3">
      <c r="L54" s="11"/>
      <c r="M54" s="20" t="s">
        <v>54</v>
      </c>
      <c r="N54" s="14">
        <v>40</v>
      </c>
    </row>
    <row r="55" spans="12:21" x14ac:dyDescent="0.3">
      <c r="L55" s="11"/>
      <c r="M55" s="13" t="s">
        <v>55</v>
      </c>
      <c r="N55" s="1">
        <v>15</v>
      </c>
    </row>
    <row r="56" spans="12:21" ht="15" x14ac:dyDescent="0.3">
      <c r="P56" s="49" t="s">
        <v>85</v>
      </c>
      <c r="Q56" s="49" t="s">
        <v>86</v>
      </c>
      <c r="R56" s="49" t="s">
        <v>57</v>
      </c>
      <c r="S56" s="49" t="s">
        <v>58</v>
      </c>
      <c r="T56" s="49" t="s">
        <v>59</v>
      </c>
      <c r="U56" s="49" t="s">
        <v>87</v>
      </c>
    </row>
    <row r="57" spans="12:21" x14ac:dyDescent="0.3">
      <c r="P57" s="44" t="s">
        <v>8</v>
      </c>
      <c r="Q57" s="45">
        <v>120</v>
      </c>
      <c r="R57" s="46">
        <v>2</v>
      </c>
      <c r="S57" s="46">
        <v>240</v>
      </c>
      <c r="T57" s="47">
        <v>12</v>
      </c>
      <c r="U57" s="47">
        <v>252</v>
      </c>
    </row>
    <row r="58" spans="12:21" x14ac:dyDescent="0.3">
      <c r="P58" s="44" t="s">
        <v>34</v>
      </c>
      <c r="Q58" s="45">
        <v>20</v>
      </c>
      <c r="R58" s="46">
        <v>4</v>
      </c>
      <c r="S58" s="46">
        <v>80</v>
      </c>
      <c r="T58" s="47">
        <v>4</v>
      </c>
      <c r="U58" s="47">
        <v>84</v>
      </c>
    </row>
    <row r="59" spans="12:21" x14ac:dyDescent="0.3">
      <c r="P59" s="44" t="s">
        <v>66</v>
      </c>
      <c r="Q59" s="45">
        <v>80</v>
      </c>
      <c r="R59" s="46">
        <v>1</v>
      </c>
      <c r="S59" s="46">
        <v>80</v>
      </c>
      <c r="T59" s="47">
        <v>4</v>
      </c>
      <c r="U59" s="47">
        <v>84</v>
      </c>
    </row>
    <row r="60" spans="12:21" x14ac:dyDescent="0.3">
      <c r="P60" s="44"/>
      <c r="Q60" s="45" t="s">
        <v>84</v>
      </c>
      <c r="R60" s="46"/>
      <c r="S60" s="46" t="s">
        <v>84</v>
      </c>
      <c r="T60" s="47" t="s">
        <v>84</v>
      </c>
      <c r="U60" s="47" t="s">
        <v>84</v>
      </c>
    </row>
    <row r="61" spans="12:21" x14ac:dyDescent="0.3">
      <c r="P61" s="44"/>
      <c r="Q61" s="45" t="s">
        <v>84</v>
      </c>
      <c r="R61" s="46"/>
      <c r="S61" s="46" t="s">
        <v>84</v>
      </c>
      <c r="T61" s="47" t="s">
        <v>84</v>
      </c>
      <c r="U61" s="47" t="s">
        <v>84</v>
      </c>
    </row>
    <row r="62" spans="12:21" x14ac:dyDescent="0.3">
      <c r="P62" s="44"/>
      <c r="Q62" s="45" t="s">
        <v>84</v>
      </c>
      <c r="R62" s="46"/>
      <c r="S62" s="46" t="s">
        <v>84</v>
      </c>
      <c r="T62" s="47" t="s">
        <v>84</v>
      </c>
      <c r="U62" s="47" t="s">
        <v>84</v>
      </c>
    </row>
    <row r="63" spans="12:21" x14ac:dyDescent="0.3">
      <c r="P63" s="44"/>
      <c r="Q63" s="45" t="s">
        <v>84</v>
      </c>
      <c r="R63" s="46"/>
      <c r="S63" s="46" t="s">
        <v>84</v>
      </c>
      <c r="T63" s="47" t="s">
        <v>84</v>
      </c>
      <c r="U63" s="47" t="s">
        <v>84</v>
      </c>
    </row>
    <row r="64" spans="12:21" x14ac:dyDescent="0.3">
      <c r="P64" s="44"/>
      <c r="Q64" s="45" t="s">
        <v>84</v>
      </c>
      <c r="R64" s="46"/>
      <c r="S64" s="46" t="s">
        <v>84</v>
      </c>
      <c r="T64" s="47" t="s">
        <v>84</v>
      </c>
      <c r="U64" s="47" t="s">
        <v>84</v>
      </c>
    </row>
    <row r="65" spans="3:21" x14ac:dyDescent="0.3">
      <c r="C65" t="s">
        <v>84</v>
      </c>
      <c r="E65" t="s">
        <v>84</v>
      </c>
      <c r="F65" t="s">
        <v>84</v>
      </c>
      <c r="G65" t="s">
        <v>84</v>
      </c>
      <c r="P65" s="48"/>
      <c r="Q65" s="48"/>
      <c r="R65" s="48"/>
      <c r="S65" s="48"/>
      <c r="T65" s="48"/>
      <c r="U65" s="48"/>
    </row>
    <row r="66" spans="3:21" x14ac:dyDescent="0.3">
      <c r="C66" t="s">
        <v>84</v>
      </c>
      <c r="E66" t="s">
        <v>84</v>
      </c>
      <c r="F66" t="s">
        <v>84</v>
      </c>
      <c r="G66" t="s">
        <v>84</v>
      </c>
    </row>
    <row r="67" spans="3:21" x14ac:dyDescent="0.3">
      <c r="C67" t="s">
        <v>84</v>
      </c>
      <c r="E67" t="s">
        <v>84</v>
      </c>
      <c r="F67" t="s">
        <v>84</v>
      </c>
      <c r="G67" t="s">
        <v>84</v>
      </c>
    </row>
  </sheetData>
  <autoFilter ref="P56:U64" xr:uid="{3808B1CC-6E14-4860-B033-24619FFF82F1}"/>
  <mergeCells count="2">
    <mergeCell ref="B13:C13"/>
    <mergeCell ref="G13:H13"/>
  </mergeCells>
  <phoneticPr fontId="7" type="noConversion"/>
  <dataValidations count="2">
    <dataValidation type="list" allowBlank="1" showInputMessage="1" showErrorMessage="1" sqref="C5:C6" xr:uid="{D7788E2B-5FFD-4DC4-85C8-76CF81BAFBF2}">
      <formula1>$M$1:$M$55</formula1>
    </dataValidation>
    <dataValidation type="list" allowBlank="1" showInputMessage="1" showErrorMessage="1" sqref="C4 C7:C11" xr:uid="{8B798253-A470-4FA1-A8CD-E8F6932F9DA4}">
      <formula1>$M$2:$M$55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0D6E1-D3F2-4C56-9330-FA1CB6B6D1E2}">
  <sheetPr codeName="Sheet3"/>
  <dimension ref="B1:I24"/>
  <sheetViews>
    <sheetView zoomScale="121" workbookViewId="0">
      <selection activeCell="B5" sqref="B5"/>
    </sheetView>
  </sheetViews>
  <sheetFormatPr defaultRowHeight="14.4" x14ac:dyDescent="0.3"/>
  <cols>
    <col min="1" max="1" width="8.88671875" customWidth="1"/>
    <col min="2" max="2" width="25.21875" customWidth="1"/>
    <col min="3" max="3" width="10.21875" bestFit="1" customWidth="1"/>
    <col min="4" max="4" width="16.44140625" bestFit="1" customWidth="1"/>
    <col min="5" max="5" width="13.88671875" bestFit="1" customWidth="1"/>
    <col min="6" max="6" width="7.88671875" bestFit="1" customWidth="1"/>
    <col min="7" max="7" width="19.44140625" bestFit="1" customWidth="1"/>
  </cols>
  <sheetData>
    <row r="1" spans="2:7" x14ac:dyDescent="0.3">
      <c r="C1" s="79" t="s">
        <v>70</v>
      </c>
      <c r="D1" s="79"/>
      <c r="E1" s="79"/>
    </row>
    <row r="2" spans="2:7" x14ac:dyDescent="0.3">
      <c r="C2" s="79"/>
      <c r="D2" s="79"/>
      <c r="E2" s="79"/>
    </row>
    <row r="4" spans="2:7" ht="22.8" x14ac:dyDescent="0.45">
      <c r="B4" s="10" t="s">
        <v>56</v>
      </c>
      <c r="C4" s="10" t="s">
        <v>14</v>
      </c>
      <c r="D4" s="10" t="s">
        <v>57</v>
      </c>
      <c r="E4" s="10" t="s">
        <v>58</v>
      </c>
      <c r="F4" s="10" t="s">
        <v>59</v>
      </c>
      <c r="G4" s="10" t="s">
        <v>60</v>
      </c>
    </row>
    <row r="5" spans="2:7" x14ac:dyDescent="0.3">
      <c r="B5" s="8" t="s">
        <v>8</v>
      </c>
      <c r="C5" s="8">
        <v>120</v>
      </c>
      <c r="D5" s="8">
        <v>2</v>
      </c>
      <c r="E5" s="8">
        <v>240</v>
      </c>
      <c r="F5" s="8">
        <v>12</v>
      </c>
      <c r="G5" s="8">
        <v>252</v>
      </c>
    </row>
    <row r="6" spans="2:7" x14ac:dyDescent="0.3">
      <c r="B6" s="8" t="s">
        <v>34</v>
      </c>
      <c r="C6" s="8">
        <v>20</v>
      </c>
      <c r="D6" s="8">
        <v>4</v>
      </c>
      <c r="E6" s="8">
        <v>80</v>
      </c>
      <c r="F6" s="8">
        <v>4</v>
      </c>
      <c r="G6" s="8">
        <v>84</v>
      </c>
    </row>
    <row r="7" spans="2:7" x14ac:dyDescent="0.3">
      <c r="B7" s="8" t="s">
        <v>66</v>
      </c>
      <c r="C7" s="8">
        <v>80</v>
      </c>
      <c r="D7" s="8">
        <v>1</v>
      </c>
      <c r="E7" s="8">
        <v>80</v>
      </c>
      <c r="F7" s="8">
        <v>4</v>
      </c>
      <c r="G7" s="8">
        <v>84</v>
      </c>
    </row>
    <row r="8" spans="2:7" x14ac:dyDescent="0.3">
      <c r="B8" s="8"/>
      <c r="C8" s="8"/>
      <c r="D8" s="8"/>
      <c r="E8" s="8"/>
      <c r="F8" s="8"/>
      <c r="G8" s="8"/>
    </row>
    <row r="9" spans="2:7" x14ac:dyDescent="0.3">
      <c r="B9" s="8"/>
      <c r="C9" s="8"/>
      <c r="D9" s="8"/>
      <c r="E9" s="8"/>
      <c r="F9" s="8"/>
      <c r="G9" s="8"/>
    </row>
    <row r="10" spans="2:7" x14ac:dyDescent="0.3">
      <c r="B10" s="8"/>
      <c r="C10" s="8"/>
      <c r="D10" s="8"/>
      <c r="E10" s="8"/>
      <c r="F10" s="8"/>
      <c r="G10" s="8"/>
    </row>
    <row r="11" spans="2:7" x14ac:dyDescent="0.3">
      <c r="B11" s="8"/>
      <c r="C11" s="8"/>
      <c r="D11" s="8"/>
      <c r="E11" s="8"/>
      <c r="F11" s="8"/>
      <c r="G11" s="8"/>
    </row>
    <row r="12" spans="2:7" x14ac:dyDescent="0.3">
      <c r="B12" s="8"/>
      <c r="C12" s="8"/>
      <c r="D12" s="8"/>
      <c r="E12" s="8"/>
      <c r="F12" s="8"/>
      <c r="G12" s="8"/>
    </row>
    <row r="13" spans="2:7" x14ac:dyDescent="0.3">
      <c r="B13" s="8"/>
      <c r="C13" s="8"/>
      <c r="D13" s="8"/>
      <c r="E13" s="8"/>
      <c r="F13" s="8"/>
      <c r="G13" s="8"/>
    </row>
    <row r="14" spans="2:7" s="7" customFormat="1" ht="30" x14ac:dyDescent="0.7">
      <c r="B14" s="9" t="s">
        <v>69</v>
      </c>
      <c r="C14" s="76"/>
      <c r="D14" s="77"/>
      <c r="E14" s="77"/>
      <c r="F14" s="78"/>
      <c r="G14" s="9">
        <f>SUMIF(G5:G13,"&lt;&gt;")</f>
        <v>420</v>
      </c>
    </row>
    <row r="24" spans="9:9" x14ac:dyDescent="0.3">
      <c r="I24" t="s">
        <v>71</v>
      </c>
    </row>
  </sheetData>
  <mergeCells count="2">
    <mergeCell ref="C14:F14"/>
    <mergeCell ref="C1: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B7207-5B28-408F-B3AA-9BEA70A023A1}">
  <sheetPr codeName="Sheet4"/>
  <dimension ref="B2:K51"/>
  <sheetViews>
    <sheetView zoomScale="129" workbookViewId="0">
      <selection activeCell="H9" sqref="H9"/>
    </sheetView>
  </sheetViews>
  <sheetFormatPr defaultColWidth="11.21875" defaultRowHeight="14.4" x14ac:dyDescent="0.3"/>
  <cols>
    <col min="1" max="1" width="1.44140625" customWidth="1"/>
    <col min="2" max="2" width="33.6640625" style="38" customWidth="1"/>
    <col min="3" max="3" width="15.5546875" style="39" bestFit="1" customWidth="1"/>
    <col min="4" max="4" width="22.5546875" style="40" bestFit="1" customWidth="1"/>
    <col min="5" max="5" width="19.6640625" style="39" bestFit="1" customWidth="1"/>
    <col min="6" max="6" width="13" style="39" bestFit="1" customWidth="1"/>
    <col min="7" max="7" width="16.6640625" style="39" bestFit="1" customWidth="1"/>
    <col min="8" max="8" width="14.88671875" style="68" bestFit="1" customWidth="1"/>
  </cols>
  <sheetData>
    <row r="2" spans="2:11" ht="25.2" x14ac:dyDescent="0.3">
      <c r="B2" s="42" t="s">
        <v>56</v>
      </c>
      <c r="C2" s="67" t="s">
        <v>14</v>
      </c>
      <c r="D2" s="43" t="s">
        <v>57</v>
      </c>
      <c r="E2" s="67" t="s">
        <v>58</v>
      </c>
      <c r="F2" s="67" t="s">
        <v>59</v>
      </c>
      <c r="G2" s="67" t="s">
        <v>60</v>
      </c>
      <c r="H2" s="70" t="s">
        <v>83</v>
      </c>
      <c r="J2" s="71">
        <f ca="1">TODAY()</f>
        <v>45649</v>
      </c>
      <c r="K2" t="str">
        <f ca="1">TEXT(J2,"dd")</f>
        <v>23</v>
      </c>
    </row>
    <row r="3" spans="2:11" x14ac:dyDescent="0.3">
      <c r="H3" s="83"/>
      <c r="J3" s="71">
        <v>45648</v>
      </c>
      <c r="K3" t="str">
        <f>TEXT(J3,"dd")</f>
        <v>22</v>
      </c>
    </row>
    <row r="4" spans="2:11" x14ac:dyDescent="0.3">
      <c r="B4" s="11" t="s">
        <v>12</v>
      </c>
      <c r="C4" s="39">
        <v>140</v>
      </c>
      <c r="D4" s="66">
        <v>1</v>
      </c>
      <c r="E4" s="39">
        <v>140</v>
      </c>
      <c r="F4" s="39">
        <v>7</v>
      </c>
      <c r="G4" s="39">
        <v>147</v>
      </c>
      <c r="H4" s="84">
        <f ca="1">J5</f>
        <v>45648</v>
      </c>
    </row>
    <row r="5" spans="2:11" x14ac:dyDescent="0.3">
      <c r="B5" s="11" t="s">
        <v>38</v>
      </c>
      <c r="C5" s="39">
        <v>50</v>
      </c>
      <c r="D5" s="66">
        <v>3</v>
      </c>
      <c r="E5" s="39">
        <v>150</v>
      </c>
      <c r="F5" s="39">
        <v>7.5</v>
      </c>
      <c r="G5" s="39">
        <v>157.5</v>
      </c>
      <c r="H5" s="84">
        <f ca="1">J5</f>
        <v>45648</v>
      </c>
      <c r="J5" s="71">
        <f ca="1">IF(K3&lt;K2,J3,J2)</f>
        <v>45648</v>
      </c>
    </row>
    <row r="6" spans="2:11" x14ac:dyDescent="0.3">
      <c r="B6" s="11" t="s">
        <v>12</v>
      </c>
      <c r="C6" s="39">
        <v>140</v>
      </c>
      <c r="D6" s="40">
        <v>2</v>
      </c>
      <c r="E6" s="39">
        <v>280</v>
      </c>
      <c r="F6" s="39">
        <v>14</v>
      </c>
      <c r="G6" s="39">
        <v>294</v>
      </c>
      <c r="H6" s="84">
        <v>45648</v>
      </c>
    </row>
    <row r="7" spans="2:11" x14ac:dyDescent="0.3">
      <c r="B7" s="11" t="s">
        <v>38</v>
      </c>
      <c r="C7" s="39">
        <v>50</v>
      </c>
      <c r="D7" s="40">
        <v>2</v>
      </c>
      <c r="E7" s="39">
        <v>100</v>
      </c>
      <c r="F7" s="39">
        <v>5</v>
      </c>
      <c r="G7" s="39">
        <v>105</v>
      </c>
      <c r="H7" s="84">
        <v>45648</v>
      </c>
    </row>
    <row r="8" spans="2:11" x14ac:dyDescent="0.3">
      <c r="B8" s="11" t="s">
        <v>9</v>
      </c>
      <c r="C8" s="39">
        <v>140</v>
      </c>
      <c r="D8" s="40">
        <v>1</v>
      </c>
      <c r="E8" s="39">
        <v>140</v>
      </c>
      <c r="F8" s="39">
        <v>7</v>
      </c>
      <c r="G8" s="39">
        <v>147</v>
      </c>
      <c r="H8" s="84">
        <v>45648</v>
      </c>
    </row>
    <row r="9" spans="2:11" x14ac:dyDescent="0.3">
      <c r="B9" s="41" t="s">
        <v>35</v>
      </c>
      <c r="C9" s="39">
        <v>25</v>
      </c>
      <c r="D9" s="40">
        <v>3</v>
      </c>
      <c r="E9" s="39">
        <v>75</v>
      </c>
      <c r="F9" s="39">
        <v>3.75</v>
      </c>
      <c r="G9" s="39">
        <v>78.75</v>
      </c>
      <c r="H9" s="84">
        <v>45648</v>
      </c>
    </row>
    <row r="10" spans="2:11" x14ac:dyDescent="0.3">
      <c r="B10" s="11" t="s">
        <v>37</v>
      </c>
      <c r="C10" s="39">
        <v>70</v>
      </c>
      <c r="D10" s="40">
        <v>1</v>
      </c>
      <c r="E10" s="39">
        <v>70</v>
      </c>
      <c r="F10" s="39">
        <v>3.5</v>
      </c>
      <c r="G10" s="39">
        <v>73.5</v>
      </c>
      <c r="H10" s="84">
        <v>45648</v>
      </c>
    </row>
    <row r="11" spans="2:11" x14ac:dyDescent="0.3">
      <c r="B11" s="11" t="s">
        <v>88</v>
      </c>
      <c r="C11" s="39">
        <v>210</v>
      </c>
      <c r="D11" s="40">
        <v>1</v>
      </c>
      <c r="E11" s="39">
        <v>210</v>
      </c>
      <c r="F11" s="39">
        <v>10.5</v>
      </c>
      <c r="G11" s="39">
        <v>220.5</v>
      </c>
      <c r="H11" s="84">
        <v>45648</v>
      </c>
    </row>
    <row r="12" spans="2:11" x14ac:dyDescent="0.3">
      <c r="B12" s="38" t="s">
        <v>89</v>
      </c>
      <c r="C12" s="39">
        <v>30</v>
      </c>
      <c r="D12" s="40">
        <v>4</v>
      </c>
      <c r="E12" s="39">
        <v>120</v>
      </c>
      <c r="F12" s="39">
        <v>6</v>
      </c>
      <c r="G12" s="39">
        <v>126</v>
      </c>
      <c r="H12" s="84">
        <v>45648</v>
      </c>
    </row>
    <row r="13" spans="2:11" x14ac:dyDescent="0.3">
      <c r="B13" s="38" t="s">
        <v>90</v>
      </c>
      <c r="C13" s="39">
        <v>10</v>
      </c>
      <c r="D13" s="40">
        <v>2</v>
      </c>
      <c r="E13" s="39">
        <v>20</v>
      </c>
      <c r="F13" s="39">
        <v>1</v>
      </c>
      <c r="G13" s="39">
        <v>21</v>
      </c>
      <c r="H13" s="84">
        <v>45648</v>
      </c>
    </row>
    <row r="14" spans="2:11" x14ac:dyDescent="0.3">
      <c r="B14" s="38" t="s">
        <v>88</v>
      </c>
      <c r="C14" s="39">
        <v>210</v>
      </c>
      <c r="D14" s="40">
        <v>1</v>
      </c>
      <c r="E14" s="39">
        <v>210</v>
      </c>
      <c r="F14" s="39">
        <v>10.5</v>
      </c>
      <c r="G14" s="39">
        <v>220.5</v>
      </c>
      <c r="H14" s="84">
        <v>45648</v>
      </c>
    </row>
    <row r="15" spans="2:11" x14ac:dyDescent="0.3">
      <c r="B15" s="38" t="s">
        <v>89</v>
      </c>
      <c r="C15" s="39">
        <v>30</v>
      </c>
      <c r="D15" s="40">
        <v>4</v>
      </c>
      <c r="E15" s="39">
        <v>120</v>
      </c>
      <c r="F15" s="39">
        <v>6</v>
      </c>
      <c r="G15" s="39">
        <v>126</v>
      </c>
      <c r="H15" s="84">
        <v>45648</v>
      </c>
    </row>
    <row r="16" spans="2:11" x14ac:dyDescent="0.3">
      <c r="B16" s="38" t="s">
        <v>90</v>
      </c>
      <c r="C16" s="39">
        <v>10</v>
      </c>
      <c r="D16" s="40">
        <v>2</v>
      </c>
      <c r="E16" s="39">
        <v>20</v>
      </c>
      <c r="F16" s="39">
        <v>1</v>
      </c>
      <c r="G16" s="39">
        <v>21</v>
      </c>
      <c r="H16" s="84">
        <v>45648</v>
      </c>
    </row>
    <row r="17" spans="2:8" x14ac:dyDescent="0.3">
      <c r="B17" s="38" t="s">
        <v>8</v>
      </c>
      <c r="C17" s="39">
        <v>120</v>
      </c>
      <c r="D17" s="40">
        <v>1</v>
      </c>
      <c r="E17" s="39">
        <v>120</v>
      </c>
      <c r="F17" s="39">
        <v>6</v>
      </c>
      <c r="G17" s="39">
        <v>126</v>
      </c>
      <c r="H17" s="84">
        <v>45648</v>
      </c>
    </row>
    <row r="18" spans="2:8" x14ac:dyDescent="0.3">
      <c r="B18" s="38" t="s">
        <v>17</v>
      </c>
      <c r="C18" s="39">
        <v>110</v>
      </c>
      <c r="D18" s="40">
        <v>2</v>
      </c>
      <c r="E18" s="39">
        <v>220</v>
      </c>
      <c r="F18" s="39">
        <v>11</v>
      </c>
      <c r="G18" s="39">
        <v>231</v>
      </c>
      <c r="H18" s="84">
        <v>45648</v>
      </c>
    </row>
    <row r="19" spans="2:8" x14ac:dyDescent="0.3">
      <c r="B19" s="38" t="s">
        <v>54</v>
      </c>
      <c r="C19" s="39">
        <v>40</v>
      </c>
      <c r="D19" s="40">
        <v>1</v>
      </c>
      <c r="E19" s="39">
        <v>40</v>
      </c>
      <c r="F19" s="39">
        <v>2</v>
      </c>
      <c r="G19" s="39">
        <v>42</v>
      </c>
      <c r="H19" s="84">
        <v>45648</v>
      </c>
    </row>
    <row r="20" spans="2:8" x14ac:dyDescent="0.3">
      <c r="B20" s="38" t="s">
        <v>10</v>
      </c>
      <c r="C20" s="39">
        <v>150</v>
      </c>
      <c r="D20" s="40">
        <v>1</v>
      </c>
      <c r="E20" s="39">
        <v>150</v>
      </c>
      <c r="F20" s="39">
        <v>7.5</v>
      </c>
      <c r="G20" s="39">
        <v>157.5</v>
      </c>
      <c r="H20" s="84">
        <v>45648</v>
      </c>
    </row>
    <row r="21" spans="2:8" x14ac:dyDescent="0.3">
      <c r="B21" s="38" t="s">
        <v>17</v>
      </c>
      <c r="C21" s="39">
        <v>110</v>
      </c>
      <c r="D21" s="40">
        <v>1</v>
      </c>
      <c r="E21" s="39">
        <v>110</v>
      </c>
      <c r="F21" s="39">
        <v>5.5</v>
      </c>
      <c r="G21" s="39">
        <v>115.5</v>
      </c>
      <c r="H21" s="83">
        <f ca="1">IF(Table3[[#This Row],[Product]]&lt;&gt;"",TODAY(),"")</f>
        <v>45649</v>
      </c>
    </row>
    <row r="22" spans="2:8" x14ac:dyDescent="0.3">
      <c r="B22" s="38" t="s">
        <v>8</v>
      </c>
      <c r="C22" s="39">
        <v>120</v>
      </c>
      <c r="D22" s="40">
        <v>2</v>
      </c>
      <c r="E22" s="39">
        <v>240</v>
      </c>
      <c r="F22" s="39">
        <v>12</v>
      </c>
      <c r="G22" s="39">
        <v>252</v>
      </c>
      <c r="H22" s="83">
        <f ca="1">IF(Table3[[#This Row],[Product]]&lt;&gt;"",TODAY(),"")</f>
        <v>45649</v>
      </c>
    </row>
    <row r="23" spans="2:8" x14ac:dyDescent="0.3">
      <c r="B23" s="38" t="s">
        <v>34</v>
      </c>
      <c r="C23" s="39">
        <v>20</v>
      </c>
      <c r="D23" s="40">
        <v>4</v>
      </c>
      <c r="E23" s="39">
        <v>80</v>
      </c>
      <c r="F23" s="39">
        <v>4</v>
      </c>
      <c r="G23" s="39">
        <v>84</v>
      </c>
      <c r="H23" s="83">
        <f ca="1">IF(Table3[[#This Row],[Product]]&lt;&gt;"",TODAY(),"")</f>
        <v>45649</v>
      </c>
    </row>
    <row r="24" spans="2:8" x14ac:dyDescent="0.3">
      <c r="B24" s="38" t="s">
        <v>66</v>
      </c>
      <c r="C24" s="39">
        <v>80</v>
      </c>
      <c r="D24" s="40">
        <v>1</v>
      </c>
      <c r="E24" s="39">
        <v>80</v>
      </c>
      <c r="F24" s="39">
        <v>4</v>
      </c>
      <c r="G24" s="39">
        <v>84</v>
      </c>
      <c r="H24" s="83">
        <f ca="1">IF(Table3[[#This Row],[Product]]&lt;&gt;"",TODAY(),"")</f>
        <v>45649</v>
      </c>
    </row>
    <row r="25" spans="2:8" x14ac:dyDescent="0.3">
      <c r="H25" s="83" t="str">
        <f ca="1">IF(Table3[[#This Row],[Product]]&lt;&gt;"",TODAY(),"")</f>
        <v/>
      </c>
    </row>
    <row r="26" spans="2:8" x14ac:dyDescent="0.3">
      <c r="H26" s="83"/>
    </row>
    <row r="27" spans="2:8" x14ac:dyDescent="0.3">
      <c r="H27" s="83"/>
    </row>
    <row r="28" spans="2:8" x14ac:dyDescent="0.3">
      <c r="H28" s="83"/>
    </row>
    <row r="29" spans="2:8" x14ac:dyDescent="0.3">
      <c r="H29" s="83"/>
    </row>
    <row r="30" spans="2:8" x14ac:dyDescent="0.3">
      <c r="H30" s="83"/>
    </row>
    <row r="31" spans="2:8" x14ac:dyDescent="0.3">
      <c r="H31" s="83"/>
    </row>
    <row r="32" spans="2:8" x14ac:dyDescent="0.3">
      <c r="H32" s="83"/>
    </row>
    <row r="33" spans="8:8" x14ac:dyDescent="0.3">
      <c r="H33" s="83"/>
    </row>
    <row r="34" spans="8:8" x14ac:dyDescent="0.3">
      <c r="H34" s="83"/>
    </row>
    <row r="35" spans="8:8" x14ac:dyDescent="0.3">
      <c r="H35" s="83"/>
    </row>
    <row r="36" spans="8:8" x14ac:dyDescent="0.3">
      <c r="H36" s="83"/>
    </row>
    <row r="37" spans="8:8" x14ac:dyDescent="0.3">
      <c r="H37" s="83"/>
    </row>
    <row r="38" spans="8:8" x14ac:dyDescent="0.3">
      <c r="H38" s="83"/>
    </row>
    <row r="39" spans="8:8" x14ac:dyDescent="0.3">
      <c r="H39" s="83"/>
    </row>
    <row r="40" spans="8:8" x14ac:dyDescent="0.3">
      <c r="H40" s="83"/>
    </row>
    <row r="41" spans="8:8" x14ac:dyDescent="0.3">
      <c r="H41" s="83"/>
    </row>
    <row r="42" spans="8:8" x14ac:dyDescent="0.3">
      <c r="H42" s="83"/>
    </row>
    <row r="43" spans="8:8" x14ac:dyDescent="0.3">
      <c r="H43" s="83"/>
    </row>
    <row r="44" spans="8:8" x14ac:dyDescent="0.3">
      <c r="H44" s="83"/>
    </row>
    <row r="45" spans="8:8" x14ac:dyDescent="0.3">
      <c r="H45" s="83"/>
    </row>
    <row r="46" spans="8:8" x14ac:dyDescent="0.3">
      <c r="H46" s="83"/>
    </row>
    <row r="47" spans="8:8" x14ac:dyDescent="0.3">
      <c r="H47" s="83"/>
    </row>
    <row r="48" spans="8:8" x14ac:dyDescent="0.3">
      <c r="H48" s="83"/>
    </row>
    <row r="49" spans="8:8" x14ac:dyDescent="0.3">
      <c r="H49" s="83"/>
    </row>
    <row r="50" spans="8:8" x14ac:dyDescent="0.3">
      <c r="H50" s="83"/>
    </row>
    <row r="51" spans="8:8" x14ac:dyDescent="0.3">
      <c r="H51" s="83"/>
    </row>
  </sheetData>
  <phoneticPr fontId="7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 </vt:lpstr>
      <vt:lpstr>Bill</vt:lpstr>
      <vt:lpstr>Invoice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Kumar</dc:creator>
  <cp:lastModifiedBy>Santosh Kumar</cp:lastModifiedBy>
  <dcterms:created xsi:type="dcterms:W3CDTF">2024-12-21T16:19:41Z</dcterms:created>
  <dcterms:modified xsi:type="dcterms:W3CDTF">2024-12-23T08:02:22Z</dcterms:modified>
</cp:coreProperties>
</file>